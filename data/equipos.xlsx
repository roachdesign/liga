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Desarrollos\Scrap tmt\APP\data\"/>
    </mc:Choice>
  </mc:AlternateContent>
  <xr:revisionPtr revIDLastSave="0" documentId="13_ncr:1_{0C5904A6-C609-4474-9726-E1D147269F6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96" i="1" l="1"/>
  <c r="N259" i="1"/>
  <c r="N352" i="1"/>
  <c r="N515" i="1"/>
  <c r="N566" i="1"/>
  <c r="N605" i="1"/>
  <c r="N640" i="1"/>
  <c r="N675" i="1"/>
  <c r="N711" i="1"/>
  <c r="N944" i="1"/>
  <c r="N999" i="1"/>
  <c r="N1087" i="1"/>
  <c r="N1117" i="1"/>
  <c r="N1142" i="1"/>
  <c r="N1200" i="1"/>
  <c r="N1255" i="1"/>
  <c r="N1343" i="1"/>
  <c r="N1366" i="1"/>
  <c r="N1382" i="1"/>
  <c r="N1398" i="1"/>
  <c r="N1414" i="1"/>
  <c r="N1430" i="1"/>
  <c r="N1446" i="1"/>
  <c r="N1462" i="1"/>
  <c r="N1478" i="1"/>
  <c r="N1494" i="1"/>
  <c r="N1510" i="1"/>
  <c r="N1526" i="1"/>
  <c r="N1542" i="1"/>
  <c r="N1558" i="1"/>
  <c r="N1574" i="1"/>
  <c r="N1590" i="1"/>
  <c r="N1606" i="1"/>
  <c r="N1622" i="1"/>
  <c r="N1638" i="1"/>
  <c r="N1654" i="1"/>
  <c r="N1670" i="1"/>
  <c r="N1686" i="1"/>
  <c r="N1702" i="1"/>
  <c r="N1718" i="1"/>
  <c r="N1734" i="1"/>
  <c r="N1750" i="1"/>
  <c r="N3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2" i="1"/>
  <c r="M20" i="1"/>
  <c r="N20" i="1" s="1"/>
  <c r="M21" i="1"/>
  <c r="N21" i="1" s="1"/>
  <c r="M22" i="1"/>
  <c r="N22" i="1" s="1"/>
  <c r="M23" i="1"/>
  <c r="N23" i="1" s="1"/>
  <c r="M24" i="1"/>
  <c r="N24" i="1" s="1"/>
  <c r="M25" i="1"/>
  <c r="N25" i="1" s="1"/>
  <c r="M26" i="1"/>
  <c r="N26" i="1" s="1"/>
  <c r="M27" i="1"/>
  <c r="N27" i="1" s="1"/>
  <c r="M28" i="1"/>
  <c r="N28" i="1" s="1"/>
  <c r="M29" i="1"/>
  <c r="N29" i="1" s="1"/>
  <c r="M30" i="1"/>
  <c r="N30" i="1" s="1"/>
  <c r="M31" i="1"/>
  <c r="N31" i="1" s="1"/>
  <c r="M32" i="1"/>
  <c r="N32" i="1" s="1"/>
  <c r="M33" i="1"/>
  <c r="N33" i="1" s="1"/>
  <c r="M34" i="1"/>
  <c r="N34" i="1" s="1"/>
  <c r="M35" i="1"/>
  <c r="N35" i="1" s="1"/>
  <c r="M36" i="1"/>
  <c r="N36" i="1" s="1"/>
  <c r="M37" i="1"/>
  <c r="N37" i="1" s="1"/>
  <c r="M38" i="1"/>
  <c r="N38" i="1" s="1"/>
  <c r="M39" i="1"/>
  <c r="N39" i="1" s="1"/>
  <c r="M40" i="1"/>
  <c r="N40" i="1" s="1"/>
  <c r="M41" i="1"/>
  <c r="N41" i="1" s="1"/>
  <c r="M42" i="1"/>
  <c r="N42" i="1" s="1"/>
  <c r="M43" i="1"/>
  <c r="N43" i="1" s="1"/>
  <c r="M44" i="1"/>
  <c r="N44" i="1" s="1"/>
  <c r="M45" i="1"/>
  <c r="N45" i="1" s="1"/>
  <c r="M46" i="1"/>
  <c r="N46" i="1" s="1"/>
  <c r="M47" i="1"/>
  <c r="N47" i="1" s="1"/>
  <c r="M48" i="1"/>
  <c r="N48" i="1" s="1"/>
  <c r="M49" i="1"/>
  <c r="N49" i="1" s="1"/>
  <c r="M50" i="1"/>
  <c r="N50" i="1" s="1"/>
  <c r="M51" i="1"/>
  <c r="N51" i="1" s="1"/>
  <c r="M52" i="1"/>
  <c r="N52" i="1" s="1"/>
  <c r="M53" i="1"/>
  <c r="N53" i="1" s="1"/>
  <c r="M54" i="1"/>
  <c r="N54" i="1" s="1"/>
  <c r="M55" i="1"/>
  <c r="N55" i="1" s="1"/>
  <c r="M56" i="1"/>
  <c r="N56" i="1" s="1"/>
  <c r="M57" i="1"/>
  <c r="N57" i="1" s="1"/>
  <c r="M58" i="1"/>
  <c r="N58" i="1" s="1"/>
  <c r="M59" i="1"/>
  <c r="N59" i="1" s="1"/>
  <c r="M60" i="1"/>
  <c r="N60" i="1" s="1"/>
  <c r="M61" i="1"/>
  <c r="N61" i="1" s="1"/>
  <c r="M62" i="1"/>
  <c r="N62" i="1" s="1"/>
  <c r="M63" i="1"/>
  <c r="N63" i="1" s="1"/>
  <c r="M64" i="1"/>
  <c r="N64" i="1" s="1"/>
  <c r="M65" i="1"/>
  <c r="N65" i="1" s="1"/>
  <c r="M66" i="1"/>
  <c r="N66" i="1" s="1"/>
  <c r="M67" i="1"/>
  <c r="N67" i="1" s="1"/>
  <c r="M68" i="1"/>
  <c r="N68" i="1" s="1"/>
  <c r="M69" i="1"/>
  <c r="N69" i="1" s="1"/>
  <c r="M70" i="1"/>
  <c r="N70" i="1" s="1"/>
  <c r="M71" i="1"/>
  <c r="N71" i="1" s="1"/>
  <c r="M72" i="1"/>
  <c r="N72" i="1" s="1"/>
  <c r="M73" i="1"/>
  <c r="N73" i="1" s="1"/>
  <c r="M74" i="1"/>
  <c r="N74" i="1" s="1"/>
  <c r="M75" i="1"/>
  <c r="N75" i="1" s="1"/>
  <c r="M76" i="1"/>
  <c r="N76" i="1" s="1"/>
  <c r="M77" i="1"/>
  <c r="N77" i="1" s="1"/>
  <c r="M78" i="1"/>
  <c r="N78" i="1" s="1"/>
  <c r="M79" i="1"/>
  <c r="N79" i="1" s="1"/>
  <c r="M80" i="1"/>
  <c r="N80" i="1" s="1"/>
  <c r="M81" i="1"/>
  <c r="N81" i="1" s="1"/>
  <c r="M82" i="1"/>
  <c r="N82" i="1" s="1"/>
  <c r="M83" i="1"/>
  <c r="N83" i="1" s="1"/>
  <c r="M84" i="1"/>
  <c r="N84" i="1" s="1"/>
  <c r="M85" i="1"/>
  <c r="N85" i="1" s="1"/>
  <c r="M86" i="1"/>
  <c r="N86" i="1" s="1"/>
  <c r="M87" i="1"/>
  <c r="N87" i="1" s="1"/>
  <c r="M88" i="1"/>
  <c r="N88" i="1" s="1"/>
  <c r="M89" i="1"/>
  <c r="N89" i="1" s="1"/>
  <c r="M90" i="1"/>
  <c r="N90" i="1" s="1"/>
  <c r="M91" i="1"/>
  <c r="N91" i="1" s="1"/>
  <c r="M92" i="1"/>
  <c r="N92" i="1" s="1"/>
  <c r="M93" i="1"/>
  <c r="N93" i="1" s="1"/>
  <c r="M94" i="1"/>
  <c r="N94" i="1" s="1"/>
  <c r="M95" i="1"/>
  <c r="N95" i="1" s="1"/>
  <c r="M96" i="1"/>
  <c r="M97" i="1"/>
  <c r="N97" i="1" s="1"/>
  <c r="M98" i="1"/>
  <c r="N98" i="1" s="1"/>
  <c r="M99" i="1"/>
  <c r="N99" i="1" s="1"/>
  <c r="M100" i="1"/>
  <c r="N100" i="1" s="1"/>
  <c r="M101" i="1"/>
  <c r="N101" i="1" s="1"/>
  <c r="M102" i="1"/>
  <c r="N102" i="1" s="1"/>
  <c r="M103" i="1"/>
  <c r="N103" i="1" s="1"/>
  <c r="M104" i="1"/>
  <c r="N104" i="1" s="1"/>
  <c r="M105" i="1"/>
  <c r="N105" i="1" s="1"/>
  <c r="M106" i="1"/>
  <c r="N106" i="1" s="1"/>
  <c r="M107" i="1"/>
  <c r="N107" i="1" s="1"/>
  <c r="M108" i="1"/>
  <c r="N108" i="1" s="1"/>
  <c r="M109" i="1"/>
  <c r="N109" i="1" s="1"/>
  <c r="M110" i="1"/>
  <c r="N110" i="1" s="1"/>
  <c r="M111" i="1"/>
  <c r="N111" i="1" s="1"/>
  <c r="M112" i="1"/>
  <c r="N112" i="1" s="1"/>
  <c r="M113" i="1"/>
  <c r="N113" i="1" s="1"/>
  <c r="M114" i="1"/>
  <c r="N114" i="1" s="1"/>
  <c r="M115" i="1"/>
  <c r="N115" i="1" s="1"/>
  <c r="M116" i="1"/>
  <c r="N116" i="1" s="1"/>
  <c r="M117" i="1"/>
  <c r="N117" i="1" s="1"/>
  <c r="M118" i="1"/>
  <c r="N118" i="1" s="1"/>
  <c r="M119" i="1"/>
  <c r="N119" i="1" s="1"/>
  <c r="M120" i="1"/>
  <c r="N120" i="1" s="1"/>
  <c r="M121" i="1"/>
  <c r="N121" i="1" s="1"/>
  <c r="M122" i="1"/>
  <c r="N122" i="1" s="1"/>
  <c r="M123" i="1"/>
  <c r="N123" i="1" s="1"/>
  <c r="M124" i="1"/>
  <c r="N124" i="1" s="1"/>
  <c r="M125" i="1"/>
  <c r="N125" i="1" s="1"/>
  <c r="M126" i="1"/>
  <c r="N126" i="1" s="1"/>
  <c r="M127" i="1"/>
  <c r="N127" i="1" s="1"/>
  <c r="M128" i="1"/>
  <c r="N128" i="1" s="1"/>
  <c r="M129" i="1"/>
  <c r="N129" i="1" s="1"/>
  <c r="M130" i="1"/>
  <c r="N130" i="1" s="1"/>
  <c r="M131" i="1"/>
  <c r="N131" i="1" s="1"/>
  <c r="M132" i="1"/>
  <c r="N132" i="1" s="1"/>
  <c r="M133" i="1"/>
  <c r="N133" i="1" s="1"/>
  <c r="M134" i="1"/>
  <c r="N134" i="1" s="1"/>
  <c r="M135" i="1"/>
  <c r="N135" i="1" s="1"/>
  <c r="M136" i="1"/>
  <c r="N136" i="1" s="1"/>
  <c r="M137" i="1"/>
  <c r="N137" i="1" s="1"/>
  <c r="M138" i="1"/>
  <c r="N138" i="1" s="1"/>
  <c r="M139" i="1"/>
  <c r="N139" i="1" s="1"/>
  <c r="M140" i="1"/>
  <c r="N140" i="1" s="1"/>
  <c r="M141" i="1"/>
  <c r="N141" i="1" s="1"/>
  <c r="M142" i="1"/>
  <c r="N142" i="1" s="1"/>
  <c r="M143" i="1"/>
  <c r="N143" i="1" s="1"/>
  <c r="M144" i="1"/>
  <c r="N144" i="1" s="1"/>
  <c r="M145" i="1"/>
  <c r="N145" i="1" s="1"/>
  <c r="M146" i="1"/>
  <c r="N146" i="1" s="1"/>
  <c r="M147" i="1"/>
  <c r="N147" i="1" s="1"/>
  <c r="M148" i="1"/>
  <c r="N148" i="1" s="1"/>
  <c r="M149" i="1"/>
  <c r="N149" i="1" s="1"/>
  <c r="M150" i="1"/>
  <c r="N150" i="1" s="1"/>
  <c r="M151" i="1"/>
  <c r="N151" i="1" s="1"/>
  <c r="M152" i="1"/>
  <c r="N152" i="1" s="1"/>
  <c r="M153" i="1"/>
  <c r="N153" i="1" s="1"/>
  <c r="M154" i="1"/>
  <c r="N154" i="1" s="1"/>
  <c r="M155" i="1"/>
  <c r="N155" i="1" s="1"/>
  <c r="M156" i="1"/>
  <c r="N156" i="1" s="1"/>
  <c r="M157" i="1"/>
  <c r="N157" i="1" s="1"/>
  <c r="M158" i="1"/>
  <c r="N158" i="1" s="1"/>
  <c r="M159" i="1"/>
  <c r="N159" i="1" s="1"/>
  <c r="M160" i="1"/>
  <c r="N160" i="1" s="1"/>
  <c r="M161" i="1"/>
  <c r="N161" i="1" s="1"/>
  <c r="M162" i="1"/>
  <c r="N162" i="1" s="1"/>
  <c r="M163" i="1"/>
  <c r="N163" i="1" s="1"/>
  <c r="M164" i="1"/>
  <c r="N164" i="1" s="1"/>
  <c r="M165" i="1"/>
  <c r="N165" i="1" s="1"/>
  <c r="M166" i="1"/>
  <c r="N166" i="1" s="1"/>
  <c r="M167" i="1"/>
  <c r="N167" i="1" s="1"/>
  <c r="M168" i="1"/>
  <c r="N168" i="1" s="1"/>
  <c r="M169" i="1"/>
  <c r="N169" i="1" s="1"/>
  <c r="M170" i="1"/>
  <c r="N170" i="1" s="1"/>
  <c r="M171" i="1"/>
  <c r="N171" i="1" s="1"/>
  <c r="M172" i="1"/>
  <c r="N172" i="1" s="1"/>
  <c r="M173" i="1"/>
  <c r="N173" i="1" s="1"/>
  <c r="M174" i="1"/>
  <c r="N174" i="1" s="1"/>
  <c r="M175" i="1"/>
  <c r="N175" i="1" s="1"/>
  <c r="M176" i="1"/>
  <c r="N176" i="1" s="1"/>
  <c r="M177" i="1"/>
  <c r="N177" i="1" s="1"/>
  <c r="M178" i="1"/>
  <c r="N178" i="1" s="1"/>
  <c r="M179" i="1"/>
  <c r="N179" i="1" s="1"/>
  <c r="M180" i="1"/>
  <c r="N180" i="1" s="1"/>
  <c r="M181" i="1"/>
  <c r="N181" i="1" s="1"/>
  <c r="M182" i="1"/>
  <c r="N182" i="1" s="1"/>
  <c r="M183" i="1"/>
  <c r="N183" i="1" s="1"/>
  <c r="M184" i="1"/>
  <c r="N184" i="1" s="1"/>
  <c r="M185" i="1"/>
  <c r="N185" i="1" s="1"/>
  <c r="M186" i="1"/>
  <c r="N186" i="1" s="1"/>
  <c r="M187" i="1"/>
  <c r="N187" i="1" s="1"/>
  <c r="M188" i="1"/>
  <c r="N188" i="1" s="1"/>
  <c r="M189" i="1"/>
  <c r="N189" i="1" s="1"/>
  <c r="M190" i="1"/>
  <c r="N190" i="1" s="1"/>
  <c r="M191" i="1"/>
  <c r="N191" i="1" s="1"/>
  <c r="M192" i="1"/>
  <c r="N192" i="1" s="1"/>
  <c r="M193" i="1"/>
  <c r="N193" i="1" s="1"/>
  <c r="M194" i="1"/>
  <c r="N194" i="1" s="1"/>
  <c r="M195" i="1"/>
  <c r="N195" i="1" s="1"/>
  <c r="M196" i="1"/>
  <c r="N196" i="1" s="1"/>
  <c r="M197" i="1"/>
  <c r="N197" i="1" s="1"/>
  <c r="M198" i="1"/>
  <c r="N198" i="1" s="1"/>
  <c r="M199" i="1"/>
  <c r="N199" i="1" s="1"/>
  <c r="M200" i="1"/>
  <c r="N200" i="1" s="1"/>
  <c r="M201" i="1"/>
  <c r="N201" i="1" s="1"/>
  <c r="M202" i="1"/>
  <c r="N202" i="1" s="1"/>
  <c r="M203" i="1"/>
  <c r="N203" i="1" s="1"/>
  <c r="M204" i="1"/>
  <c r="N204" i="1" s="1"/>
  <c r="M205" i="1"/>
  <c r="N205" i="1" s="1"/>
  <c r="M206" i="1"/>
  <c r="N206" i="1" s="1"/>
  <c r="M207" i="1"/>
  <c r="N207" i="1" s="1"/>
  <c r="M208" i="1"/>
  <c r="N208" i="1" s="1"/>
  <c r="M209" i="1"/>
  <c r="N209" i="1" s="1"/>
  <c r="M210" i="1"/>
  <c r="N210" i="1" s="1"/>
  <c r="M211" i="1"/>
  <c r="N211" i="1" s="1"/>
  <c r="M212" i="1"/>
  <c r="N212" i="1" s="1"/>
  <c r="M213" i="1"/>
  <c r="N213" i="1" s="1"/>
  <c r="M214" i="1"/>
  <c r="N214" i="1" s="1"/>
  <c r="M215" i="1"/>
  <c r="N215" i="1" s="1"/>
  <c r="M216" i="1"/>
  <c r="N216" i="1" s="1"/>
  <c r="M217" i="1"/>
  <c r="N217" i="1" s="1"/>
  <c r="M218" i="1"/>
  <c r="N218" i="1" s="1"/>
  <c r="M219" i="1"/>
  <c r="N219" i="1" s="1"/>
  <c r="M220" i="1"/>
  <c r="N220" i="1" s="1"/>
  <c r="M221" i="1"/>
  <c r="N221" i="1" s="1"/>
  <c r="M222" i="1"/>
  <c r="N222" i="1" s="1"/>
  <c r="M223" i="1"/>
  <c r="N223" i="1" s="1"/>
  <c r="M224" i="1"/>
  <c r="N224" i="1" s="1"/>
  <c r="M225" i="1"/>
  <c r="N225" i="1" s="1"/>
  <c r="M226" i="1"/>
  <c r="N226" i="1" s="1"/>
  <c r="M227" i="1"/>
  <c r="N227" i="1" s="1"/>
  <c r="M228" i="1"/>
  <c r="N228" i="1" s="1"/>
  <c r="M229" i="1"/>
  <c r="N229" i="1" s="1"/>
  <c r="M230" i="1"/>
  <c r="N230" i="1" s="1"/>
  <c r="M231" i="1"/>
  <c r="N231" i="1" s="1"/>
  <c r="M232" i="1"/>
  <c r="N232" i="1" s="1"/>
  <c r="M233" i="1"/>
  <c r="N233" i="1" s="1"/>
  <c r="M234" i="1"/>
  <c r="N234" i="1" s="1"/>
  <c r="M235" i="1"/>
  <c r="N235" i="1" s="1"/>
  <c r="M236" i="1"/>
  <c r="N236" i="1" s="1"/>
  <c r="M237" i="1"/>
  <c r="N237" i="1" s="1"/>
  <c r="M238" i="1"/>
  <c r="N238" i="1" s="1"/>
  <c r="M239" i="1"/>
  <c r="N239" i="1" s="1"/>
  <c r="M240" i="1"/>
  <c r="N240" i="1" s="1"/>
  <c r="M241" i="1"/>
  <c r="N241" i="1" s="1"/>
  <c r="M242" i="1"/>
  <c r="N242" i="1" s="1"/>
  <c r="M243" i="1"/>
  <c r="N243" i="1" s="1"/>
  <c r="M244" i="1"/>
  <c r="N244" i="1" s="1"/>
  <c r="M245" i="1"/>
  <c r="N245" i="1" s="1"/>
  <c r="M246" i="1"/>
  <c r="N246" i="1" s="1"/>
  <c r="M247" i="1"/>
  <c r="N247" i="1" s="1"/>
  <c r="M248" i="1"/>
  <c r="N248" i="1" s="1"/>
  <c r="M249" i="1"/>
  <c r="N249" i="1" s="1"/>
  <c r="M250" i="1"/>
  <c r="N250" i="1" s="1"/>
  <c r="M251" i="1"/>
  <c r="N251" i="1" s="1"/>
  <c r="M252" i="1"/>
  <c r="N252" i="1" s="1"/>
  <c r="M253" i="1"/>
  <c r="N253" i="1" s="1"/>
  <c r="M254" i="1"/>
  <c r="N254" i="1" s="1"/>
  <c r="M255" i="1"/>
  <c r="N255" i="1" s="1"/>
  <c r="M256" i="1"/>
  <c r="N256" i="1" s="1"/>
  <c r="M257" i="1"/>
  <c r="N257" i="1" s="1"/>
  <c r="M258" i="1"/>
  <c r="N258" i="1" s="1"/>
  <c r="M259" i="1"/>
  <c r="M260" i="1"/>
  <c r="N260" i="1" s="1"/>
  <c r="M261" i="1"/>
  <c r="N261" i="1" s="1"/>
  <c r="M262" i="1"/>
  <c r="N262" i="1" s="1"/>
  <c r="M263" i="1"/>
  <c r="N263" i="1" s="1"/>
  <c r="M264" i="1"/>
  <c r="N264" i="1" s="1"/>
  <c r="M265" i="1"/>
  <c r="N265" i="1" s="1"/>
  <c r="M266" i="1"/>
  <c r="N266" i="1" s="1"/>
  <c r="M267" i="1"/>
  <c r="N267" i="1" s="1"/>
  <c r="M268" i="1"/>
  <c r="N268" i="1" s="1"/>
  <c r="M269" i="1"/>
  <c r="N269" i="1" s="1"/>
  <c r="M270" i="1"/>
  <c r="N270" i="1" s="1"/>
  <c r="M271" i="1"/>
  <c r="N271" i="1" s="1"/>
  <c r="M272" i="1"/>
  <c r="N272" i="1" s="1"/>
  <c r="M273" i="1"/>
  <c r="N273" i="1" s="1"/>
  <c r="M274" i="1"/>
  <c r="N274" i="1" s="1"/>
  <c r="M275" i="1"/>
  <c r="N275" i="1" s="1"/>
  <c r="M276" i="1"/>
  <c r="N276" i="1" s="1"/>
  <c r="M277" i="1"/>
  <c r="N277" i="1" s="1"/>
  <c r="M278" i="1"/>
  <c r="N278" i="1" s="1"/>
  <c r="M279" i="1"/>
  <c r="N279" i="1" s="1"/>
  <c r="M280" i="1"/>
  <c r="N280" i="1" s="1"/>
  <c r="M281" i="1"/>
  <c r="N281" i="1" s="1"/>
  <c r="M282" i="1"/>
  <c r="N282" i="1" s="1"/>
  <c r="M283" i="1"/>
  <c r="N283" i="1" s="1"/>
  <c r="M284" i="1"/>
  <c r="N284" i="1" s="1"/>
  <c r="M285" i="1"/>
  <c r="N285" i="1" s="1"/>
  <c r="M286" i="1"/>
  <c r="N286" i="1" s="1"/>
  <c r="M287" i="1"/>
  <c r="N287" i="1" s="1"/>
  <c r="M288" i="1"/>
  <c r="N288" i="1" s="1"/>
  <c r="M289" i="1"/>
  <c r="N289" i="1" s="1"/>
  <c r="M290" i="1"/>
  <c r="N290" i="1" s="1"/>
  <c r="M291" i="1"/>
  <c r="N291" i="1" s="1"/>
  <c r="M292" i="1"/>
  <c r="N292" i="1" s="1"/>
  <c r="M293" i="1"/>
  <c r="N293" i="1" s="1"/>
  <c r="M294" i="1"/>
  <c r="N294" i="1" s="1"/>
  <c r="M295" i="1"/>
  <c r="N295" i="1" s="1"/>
  <c r="M296" i="1"/>
  <c r="N296" i="1" s="1"/>
  <c r="M297" i="1"/>
  <c r="N297" i="1" s="1"/>
  <c r="M298" i="1"/>
  <c r="N298" i="1" s="1"/>
  <c r="M299" i="1"/>
  <c r="N299" i="1" s="1"/>
  <c r="M300" i="1"/>
  <c r="N300" i="1" s="1"/>
  <c r="M301" i="1"/>
  <c r="N301" i="1" s="1"/>
  <c r="M302" i="1"/>
  <c r="N302" i="1" s="1"/>
  <c r="M303" i="1"/>
  <c r="N303" i="1" s="1"/>
  <c r="M304" i="1"/>
  <c r="N304" i="1" s="1"/>
  <c r="M305" i="1"/>
  <c r="N305" i="1" s="1"/>
  <c r="M306" i="1"/>
  <c r="N306" i="1" s="1"/>
  <c r="M307" i="1"/>
  <c r="N307" i="1" s="1"/>
  <c r="M308" i="1"/>
  <c r="N308" i="1" s="1"/>
  <c r="M309" i="1"/>
  <c r="N309" i="1" s="1"/>
  <c r="M310" i="1"/>
  <c r="N310" i="1" s="1"/>
  <c r="M311" i="1"/>
  <c r="N311" i="1" s="1"/>
  <c r="M312" i="1"/>
  <c r="N312" i="1" s="1"/>
  <c r="M313" i="1"/>
  <c r="N313" i="1" s="1"/>
  <c r="M314" i="1"/>
  <c r="N314" i="1" s="1"/>
  <c r="M315" i="1"/>
  <c r="N315" i="1" s="1"/>
  <c r="M316" i="1"/>
  <c r="N316" i="1" s="1"/>
  <c r="M317" i="1"/>
  <c r="N317" i="1" s="1"/>
  <c r="M318" i="1"/>
  <c r="N318" i="1" s="1"/>
  <c r="M319" i="1"/>
  <c r="N319" i="1" s="1"/>
  <c r="M320" i="1"/>
  <c r="N320" i="1" s="1"/>
  <c r="M321" i="1"/>
  <c r="N321" i="1" s="1"/>
  <c r="M322" i="1"/>
  <c r="N322" i="1" s="1"/>
  <c r="M323" i="1"/>
  <c r="N323" i="1" s="1"/>
  <c r="M324" i="1"/>
  <c r="N324" i="1" s="1"/>
  <c r="M325" i="1"/>
  <c r="N325" i="1" s="1"/>
  <c r="M326" i="1"/>
  <c r="N326" i="1" s="1"/>
  <c r="M327" i="1"/>
  <c r="N327" i="1" s="1"/>
  <c r="M328" i="1"/>
  <c r="N328" i="1" s="1"/>
  <c r="M329" i="1"/>
  <c r="N329" i="1" s="1"/>
  <c r="M330" i="1"/>
  <c r="N330" i="1" s="1"/>
  <c r="M331" i="1"/>
  <c r="N331" i="1" s="1"/>
  <c r="M332" i="1"/>
  <c r="N332" i="1" s="1"/>
  <c r="M333" i="1"/>
  <c r="N333" i="1" s="1"/>
  <c r="M334" i="1"/>
  <c r="N334" i="1" s="1"/>
  <c r="M335" i="1"/>
  <c r="N335" i="1" s="1"/>
  <c r="M336" i="1"/>
  <c r="N336" i="1" s="1"/>
  <c r="M337" i="1"/>
  <c r="N337" i="1" s="1"/>
  <c r="M338" i="1"/>
  <c r="N338" i="1" s="1"/>
  <c r="M339" i="1"/>
  <c r="N339" i="1" s="1"/>
  <c r="M340" i="1"/>
  <c r="N340" i="1" s="1"/>
  <c r="M341" i="1"/>
  <c r="N341" i="1" s="1"/>
  <c r="M342" i="1"/>
  <c r="N342" i="1" s="1"/>
  <c r="M343" i="1"/>
  <c r="N343" i="1" s="1"/>
  <c r="M344" i="1"/>
  <c r="N344" i="1" s="1"/>
  <c r="M345" i="1"/>
  <c r="N345" i="1" s="1"/>
  <c r="M346" i="1"/>
  <c r="N346" i="1" s="1"/>
  <c r="M347" i="1"/>
  <c r="N347" i="1" s="1"/>
  <c r="M348" i="1"/>
  <c r="N348" i="1" s="1"/>
  <c r="M349" i="1"/>
  <c r="N349" i="1" s="1"/>
  <c r="M350" i="1"/>
  <c r="N350" i="1" s="1"/>
  <c r="M351" i="1"/>
  <c r="N351" i="1" s="1"/>
  <c r="M352" i="1"/>
  <c r="M353" i="1"/>
  <c r="N353" i="1" s="1"/>
  <c r="M354" i="1"/>
  <c r="N354" i="1" s="1"/>
  <c r="M355" i="1"/>
  <c r="N355" i="1" s="1"/>
  <c r="M356" i="1"/>
  <c r="N356" i="1" s="1"/>
  <c r="M357" i="1"/>
  <c r="N357" i="1" s="1"/>
  <c r="M358" i="1"/>
  <c r="N358" i="1" s="1"/>
  <c r="M359" i="1"/>
  <c r="N359" i="1" s="1"/>
  <c r="M360" i="1"/>
  <c r="N360" i="1" s="1"/>
  <c r="M361" i="1"/>
  <c r="N361" i="1" s="1"/>
  <c r="M362" i="1"/>
  <c r="N362" i="1" s="1"/>
  <c r="M363" i="1"/>
  <c r="N363" i="1" s="1"/>
  <c r="M364" i="1"/>
  <c r="N364" i="1" s="1"/>
  <c r="M365" i="1"/>
  <c r="N365" i="1" s="1"/>
  <c r="M366" i="1"/>
  <c r="N366" i="1" s="1"/>
  <c r="M367" i="1"/>
  <c r="N367" i="1" s="1"/>
  <c r="M368" i="1"/>
  <c r="N368" i="1" s="1"/>
  <c r="M369" i="1"/>
  <c r="N369" i="1" s="1"/>
  <c r="M370" i="1"/>
  <c r="N370" i="1" s="1"/>
  <c r="M371" i="1"/>
  <c r="N371" i="1" s="1"/>
  <c r="M372" i="1"/>
  <c r="N372" i="1" s="1"/>
  <c r="M373" i="1"/>
  <c r="N373" i="1" s="1"/>
  <c r="M374" i="1"/>
  <c r="N374" i="1" s="1"/>
  <c r="M375" i="1"/>
  <c r="N375" i="1" s="1"/>
  <c r="M376" i="1"/>
  <c r="N376" i="1" s="1"/>
  <c r="M377" i="1"/>
  <c r="N377" i="1" s="1"/>
  <c r="M378" i="1"/>
  <c r="N378" i="1" s="1"/>
  <c r="M379" i="1"/>
  <c r="N379" i="1" s="1"/>
  <c r="M380" i="1"/>
  <c r="N380" i="1" s="1"/>
  <c r="M381" i="1"/>
  <c r="N381" i="1" s="1"/>
  <c r="M382" i="1"/>
  <c r="N382" i="1" s="1"/>
  <c r="M383" i="1"/>
  <c r="N383" i="1" s="1"/>
  <c r="M384" i="1"/>
  <c r="N384" i="1" s="1"/>
  <c r="M385" i="1"/>
  <c r="N385" i="1" s="1"/>
  <c r="M386" i="1"/>
  <c r="N386" i="1" s="1"/>
  <c r="M387" i="1"/>
  <c r="N387" i="1" s="1"/>
  <c r="M388" i="1"/>
  <c r="N388" i="1" s="1"/>
  <c r="M389" i="1"/>
  <c r="N389" i="1" s="1"/>
  <c r="M390" i="1"/>
  <c r="N390" i="1" s="1"/>
  <c r="M391" i="1"/>
  <c r="N391" i="1" s="1"/>
  <c r="M392" i="1"/>
  <c r="N392" i="1" s="1"/>
  <c r="M393" i="1"/>
  <c r="N393" i="1" s="1"/>
  <c r="M394" i="1"/>
  <c r="N394" i="1" s="1"/>
  <c r="M395" i="1"/>
  <c r="N395" i="1" s="1"/>
  <c r="M396" i="1"/>
  <c r="N396" i="1" s="1"/>
  <c r="M397" i="1"/>
  <c r="N397" i="1" s="1"/>
  <c r="M398" i="1"/>
  <c r="N398" i="1" s="1"/>
  <c r="M399" i="1"/>
  <c r="N399" i="1" s="1"/>
  <c r="M400" i="1"/>
  <c r="N400" i="1" s="1"/>
  <c r="M401" i="1"/>
  <c r="N401" i="1" s="1"/>
  <c r="M402" i="1"/>
  <c r="N402" i="1" s="1"/>
  <c r="M403" i="1"/>
  <c r="N403" i="1" s="1"/>
  <c r="M404" i="1"/>
  <c r="N404" i="1" s="1"/>
  <c r="M405" i="1"/>
  <c r="N405" i="1" s="1"/>
  <c r="M406" i="1"/>
  <c r="N406" i="1" s="1"/>
  <c r="M407" i="1"/>
  <c r="N407" i="1" s="1"/>
  <c r="M408" i="1"/>
  <c r="N408" i="1" s="1"/>
  <c r="M409" i="1"/>
  <c r="N409" i="1" s="1"/>
  <c r="M410" i="1"/>
  <c r="N410" i="1" s="1"/>
  <c r="M411" i="1"/>
  <c r="N411" i="1" s="1"/>
  <c r="M412" i="1"/>
  <c r="N412" i="1" s="1"/>
  <c r="M413" i="1"/>
  <c r="N413" i="1" s="1"/>
  <c r="M414" i="1"/>
  <c r="N414" i="1" s="1"/>
  <c r="M415" i="1"/>
  <c r="N415" i="1" s="1"/>
  <c r="M416" i="1"/>
  <c r="N416" i="1" s="1"/>
  <c r="M417" i="1"/>
  <c r="N417" i="1" s="1"/>
  <c r="M418" i="1"/>
  <c r="N418" i="1" s="1"/>
  <c r="M419" i="1"/>
  <c r="N419" i="1" s="1"/>
  <c r="M420" i="1"/>
  <c r="N420" i="1" s="1"/>
  <c r="M421" i="1"/>
  <c r="N421" i="1" s="1"/>
  <c r="M422" i="1"/>
  <c r="N422" i="1" s="1"/>
  <c r="M423" i="1"/>
  <c r="N423" i="1" s="1"/>
  <c r="M424" i="1"/>
  <c r="N424" i="1" s="1"/>
  <c r="M425" i="1"/>
  <c r="N425" i="1" s="1"/>
  <c r="M426" i="1"/>
  <c r="N426" i="1" s="1"/>
  <c r="M427" i="1"/>
  <c r="N427" i="1" s="1"/>
  <c r="M428" i="1"/>
  <c r="N428" i="1" s="1"/>
  <c r="M429" i="1"/>
  <c r="N429" i="1" s="1"/>
  <c r="M430" i="1"/>
  <c r="N430" i="1" s="1"/>
  <c r="M431" i="1"/>
  <c r="N431" i="1" s="1"/>
  <c r="M432" i="1"/>
  <c r="N432" i="1" s="1"/>
  <c r="M433" i="1"/>
  <c r="N433" i="1" s="1"/>
  <c r="M434" i="1"/>
  <c r="N434" i="1" s="1"/>
  <c r="M435" i="1"/>
  <c r="N435" i="1" s="1"/>
  <c r="M436" i="1"/>
  <c r="N436" i="1" s="1"/>
  <c r="M437" i="1"/>
  <c r="N437" i="1" s="1"/>
  <c r="M438" i="1"/>
  <c r="N438" i="1" s="1"/>
  <c r="M439" i="1"/>
  <c r="N439" i="1" s="1"/>
  <c r="M440" i="1"/>
  <c r="N440" i="1" s="1"/>
  <c r="M441" i="1"/>
  <c r="N441" i="1" s="1"/>
  <c r="M442" i="1"/>
  <c r="N442" i="1" s="1"/>
  <c r="M443" i="1"/>
  <c r="N443" i="1" s="1"/>
  <c r="M444" i="1"/>
  <c r="N444" i="1" s="1"/>
  <c r="M445" i="1"/>
  <c r="N445" i="1" s="1"/>
  <c r="M446" i="1"/>
  <c r="N446" i="1" s="1"/>
  <c r="M447" i="1"/>
  <c r="N447" i="1" s="1"/>
  <c r="M448" i="1"/>
  <c r="N448" i="1" s="1"/>
  <c r="M449" i="1"/>
  <c r="N449" i="1" s="1"/>
  <c r="M450" i="1"/>
  <c r="N450" i="1" s="1"/>
  <c r="M451" i="1"/>
  <c r="N451" i="1" s="1"/>
  <c r="M452" i="1"/>
  <c r="N452" i="1" s="1"/>
  <c r="M453" i="1"/>
  <c r="N453" i="1" s="1"/>
  <c r="M454" i="1"/>
  <c r="N454" i="1" s="1"/>
  <c r="M455" i="1"/>
  <c r="N455" i="1" s="1"/>
  <c r="M456" i="1"/>
  <c r="N456" i="1" s="1"/>
  <c r="M457" i="1"/>
  <c r="N457" i="1" s="1"/>
  <c r="M458" i="1"/>
  <c r="N458" i="1" s="1"/>
  <c r="M459" i="1"/>
  <c r="N459" i="1" s="1"/>
  <c r="M460" i="1"/>
  <c r="N460" i="1" s="1"/>
  <c r="M461" i="1"/>
  <c r="N461" i="1" s="1"/>
  <c r="M462" i="1"/>
  <c r="N462" i="1" s="1"/>
  <c r="M463" i="1"/>
  <c r="N463" i="1" s="1"/>
  <c r="M464" i="1"/>
  <c r="N464" i="1" s="1"/>
  <c r="M465" i="1"/>
  <c r="N465" i="1" s="1"/>
  <c r="M466" i="1"/>
  <c r="N466" i="1" s="1"/>
  <c r="M467" i="1"/>
  <c r="N467" i="1" s="1"/>
  <c r="M468" i="1"/>
  <c r="N468" i="1" s="1"/>
  <c r="M469" i="1"/>
  <c r="N469" i="1" s="1"/>
  <c r="M470" i="1"/>
  <c r="N470" i="1" s="1"/>
  <c r="M471" i="1"/>
  <c r="N471" i="1" s="1"/>
  <c r="M472" i="1"/>
  <c r="N472" i="1" s="1"/>
  <c r="M473" i="1"/>
  <c r="N473" i="1" s="1"/>
  <c r="M474" i="1"/>
  <c r="N474" i="1" s="1"/>
  <c r="M475" i="1"/>
  <c r="N475" i="1" s="1"/>
  <c r="M476" i="1"/>
  <c r="N476" i="1" s="1"/>
  <c r="M477" i="1"/>
  <c r="N477" i="1" s="1"/>
  <c r="M478" i="1"/>
  <c r="N478" i="1" s="1"/>
  <c r="M479" i="1"/>
  <c r="N479" i="1" s="1"/>
  <c r="M480" i="1"/>
  <c r="N480" i="1" s="1"/>
  <c r="M481" i="1"/>
  <c r="N481" i="1" s="1"/>
  <c r="M482" i="1"/>
  <c r="N482" i="1" s="1"/>
  <c r="M483" i="1"/>
  <c r="N483" i="1" s="1"/>
  <c r="M484" i="1"/>
  <c r="N484" i="1" s="1"/>
  <c r="M485" i="1"/>
  <c r="N485" i="1" s="1"/>
  <c r="M486" i="1"/>
  <c r="N486" i="1" s="1"/>
  <c r="M487" i="1"/>
  <c r="N487" i="1" s="1"/>
  <c r="M488" i="1"/>
  <c r="N488" i="1" s="1"/>
  <c r="M489" i="1"/>
  <c r="N489" i="1" s="1"/>
  <c r="M490" i="1"/>
  <c r="N490" i="1" s="1"/>
  <c r="M491" i="1"/>
  <c r="N491" i="1" s="1"/>
  <c r="M492" i="1"/>
  <c r="N492" i="1" s="1"/>
  <c r="M493" i="1"/>
  <c r="N493" i="1" s="1"/>
  <c r="M494" i="1"/>
  <c r="N494" i="1" s="1"/>
  <c r="M495" i="1"/>
  <c r="N495" i="1" s="1"/>
  <c r="M496" i="1"/>
  <c r="N496" i="1" s="1"/>
  <c r="M497" i="1"/>
  <c r="N497" i="1" s="1"/>
  <c r="M498" i="1"/>
  <c r="N498" i="1" s="1"/>
  <c r="M499" i="1"/>
  <c r="N499" i="1" s="1"/>
  <c r="M500" i="1"/>
  <c r="N500" i="1" s="1"/>
  <c r="M501" i="1"/>
  <c r="N501" i="1" s="1"/>
  <c r="M502" i="1"/>
  <c r="N502" i="1" s="1"/>
  <c r="M503" i="1"/>
  <c r="N503" i="1" s="1"/>
  <c r="M504" i="1"/>
  <c r="N504" i="1" s="1"/>
  <c r="M505" i="1"/>
  <c r="N505" i="1" s="1"/>
  <c r="M506" i="1"/>
  <c r="N506" i="1" s="1"/>
  <c r="M507" i="1"/>
  <c r="N507" i="1" s="1"/>
  <c r="M508" i="1"/>
  <c r="N508" i="1" s="1"/>
  <c r="M509" i="1"/>
  <c r="N509" i="1" s="1"/>
  <c r="M510" i="1"/>
  <c r="N510" i="1" s="1"/>
  <c r="M511" i="1"/>
  <c r="N511" i="1" s="1"/>
  <c r="M512" i="1"/>
  <c r="N512" i="1" s="1"/>
  <c r="M513" i="1"/>
  <c r="N513" i="1" s="1"/>
  <c r="M514" i="1"/>
  <c r="N514" i="1" s="1"/>
  <c r="M515" i="1"/>
  <c r="M516" i="1"/>
  <c r="N516" i="1" s="1"/>
  <c r="M517" i="1"/>
  <c r="N517" i="1" s="1"/>
  <c r="M518" i="1"/>
  <c r="N518" i="1" s="1"/>
  <c r="M519" i="1"/>
  <c r="N519" i="1" s="1"/>
  <c r="M520" i="1"/>
  <c r="N520" i="1" s="1"/>
  <c r="M521" i="1"/>
  <c r="N521" i="1" s="1"/>
  <c r="M522" i="1"/>
  <c r="N522" i="1" s="1"/>
  <c r="M523" i="1"/>
  <c r="N523" i="1" s="1"/>
  <c r="M524" i="1"/>
  <c r="N524" i="1" s="1"/>
  <c r="M525" i="1"/>
  <c r="N525" i="1" s="1"/>
  <c r="M526" i="1"/>
  <c r="N526" i="1" s="1"/>
  <c r="M527" i="1"/>
  <c r="N527" i="1" s="1"/>
  <c r="M528" i="1"/>
  <c r="N528" i="1" s="1"/>
  <c r="M529" i="1"/>
  <c r="N529" i="1" s="1"/>
  <c r="M530" i="1"/>
  <c r="N530" i="1" s="1"/>
  <c r="M531" i="1"/>
  <c r="N531" i="1" s="1"/>
  <c r="M532" i="1"/>
  <c r="N532" i="1" s="1"/>
  <c r="M533" i="1"/>
  <c r="N533" i="1" s="1"/>
  <c r="M534" i="1"/>
  <c r="N534" i="1" s="1"/>
  <c r="M535" i="1"/>
  <c r="N535" i="1" s="1"/>
  <c r="M536" i="1"/>
  <c r="N536" i="1" s="1"/>
  <c r="M537" i="1"/>
  <c r="N537" i="1" s="1"/>
  <c r="M538" i="1"/>
  <c r="N538" i="1" s="1"/>
  <c r="M539" i="1"/>
  <c r="N539" i="1" s="1"/>
  <c r="M540" i="1"/>
  <c r="N540" i="1" s="1"/>
  <c r="M541" i="1"/>
  <c r="N541" i="1" s="1"/>
  <c r="M542" i="1"/>
  <c r="N542" i="1" s="1"/>
  <c r="M543" i="1"/>
  <c r="N543" i="1" s="1"/>
  <c r="M544" i="1"/>
  <c r="N544" i="1" s="1"/>
  <c r="M545" i="1"/>
  <c r="N545" i="1" s="1"/>
  <c r="M546" i="1"/>
  <c r="N546" i="1" s="1"/>
  <c r="M547" i="1"/>
  <c r="N547" i="1" s="1"/>
  <c r="M548" i="1"/>
  <c r="N548" i="1" s="1"/>
  <c r="M549" i="1"/>
  <c r="N549" i="1" s="1"/>
  <c r="M550" i="1"/>
  <c r="N550" i="1" s="1"/>
  <c r="M551" i="1"/>
  <c r="N551" i="1" s="1"/>
  <c r="M552" i="1"/>
  <c r="N552" i="1" s="1"/>
  <c r="M553" i="1"/>
  <c r="N553" i="1" s="1"/>
  <c r="M554" i="1"/>
  <c r="N554" i="1" s="1"/>
  <c r="M555" i="1"/>
  <c r="N555" i="1" s="1"/>
  <c r="M556" i="1"/>
  <c r="N556" i="1" s="1"/>
  <c r="M557" i="1"/>
  <c r="N557" i="1" s="1"/>
  <c r="M558" i="1"/>
  <c r="N558" i="1" s="1"/>
  <c r="M559" i="1"/>
  <c r="N559" i="1" s="1"/>
  <c r="M560" i="1"/>
  <c r="N560" i="1" s="1"/>
  <c r="M561" i="1"/>
  <c r="N561" i="1" s="1"/>
  <c r="M562" i="1"/>
  <c r="N562" i="1" s="1"/>
  <c r="M563" i="1"/>
  <c r="N563" i="1" s="1"/>
  <c r="M564" i="1"/>
  <c r="N564" i="1" s="1"/>
  <c r="M565" i="1"/>
  <c r="N565" i="1" s="1"/>
  <c r="M566" i="1"/>
  <c r="M567" i="1"/>
  <c r="N567" i="1" s="1"/>
  <c r="M568" i="1"/>
  <c r="N568" i="1" s="1"/>
  <c r="M569" i="1"/>
  <c r="N569" i="1" s="1"/>
  <c r="M570" i="1"/>
  <c r="N570" i="1" s="1"/>
  <c r="M571" i="1"/>
  <c r="N571" i="1" s="1"/>
  <c r="M572" i="1"/>
  <c r="N572" i="1" s="1"/>
  <c r="M573" i="1"/>
  <c r="N573" i="1" s="1"/>
  <c r="M574" i="1"/>
  <c r="N574" i="1" s="1"/>
  <c r="M575" i="1"/>
  <c r="N575" i="1" s="1"/>
  <c r="M576" i="1"/>
  <c r="N576" i="1" s="1"/>
  <c r="M577" i="1"/>
  <c r="N577" i="1" s="1"/>
  <c r="M578" i="1"/>
  <c r="N578" i="1" s="1"/>
  <c r="M579" i="1"/>
  <c r="N579" i="1" s="1"/>
  <c r="M580" i="1"/>
  <c r="N580" i="1" s="1"/>
  <c r="M581" i="1"/>
  <c r="N581" i="1" s="1"/>
  <c r="M582" i="1"/>
  <c r="N582" i="1" s="1"/>
  <c r="M583" i="1"/>
  <c r="N583" i="1" s="1"/>
  <c r="M584" i="1"/>
  <c r="N584" i="1" s="1"/>
  <c r="M585" i="1"/>
  <c r="N585" i="1" s="1"/>
  <c r="M586" i="1"/>
  <c r="N586" i="1" s="1"/>
  <c r="M587" i="1"/>
  <c r="N587" i="1" s="1"/>
  <c r="M588" i="1"/>
  <c r="N588" i="1" s="1"/>
  <c r="M589" i="1"/>
  <c r="N589" i="1" s="1"/>
  <c r="M590" i="1"/>
  <c r="N590" i="1" s="1"/>
  <c r="M591" i="1"/>
  <c r="N591" i="1" s="1"/>
  <c r="M592" i="1"/>
  <c r="N592" i="1" s="1"/>
  <c r="M593" i="1"/>
  <c r="N593" i="1" s="1"/>
  <c r="M594" i="1"/>
  <c r="N594" i="1" s="1"/>
  <c r="M595" i="1"/>
  <c r="N595" i="1" s="1"/>
  <c r="M596" i="1"/>
  <c r="N596" i="1" s="1"/>
  <c r="M597" i="1"/>
  <c r="N597" i="1" s="1"/>
  <c r="M598" i="1"/>
  <c r="N598" i="1" s="1"/>
  <c r="M599" i="1"/>
  <c r="N599" i="1" s="1"/>
  <c r="M600" i="1"/>
  <c r="N600" i="1" s="1"/>
  <c r="M601" i="1"/>
  <c r="N601" i="1" s="1"/>
  <c r="M602" i="1"/>
  <c r="N602" i="1" s="1"/>
  <c r="M603" i="1"/>
  <c r="N603" i="1" s="1"/>
  <c r="M604" i="1"/>
  <c r="N604" i="1" s="1"/>
  <c r="M605" i="1"/>
  <c r="M606" i="1"/>
  <c r="N606" i="1" s="1"/>
  <c r="M607" i="1"/>
  <c r="N607" i="1" s="1"/>
  <c r="M608" i="1"/>
  <c r="N608" i="1" s="1"/>
  <c r="M609" i="1"/>
  <c r="N609" i="1" s="1"/>
  <c r="M610" i="1"/>
  <c r="N610" i="1" s="1"/>
  <c r="M611" i="1"/>
  <c r="N611" i="1" s="1"/>
  <c r="M612" i="1"/>
  <c r="N612" i="1" s="1"/>
  <c r="M613" i="1"/>
  <c r="N613" i="1" s="1"/>
  <c r="M614" i="1"/>
  <c r="N614" i="1" s="1"/>
  <c r="M615" i="1"/>
  <c r="N615" i="1" s="1"/>
  <c r="M616" i="1"/>
  <c r="N616" i="1" s="1"/>
  <c r="M617" i="1"/>
  <c r="N617" i="1" s="1"/>
  <c r="M618" i="1"/>
  <c r="N618" i="1" s="1"/>
  <c r="M619" i="1"/>
  <c r="N619" i="1" s="1"/>
  <c r="M620" i="1"/>
  <c r="N620" i="1" s="1"/>
  <c r="M621" i="1"/>
  <c r="N621" i="1" s="1"/>
  <c r="M622" i="1"/>
  <c r="N622" i="1" s="1"/>
  <c r="M623" i="1"/>
  <c r="N623" i="1" s="1"/>
  <c r="M624" i="1"/>
  <c r="N624" i="1" s="1"/>
  <c r="M625" i="1"/>
  <c r="N625" i="1" s="1"/>
  <c r="M626" i="1"/>
  <c r="N626" i="1" s="1"/>
  <c r="M627" i="1"/>
  <c r="N627" i="1" s="1"/>
  <c r="M628" i="1"/>
  <c r="N628" i="1" s="1"/>
  <c r="M629" i="1"/>
  <c r="N629" i="1" s="1"/>
  <c r="M630" i="1"/>
  <c r="N630" i="1" s="1"/>
  <c r="M631" i="1"/>
  <c r="N631" i="1" s="1"/>
  <c r="M632" i="1"/>
  <c r="N632" i="1" s="1"/>
  <c r="M633" i="1"/>
  <c r="N633" i="1" s="1"/>
  <c r="M634" i="1"/>
  <c r="N634" i="1" s="1"/>
  <c r="M635" i="1"/>
  <c r="N635" i="1" s="1"/>
  <c r="M636" i="1"/>
  <c r="N636" i="1" s="1"/>
  <c r="M637" i="1"/>
  <c r="N637" i="1" s="1"/>
  <c r="M638" i="1"/>
  <c r="N638" i="1" s="1"/>
  <c r="M639" i="1"/>
  <c r="N639" i="1" s="1"/>
  <c r="M640" i="1"/>
  <c r="M641" i="1"/>
  <c r="N641" i="1" s="1"/>
  <c r="M642" i="1"/>
  <c r="N642" i="1" s="1"/>
  <c r="M643" i="1"/>
  <c r="N643" i="1" s="1"/>
  <c r="M644" i="1"/>
  <c r="N644" i="1" s="1"/>
  <c r="M645" i="1"/>
  <c r="N645" i="1" s="1"/>
  <c r="M646" i="1"/>
  <c r="N646" i="1" s="1"/>
  <c r="M647" i="1"/>
  <c r="N647" i="1" s="1"/>
  <c r="M648" i="1"/>
  <c r="N648" i="1" s="1"/>
  <c r="M649" i="1"/>
  <c r="N649" i="1" s="1"/>
  <c r="M650" i="1"/>
  <c r="N650" i="1" s="1"/>
  <c r="M651" i="1"/>
  <c r="N651" i="1" s="1"/>
  <c r="M652" i="1"/>
  <c r="N652" i="1" s="1"/>
  <c r="M653" i="1"/>
  <c r="N653" i="1" s="1"/>
  <c r="M654" i="1"/>
  <c r="N654" i="1" s="1"/>
  <c r="M655" i="1"/>
  <c r="N655" i="1" s="1"/>
  <c r="M656" i="1"/>
  <c r="N656" i="1" s="1"/>
  <c r="M657" i="1"/>
  <c r="N657" i="1" s="1"/>
  <c r="M658" i="1"/>
  <c r="N658" i="1" s="1"/>
  <c r="M659" i="1"/>
  <c r="N659" i="1" s="1"/>
  <c r="M660" i="1"/>
  <c r="N660" i="1" s="1"/>
  <c r="M661" i="1"/>
  <c r="N661" i="1" s="1"/>
  <c r="M662" i="1"/>
  <c r="N662" i="1" s="1"/>
  <c r="M663" i="1"/>
  <c r="N663" i="1" s="1"/>
  <c r="M664" i="1"/>
  <c r="N664" i="1" s="1"/>
  <c r="M665" i="1"/>
  <c r="N665" i="1" s="1"/>
  <c r="M666" i="1"/>
  <c r="N666" i="1" s="1"/>
  <c r="M667" i="1"/>
  <c r="N667" i="1" s="1"/>
  <c r="M668" i="1"/>
  <c r="N668" i="1" s="1"/>
  <c r="M669" i="1"/>
  <c r="N669" i="1" s="1"/>
  <c r="M670" i="1"/>
  <c r="N670" i="1" s="1"/>
  <c r="M671" i="1"/>
  <c r="N671" i="1" s="1"/>
  <c r="M672" i="1"/>
  <c r="N672" i="1" s="1"/>
  <c r="M673" i="1"/>
  <c r="N673" i="1" s="1"/>
  <c r="M674" i="1"/>
  <c r="N674" i="1" s="1"/>
  <c r="M675" i="1"/>
  <c r="M676" i="1"/>
  <c r="N676" i="1" s="1"/>
  <c r="M677" i="1"/>
  <c r="N677" i="1" s="1"/>
  <c r="M678" i="1"/>
  <c r="N678" i="1" s="1"/>
  <c r="M679" i="1"/>
  <c r="N679" i="1" s="1"/>
  <c r="M680" i="1"/>
  <c r="N680" i="1" s="1"/>
  <c r="M681" i="1"/>
  <c r="N681" i="1" s="1"/>
  <c r="M682" i="1"/>
  <c r="N682" i="1" s="1"/>
  <c r="M683" i="1"/>
  <c r="N683" i="1" s="1"/>
  <c r="M684" i="1"/>
  <c r="N684" i="1" s="1"/>
  <c r="M685" i="1"/>
  <c r="N685" i="1" s="1"/>
  <c r="M686" i="1"/>
  <c r="N686" i="1" s="1"/>
  <c r="M687" i="1"/>
  <c r="N687" i="1" s="1"/>
  <c r="M688" i="1"/>
  <c r="N688" i="1" s="1"/>
  <c r="M689" i="1"/>
  <c r="N689" i="1" s="1"/>
  <c r="M690" i="1"/>
  <c r="N690" i="1" s="1"/>
  <c r="M691" i="1"/>
  <c r="N691" i="1" s="1"/>
  <c r="M692" i="1"/>
  <c r="N692" i="1" s="1"/>
  <c r="M693" i="1"/>
  <c r="N693" i="1" s="1"/>
  <c r="M694" i="1"/>
  <c r="N694" i="1" s="1"/>
  <c r="M695" i="1"/>
  <c r="N695" i="1" s="1"/>
  <c r="M696" i="1"/>
  <c r="N696" i="1" s="1"/>
  <c r="M697" i="1"/>
  <c r="N697" i="1" s="1"/>
  <c r="M698" i="1"/>
  <c r="N698" i="1" s="1"/>
  <c r="M699" i="1"/>
  <c r="N699" i="1" s="1"/>
  <c r="M700" i="1"/>
  <c r="N700" i="1" s="1"/>
  <c r="M701" i="1"/>
  <c r="N701" i="1" s="1"/>
  <c r="M702" i="1"/>
  <c r="N702" i="1" s="1"/>
  <c r="M703" i="1"/>
  <c r="N703" i="1" s="1"/>
  <c r="M704" i="1"/>
  <c r="N704" i="1" s="1"/>
  <c r="M705" i="1"/>
  <c r="N705" i="1" s="1"/>
  <c r="M706" i="1"/>
  <c r="N706" i="1" s="1"/>
  <c r="M707" i="1"/>
  <c r="N707" i="1" s="1"/>
  <c r="M708" i="1"/>
  <c r="N708" i="1" s="1"/>
  <c r="M709" i="1"/>
  <c r="N709" i="1" s="1"/>
  <c r="M710" i="1"/>
  <c r="N710" i="1" s="1"/>
  <c r="M711" i="1"/>
  <c r="M712" i="1"/>
  <c r="N712" i="1" s="1"/>
  <c r="M713" i="1"/>
  <c r="N713" i="1" s="1"/>
  <c r="M714" i="1"/>
  <c r="N714" i="1" s="1"/>
  <c r="M715" i="1"/>
  <c r="N715" i="1" s="1"/>
  <c r="M716" i="1"/>
  <c r="N716" i="1" s="1"/>
  <c r="M717" i="1"/>
  <c r="N717" i="1" s="1"/>
  <c r="M718" i="1"/>
  <c r="N718" i="1" s="1"/>
  <c r="M719" i="1"/>
  <c r="N719" i="1" s="1"/>
  <c r="M720" i="1"/>
  <c r="N720" i="1" s="1"/>
  <c r="M721" i="1"/>
  <c r="N721" i="1" s="1"/>
  <c r="M722" i="1"/>
  <c r="N722" i="1" s="1"/>
  <c r="M723" i="1"/>
  <c r="N723" i="1" s="1"/>
  <c r="M724" i="1"/>
  <c r="N724" i="1" s="1"/>
  <c r="M725" i="1"/>
  <c r="N725" i="1" s="1"/>
  <c r="M726" i="1"/>
  <c r="N726" i="1" s="1"/>
  <c r="M727" i="1"/>
  <c r="N727" i="1" s="1"/>
  <c r="M728" i="1"/>
  <c r="N728" i="1" s="1"/>
  <c r="M729" i="1"/>
  <c r="N729" i="1" s="1"/>
  <c r="M730" i="1"/>
  <c r="N730" i="1" s="1"/>
  <c r="M731" i="1"/>
  <c r="N731" i="1" s="1"/>
  <c r="M732" i="1"/>
  <c r="N732" i="1" s="1"/>
  <c r="M733" i="1"/>
  <c r="N733" i="1" s="1"/>
  <c r="M734" i="1"/>
  <c r="N734" i="1" s="1"/>
  <c r="M735" i="1"/>
  <c r="N735" i="1" s="1"/>
  <c r="M736" i="1"/>
  <c r="N736" i="1" s="1"/>
  <c r="M737" i="1"/>
  <c r="N737" i="1" s="1"/>
  <c r="M738" i="1"/>
  <c r="N738" i="1" s="1"/>
  <c r="M739" i="1"/>
  <c r="N739" i="1" s="1"/>
  <c r="M740" i="1"/>
  <c r="N740" i="1" s="1"/>
  <c r="M741" i="1"/>
  <c r="N741" i="1" s="1"/>
  <c r="M742" i="1"/>
  <c r="N742" i="1" s="1"/>
  <c r="M743" i="1"/>
  <c r="N743" i="1" s="1"/>
  <c r="M744" i="1"/>
  <c r="N744" i="1" s="1"/>
  <c r="M745" i="1"/>
  <c r="N745" i="1" s="1"/>
  <c r="M746" i="1"/>
  <c r="N746" i="1" s="1"/>
  <c r="M747" i="1"/>
  <c r="N747" i="1" s="1"/>
  <c r="M748" i="1"/>
  <c r="N748" i="1" s="1"/>
  <c r="M749" i="1"/>
  <c r="N749" i="1" s="1"/>
  <c r="M750" i="1"/>
  <c r="N750" i="1" s="1"/>
  <c r="M751" i="1"/>
  <c r="N751" i="1" s="1"/>
  <c r="M752" i="1"/>
  <c r="N752" i="1" s="1"/>
  <c r="M753" i="1"/>
  <c r="N753" i="1" s="1"/>
  <c r="M754" i="1"/>
  <c r="N754" i="1" s="1"/>
  <c r="M755" i="1"/>
  <c r="N755" i="1" s="1"/>
  <c r="M756" i="1"/>
  <c r="N756" i="1" s="1"/>
  <c r="M757" i="1"/>
  <c r="N757" i="1" s="1"/>
  <c r="M758" i="1"/>
  <c r="N758" i="1" s="1"/>
  <c r="M759" i="1"/>
  <c r="N759" i="1" s="1"/>
  <c r="M760" i="1"/>
  <c r="N760" i="1" s="1"/>
  <c r="M761" i="1"/>
  <c r="N761" i="1" s="1"/>
  <c r="M762" i="1"/>
  <c r="N762" i="1" s="1"/>
  <c r="M763" i="1"/>
  <c r="N763" i="1" s="1"/>
  <c r="M764" i="1"/>
  <c r="N764" i="1" s="1"/>
  <c r="M765" i="1"/>
  <c r="N765" i="1" s="1"/>
  <c r="M766" i="1"/>
  <c r="N766" i="1" s="1"/>
  <c r="M767" i="1"/>
  <c r="N767" i="1" s="1"/>
  <c r="M768" i="1"/>
  <c r="N768" i="1" s="1"/>
  <c r="M769" i="1"/>
  <c r="N769" i="1" s="1"/>
  <c r="M770" i="1"/>
  <c r="N770" i="1" s="1"/>
  <c r="M771" i="1"/>
  <c r="N771" i="1" s="1"/>
  <c r="M772" i="1"/>
  <c r="N772" i="1" s="1"/>
  <c r="M773" i="1"/>
  <c r="N773" i="1" s="1"/>
  <c r="M774" i="1"/>
  <c r="N774" i="1" s="1"/>
  <c r="M775" i="1"/>
  <c r="N775" i="1" s="1"/>
  <c r="M776" i="1"/>
  <c r="N776" i="1" s="1"/>
  <c r="M777" i="1"/>
  <c r="N777" i="1" s="1"/>
  <c r="M778" i="1"/>
  <c r="N778" i="1" s="1"/>
  <c r="M779" i="1"/>
  <c r="N779" i="1" s="1"/>
  <c r="M780" i="1"/>
  <c r="N780" i="1" s="1"/>
  <c r="M781" i="1"/>
  <c r="N781" i="1" s="1"/>
  <c r="M782" i="1"/>
  <c r="N782" i="1" s="1"/>
  <c r="M783" i="1"/>
  <c r="N783" i="1" s="1"/>
  <c r="M784" i="1"/>
  <c r="N784" i="1" s="1"/>
  <c r="M785" i="1"/>
  <c r="N785" i="1" s="1"/>
  <c r="M786" i="1"/>
  <c r="N786" i="1" s="1"/>
  <c r="M787" i="1"/>
  <c r="N787" i="1" s="1"/>
  <c r="M788" i="1"/>
  <c r="N788" i="1" s="1"/>
  <c r="M789" i="1"/>
  <c r="N789" i="1" s="1"/>
  <c r="M790" i="1"/>
  <c r="N790" i="1" s="1"/>
  <c r="M791" i="1"/>
  <c r="N791" i="1" s="1"/>
  <c r="M792" i="1"/>
  <c r="N792" i="1" s="1"/>
  <c r="M793" i="1"/>
  <c r="N793" i="1" s="1"/>
  <c r="M794" i="1"/>
  <c r="N794" i="1" s="1"/>
  <c r="M795" i="1"/>
  <c r="N795" i="1" s="1"/>
  <c r="M796" i="1"/>
  <c r="N796" i="1" s="1"/>
  <c r="M797" i="1"/>
  <c r="N797" i="1" s="1"/>
  <c r="M798" i="1"/>
  <c r="N798" i="1" s="1"/>
  <c r="M799" i="1"/>
  <c r="N799" i="1" s="1"/>
  <c r="M800" i="1"/>
  <c r="N800" i="1" s="1"/>
  <c r="M801" i="1"/>
  <c r="N801" i="1" s="1"/>
  <c r="M802" i="1"/>
  <c r="N802" i="1" s="1"/>
  <c r="M803" i="1"/>
  <c r="N803" i="1" s="1"/>
  <c r="M804" i="1"/>
  <c r="N804" i="1" s="1"/>
  <c r="M805" i="1"/>
  <c r="N805" i="1" s="1"/>
  <c r="M806" i="1"/>
  <c r="N806" i="1" s="1"/>
  <c r="M807" i="1"/>
  <c r="N807" i="1" s="1"/>
  <c r="M808" i="1"/>
  <c r="N808" i="1" s="1"/>
  <c r="M809" i="1"/>
  <c r="N809" i="1" s="1"/>
  <c r="M810" i="1"/>
  <c r="N810" i="1" s="1"/>
  <c r="M811" i="1"/>
  <c r="N811" i="1" s="1"/>
  <c r="M812" i="1"/>
  <c r="N812" i="1" s="1"/>
  <c r="M813" i="1"/>
  <c r="N813" i="1" s="1"/>
  <c r="M814" i="1"/>
  <c r="N814" i="1" s="1"/>
  <c r="M815" i="1"/>
  <c r="N815" i="1" s="1"/>
  <c r="M816" i="1"/>
  <c r="N816" i="1" s="1"/>
  <c r="M817" i="1"/>
  <c r="N817" i="1" s="1"/>
  <c r="M818" i="1"/>
  <c r="N818" i="1" s="1"/>
  <c r="M819" i="1"/>
  <c r="N819" i="1" s="1"/>
  <c r="M820" i="1"/>
  <c r="N820" i="1" s="1"/>
  <c r="M821" i="1"/>
  <c r="N821" i="1" s="1"/>
  <c r="M822" i="1"/>
  <c r="N822" i="1" s="1"/>
  <c r="M823" i="1"/>
  <c r="N823" i="1" s="1"/>
  <c r="M824" i="1"/>
  <c r="N824" i="1" s="1"/>
  <c r="M825" i="1"/>
  <c r="N825" i="1" s="1"/>
  <c r="M826" i="1"/>
  <c r="N826" i="1" s="1"/>
  <c r="M827" i="1"/>
  <c r="N827" i="1" s="1"/>
  <c r="M828" i="1"/>
  <c r="N828" i="1" s="1"/>
  <c r="M829" i="1"/>
  <c r="N829" i="1" s="1"/>
  <c r="M830" i="1"/>
  <c r="N830" i="1" s="1"/>
  <c r="M831" i="1"/>
  <c r="N831" i="1" s="1"/>
  <c r="M832" i="1"/>
  <c r="N832" i="1" s="1"/>
  <c r="M833" i="1"/>
  <c r="N833" i="1" s="1"/>
  <c r="M834" i="1"/>
  <c r="N834" i="1" s="1"/>
  <c r="M835" i="1"/>
  <c r="N835" i="1" s="1"/>
  <c r="M836" i="1"/>
  <c r="N836" i="1" s="1"/>
  <c r="M837" i="1"/>
  <c r="N837" i="1" s="1"/>
  <c r="M838" i="1"/>
  <c r="N838" i="1" s="1"/>
  <c r="M839" i="1"/>
  <c r="N839" i="1" s="1"/>
  <c r="M840" i="1"/>
  <c r="N840" i="1" s="1"/>
  <c r="M841" i="1"/>
  <c r="N841" i="1" s="1"/>
  <c r="M842" i="1"/>
  <c r="N842" i="1" s="1"/>
  <c r="M843" i="1"/>
  <c r="N843" i="1" s="1"/>
  <c r="M844" i="1"/>
  <c r="N844" i="1" s="1"/>
  <c r="M845" i="1"/>
  <c r="N845" i="1" s="1"/>
  <c r="M846" i="1"/>
  <c r="N846" i="1" s="1"/>
  <c r="M847" i="1"/>
  <c r="N847" i="1" s="1"/>
  <c r="M848" i="1"/>
  <c r="N848" i="1" s="1"/>
  <c r="M849" i="1"/>
  <c r="N849" i="1" s="1"/>
  <c r="M850" i="1"/>
  <c r="N850" i="1" s="1"/>
  <c r="M851" i="1"/>
  <c r="N851" i="1" s="1"/>
  <c r="M852" i="1"/>
  <c r="N852" i="1" s="1"/>
  <c r="M853" i="1"/>
  <c r="N853" i="1" s="1"/>
  <c r="M854" i="1"/>
  <c r="N854" i="1" s="1"/>
  <c r="M855" i="1"/>
  <c r="N855" i="1" s="1"/>
  <c r="M856" i="1"/>
  <c r="N856" i="1" s="1"/>
  <c r="M857" i="1"/>
  <c r="N857" i="1" s="1"/>
  <c r="M858" i="1"/>
  <c r="N858" i="1" s="1"/>
  <c r="M859" i="1"/>
  <c r="N859" i="1" s="1"/>
  <c r="M860" i="1"/>
  <c r="N860" i="1" s="1"/>
  <c r="M861" i="1"/>
  <c r="N861" i="1" s="1"/>
  <c r="M862" i="1"/>
  <c r="N862" i="1" s="1"/>
  <c r="M863" i="1"/>
  <c r="N863" i="1" s="1"/>
  <c r="M864" i="1"/>
  <c r="N864" i="1" s="1"/>
  <c r="M865" i="1"/>
  <c r="N865" i="1" s="1"/>
  <c r="M866" i="1"/>
  <c r="N866" i="1" s="1"/>
  <c r="M867" i="1"/>
  <c r="N867" i="1" s="1"/>
  <c r="M868" i="1"/>
  <c r="N868" i="1" s="1"/>
  <c r="M869" i="1"/>
  <c r="N869" i="1" s="1"/>
  <c r="M870" i="1"/>
  <c r="N870" i="1" s="1"/>
  <c r="M871" i="1"/>
  <c r="N871" i="1" s="1"/>
  <c r="M872" i="1"/>
  <c r="N872" i="1" s="1"/>
  <c r="M873" i="1"/>
  <c r="N873" i="1" s="1"/>
  <c r="M874" i="1"/>
  <c r="N874" i="1" s="1"/>
  <c r="M875" i="1"/>
  <c r="N875" i="1" s="1"/>
  <c r="M876" i="1"/>
  <c r="N876" i="1" s="1"/>
  <c r="M877" i="1"/>
  <c r="N877" i="1" s="1"/>
  <c r="M878" i="1"/>
  <c r="N878" i="1" s="1"/>
  <c r="M879" i="1"/>
  <c r="N879" i="1" s="1"/>
  <c r="M880" i="1"/>
  <c r="N880" i="1" s="1"/>
  <c r="M881" i="1"/>
  <c r="N881" i="1" s="1"/>
  <c r="M882" i="1"/>
  <c r="N882" i="1" s="1"/>
  <c r="M883" i="1"/>
  <c r="N883" i="1" s="1"/>
  <c r="M884" i="1"/>
  <c r="N884" i="1" s="1"/>
  <c r="M885" i="1"/>
  <c r="N885" i="1" s="1"/>
  <c r="M886" i="1"/>
  <c r="N886" i="1" s="1"/>
  <c r="M887" i="1"/>
  <c r="N887" i="1" s="1"/>
  <c r="M888" i="1"/>
  <c r="N888" i="1" s="1"/>
  <c r="M889" i="1"/>
  <c r="N889" i="1" s="1"/>
  <c r="M890" i="1"/>
  <c r="N890" i="1" s="1"/>
  <c r="M891" i="1"/>
  <c r="N891" i="1" s="1"/>
  <c r="M892" i="1"/>
  <c r="N892" i="1" s="1"/>
  <c r="M893" i="1"/>
  <c r="N893" i="1" s="1"/>
  <c r="M894" i="1"/>
  <c r="N894" i="1" s="1"/>
  <c r="M895" i="1"/>
  <c r="N895" i="1" s="1"/>
  <c r="M896" i="1"/>
  <c r="N896" i="1" s="1"/>
  <c r="M897" i="1"/>
  <c r="N897" i="1" s="1"/>
  <c r="M898" i="1"/>
  <c r="N898" i="1" s="1"/>
  <c r="M899" i="1"/>
  <c r="N899" i="1" s="1"/>
  <c r="M900" i="1"/>
  <c r="N900" i="1" s="1"/>
  <c r="M901" i="1"/>
  <c r="N901" i="1" s="1"/>
  <c r="M902" i="1"/>
  <c r="N902" i="1" s="1"/>
  <c r="M903" i="1"/>
  <c r="N903" i="1" s="1"/>
  <c r="M904" i="1"/>
  <c r="N904" i="1" s="1"/>
  <c r="M905" i="1"/>
  <c r="N905" i="1" s="1"/>
  <c r="M906" i="1"/>
  <c r="N906" i="1" s="1"/>
  <c r="M907" i="1"/>
  <c r="N907" i="1" s="1"/>
  <c r="M908" i="1"/>
  <c r="N908" i="1" s="1"/>
  <c r="M909" i="1"/>
  <c r="N909" i="1" s="1"/>
  <c r="M910" i="1"/>
  <c r="N910" i="1" s="1"/>
  <c r="M911" i="1"/>
  <c r="N911" i="1" s="1"/>
  <c r="M912" i="1"/>
  <c r="N912" i="1" s="1"/>
  <c r="M913" i="1"/>
  <c r="N913" i="1" s="1"/>
  <c r="M914" i="1"/>
  <c r="N914" i="1" s="1"/>
  <c r="M915" i="1"/>
  <c r="N915" i="1" s="1"/>
  <c r="M916" i="1"/>
  <c r="N916" i="1" s="1"/>
  <c r="M917" i="1"/>
  <c r="N917" i="1" s="1"/>
  <c r="M918" i="1"/>
  <c r="N918" i="1" s="1"/>
  <c r="M919" i="1"/>
  <c r="N919" i="1" s="1"/>
  <c r="M920" i="1"/>
  <c r="N920" i="1" s="1"/>
  <c r="M921" i="1"/>
  <c r="N921" i="1" s="1"/>
  <c r="M922" i="1"/>
  <c r="N922" i="1" s="1"/>
  <c r="M923" i="1"/>
  <c r="N923" i="1" s="1"/>
  <c r="M924" i="1"/>
  <c r="N924" i="1" s="1"/>
  <c r="M925" i="1"/>
  <c r="N925" i="1" s="1"/>
  <c r="M926" i="1"/>
  <c r="N926" i="1" s="1"/>
  <c r="M927" i="1"/>
  <c r="N927" i="1" s="1"/>
  <c r="M928" i="1"/>
  <c r="N928" i="1" s="1"/>
  <c r="M929" i="1"/>
  <c r="N929" i="1" s="1"/>
  <c r="M930" i="1"/>
  <c r="N930" i="1" s="1"/>
  <c r="M931" i="1"/>
  <c r="N931" i="1" s="1"/>
  <c r="M932" i="1"/>
  <c r="N932" i="1" s="1"/>
  <c r="M933" i="1"/>
  <c r="N933" i="1" s="1"/>
  <c r="M934" i="1"/>
  <c r="N934" i="1" s="1"/>
  <c r="M935" i="1"/>
  <c r="N935" i="1" s="1"/>
  <c r="M936" i="1"/>
  <c r="N936" i="1" s="1"/>
  <c r="M937" i="1"/>
  <c r="N937" i="1" s="1"/>
  <c r="M938" i="1"/>
  <c r="N938" i="1" s="1"/>
  <c r="M939" i="1"/>
  <c r="N939" i="1" s="1"/>
  <c r="M940" i="1"/>
  <c r="N940" i="1" s="1"/>
  <c r="M941" i="1"/>
  <c r="N941" i="1" s="1"/>
  <c r="M942" i="1"/>
  <c r="N942" i="1" s="1"/>
  <c r="M943" i="1"/>
  <c r="N943" i="1" s="1"/>
  <c r="M944" i="1"/>
  <c r="M945" i="1"/>
  <c r="N945" i="1" s="1"/>
  <c r="M946" i="1"/>
  <c r="N946" i="1" s="1"/>
  <c r="M947" i="1"/>
  <c r="N947" i="1" s="1"/>
  <c r="M948" i="1"/>
  <c r="N948" i="1" s="1"/>
  <c r="M949" i="1"/>
  <c r="N949" i="1" s="1"/>
  <c r="M950" i="1"/>
  <c r="N950" i="1" s="1"/>
  <c r="M951" i="1"/>
  <c r="N951" i="1" s="1"/>
  <c r="M952" i="1"/>
  <c r="N952" i="1" s="1"/>
  <c r="M953" i="1"/>
  <c r="N953" i="1" s="1"/>
  <c r="M954" i="1"/>
  <c r="N954" i="1" s="1"/>
  <c r="M955" i="1"/>
  <c r="N955" i="1" s="1"/>
  <c r="M956" i="1"/>
  <c r="N956" i="1" s="1"/>
  <c r="M957" i="1"/>
  <c r="N957" i="1" s="1"/>
  <c r="M958" i="1"/>
  <c r="N958" i="1" s="1"/>
  <c r="M959" i="1"/>
  <c r="N959" i="1" s="1"/>
  <c r="M960" i="1"/>
  <c r="N960" i="1" s="1"/>
  <c r="M961" i="1"/>
  <c r="N961" i="1" s="1"/>
  <c r="M962" i="1"/>
  <c r="N962" i="1" s="1"/>
  <c r="M963" i="1"/>
  <c r="N963" i="1" s="1"/>
  <c r="M964" i="1"/>
  <c r="N964" i="1" s="1"/>
  <c r="M965" i="1"/>
  <c r="N965" i="1" s="1"/>
  <c r="M966" i="1"/>
  <c r="N966" i="1" s="1"/>
  <c r="M967" i="1"/>
  <c r="N967" i="1" s="1"/>
  <c r="M968" i="1"/>
  <c r="N968" i="1" s="1"/>
  <c r="M969" i="1"/>
  <c r="N969" i="1" s="1"/>
  <c r="M970" i="1"/>
  <c r="N970" i="1" s="1"/>
  <c r="M971" i="1"/>
  <c r="N971" i="1" s="1"/>
  <c r="M972" i="1"/>
  <c r="N972" i="1" s="1"/>
  <c r="M973" i="1"/>
  <c r="N973" i="1" s="1"/>
  <c r="M974" i="1"/>
  <c r="N974" i="1" s="1"/>
  <c r="M975" i="1"/>
  <c r="N975" i="1" s="1"/>
  <c r="M976" i="1"/>
  <c r="N976" i="1" s="1"/>
  <c r="M977" i="1"/>
  <c r="N977" i="1" s="1"/>
  <c r="M978" i="1"/>
  <c r="N978" i="1" s="1"/>
  <c r="M979" i="1"/>
  <c r="N979" i="1" s="1"/>
  <c r="M980" i="1"/>
  <c r="N980" i="1" s="1"/>
  <c r="M981" i="1"/>
  <c r="N981" i="1" s="1"/>
  <c r="M982" i="1"/>
  <c r="N982" i="1" s="1"/>
  <c r="M983" i="1"/>
  <c r="N983" i="1" s="1"/>
  <c r="M984" i="1"/>
  <c r="N984" i="1" s="1"/>
  <c r="M985" i="1"/>
  <c r="N985" i="1" s="1"/>
  <c r="M986" i="1"/>
  <c r="N986" i="1" s="1"/>
  <c r="M987" i="1"/>
  <c r="N987" i="1" s="1"/>
  <c r="M988" i="1"/>
  <c r="N988" i="1" s="1"/>
  <c r="M989" i="1"/>
  <c r="N989" i="1" s="1"/>
  <c r="M990" i="1"/>
  <c r="N990" i="1" s="1"/>
  <c r="M991" i="1"/>
  <c r="N991" i="1" s="1"/>
  <c r="M992" i="1"/>
  <c r="N992" i="1" s="1"/>
  <c r="M993" i="1"/>
  <c r="N993" i="1" s="1"/>
  <c r="M994" i="1"/>
  <c r="N994" i="1" s="1"/>
  <c r="M995" i="1"/>
  <c r="N995" i="1" s="1"/>
  <c r="M996" i="1"/>
  <c r="N996" i="1" s="1"/>
  <c r="M997" i="1"/>
  <c r="N997" i="1" s="1"/>
  <c r="M998" i="1"/>
  <c r="N998" i="1" s="1"/>
  <c r="M999" i="1"/>
  <c r="M1000" i="1"/>
  <c r="N1000" i="1" s="1"/>
  <c r="M1001" i="1"/>
  <c r="N1001" i="1" s="1"/>
  <c r="M1002" i="1"/>
  <c r="N1002" i="1" s="1"/>
  <c r="M1003" i="1"/>
  <c r="N1003" i="1" s="1"/>
  <c r="M1004" i="1"/>
  <c r="N1004" i="1" s="1"/>
  <c r="M1005" i="1"/>
  <c r="N1005" i="1" s="1"/>
  <c r="M1006" i="1"/>
  <c r="N1006" i="1" s="1"/>
  <c r="M1007" i="1"/>
  <c r="N1007" i="1" s="1"/>
  <c r="M1008" i="1"/>
  <c r="N1008" i="1" s="1"/>
  <c r="M1009" i="1"/>
  <c r="N1009" i="1" s="1"/>
  <c r="M1010" i="1"/>
  <c r="N1010" i="1" s="1"/>
  <c r="M1011" i="1"/>
  <c r="N1011" i="1" s="1"/>
  <c r="M1012" i="1"/>
  <c r="N1012" i="1" s="1"/>
  <c r="M1013" i="1"/>
  <c r="N1013" i="1" s="1"/>
  <c r="M1014" i="1"/>
  <c r="N1014" i="1" s="1"/>
  <c r="M1015" i="1"/>
  <c r="N1015" i="1" s="1"/>
  <c r="M1016" i="1"/>
  <c r="N1016" i="1" s="1"/>
  <c r="M1017" i="1"/>
  <c r="N1017" i="1" s="1"/>
  <c r="M1018" i="1"/>
  <c r="N1018" i="1" s="1"/>
  <c r="M1019" i="1"/>
  <c r="N1019" i="1" s="1"/>
  <c r="M1020" i="1"/>
  <c r="N1020" i="1" s="1"/>
  <c r="M1021" i="1"/>
  <c r="N1021" i="1" s="1"/>
  <c r="M1022" i="1"/>
  <c r="N1022" i="1" s="1"/>
  <c r="M1023" i="1"/>
  <c r="N1023" i="1" s="1"/>
  <c r="M1024" i="1"/>
  <c r="N1024" i="1" s="1"/>
  <c r="M1025" i="1"/>
  <c r="N1025" i="1" s="1"/>
  <c r="M1026" i="1"/>
  <c r="N1026" i="1" s="1"/>
  <c r="M1027" i="1"/>
  <c r="N1027" i="1" s="1"/>
  <c r="M1028" i="1"/>
  <c r="N1028" i="1" s="1"/>
  <c r="M1029" i="1"/>
  <c r="N1029" i="1" s="1"/>
  <c r="M1030" i="1"/>
  <c r="N1030" i="1" s="1"/>
  <c r="M1031" i="1"/>
  <c r="N1031" i="1" s="1"/>
  <c r="M1032" i="1"/>
  <c r="N1032" i="1" s="1"/>
  <c r="M1033" i="1"/>
  <c r="N1033" i="1" s="1"/>
  <c r="M1034" i="1"/>
  <c r="N1034" i="1" s="1"/>
  <c r="M1035" i="1"/>
  <c r="N1035" i="1" s="1"/>
  <c r="M1036" i="1"/>
  <c r="N1036" i="1" s="1"/>
  <c r="M1037" i="1"/>
  <c r="N1037" i="1" s="1"/>
  <c r="M1038" i="1"/>
  <c r="N1038" i="1" s="1"/>
  <c r="M1039" i="1"/>
  <c r="N1039" i="1" s="1"/>
  <c r="M1040" i="1"/>
  <c r="N1040" i="1" s="1"/>
  <c r="M1041" i="1"/>
  <c r="N1041" i="1" s="1"/>
  <c r="M1042" i="1"/>
  <c r="N1042" i="1" s="1"/>
  <c r="M1043" i="1"/>
  <c r="N1043" i="1" s="1"/>
  <c r="M1044" i="1"/>
  <c r="N1044" i="1" s="1"/>
  <c r="M1045" i="1"/>
  <c r="N1045" i="1" s="1"/>
  <c r="M1046" i="1"/>
  <c r="N1046" i="1" s="1"/>
  <c r="M1047" i="1"/>
  <c r="N1047" i="1" s="1"/>
  <c r="M1048" i="1"/>
  <c r="N1048" i="1" s="1"/>
  <c r="M1049" i="1"/>
  <c r="N1049" i="1" s="1"/>
  <c r="M1050" i="1"/>
  <c r="N1050" i="1" s="1"/>
  <c r="M1051" i="1"/>
  <c r="N1051" i="1" s="1"/>
  <c r="M1052" i="1"/>
  <c r="N1052" i="1" s="1"/>
  <c r="M1053" i="1"/>
  <c r="N1053" i="1" s="1"/>
  <c r="M1054" i="1"/>
  <c r="N1054" i="1" s="1"/>
  <c r="M1055" i="1"/>
  <c r="N1055" i="1" s="1"/>
  <c r="M1056" i="1"/>
  <c r="N1056" i="1" s="1"/>
  <c r="M1057" i="1"/>
  <c r="N1057" i="1" s="1"/>
  <c r="M1058" i="1"/>
  <c r="N1058" i="1" s="1"/>
  <c r="M1059" i="1"/>
  <c r="N1059" i="1" s="1"/>
  <c r="M1060" i="1"/>
  <c r="N1060" i="1" s="1"/>
  <c r="M1061" i="1"/>
  <c r="N1061" i="1" s="1"/>
  <c r="M1062" i="1"/>
  <c r="N1062" i="1" s="1"/>
  <c r="M1063" i="1"/>
  <c r="N1063" i="1" s="1"/>
  <c r="M1064" i="1"/>
  <c r="N1064" i="1" s="1"/>
  <c r="M1065" i="1"/>
  <c r="N1065" i="1" s="1"/>
  <c r="M1066" i="1"/>
  <c r="N1066" i="1" s="1"/>
  <c r="M1067" i="1"/>
  <c r="N1067" i="1" s="1"/>
  <c r="M1068" i="1"/>
  <c r="N1068" i="1" s="1"/>
  <c r="M1069" i="1"/>
  <c r="N1069" i="1" s="1"/>
  <c r="M1070" i="1"/>
  <c r="N1070" i="1" s="1"/>
  <c r="M1071" i="1"/>
  <c r="N1071" i="1" s="1"/>
  <c r="M1072" i="1"/>
  <c r="N1072" i="1" s="1"/>
  <c r="M1073" i="1"/>
  <c r="N1073" i="1" s="1"/>
  <c r="M1074" i="1"/>
  <c r="N1074" i="1" s="1"/>
  <c r="M1075" i="1"/>
  <c r="N1075" i="1" s="1"/>
  <c r="M1076" i="1"/>
  <c r="N1076" i="1" s="1"/>
  <c r="M1077" i="1"/>
  <c r="N1077" i="1" s="1"/>
  <c r="M1078" i="1"/>
  <c r="N1078" i="1" s="1"/>
  <c r="M1079" i="1"/>
  <c r="N1079" i="1" s="1"/>
  <c r="M1080" i="1"/>
  <c r="N1080" i="1" s="1"/>
  <c r="M1081" i="1"/>
  <c r="N1081" i="1" s="1"/>
  <c r="M1082" i="1"/>
  <c r="N1082" i="1" s="1"/>
  <c r="M1083" i="1"/>
  <c r="N1083" i="1" s="1"/>
  <c r="M1084" i="1"/>
  <c r="N1084" i="1" s="1"/>
  <c r="M1085" i="1"/>
  <c r="N1085" i="1" s="1"/>
  <c r="M1086" i="1"/>
  <c r="N1086" i="1" s="1"/>
  <c r="M1087" i="1"/>
  <c r="M1088" i="1"/>
  <c r="N1088" i="1" s="1"/>
  <c r="M1089" i="1"/>
  <c r="N1089" i="1" s="1"/>
  <c r="M1090" i="1"/>
  <c r="N1090" i="1" s="1"/>
  <c r="M1091" i="1"/>
  <c r="N1091" i="1" s="1"/>
  <c r="M1092" i="1"/>
  <c r="N1092" i="1" s="1"/>
  <c r="M1093" i="1"/>
  <c r="N1093" i="1" s="1"/>
  <c r="M1094" i="1"/>
  <c r="N1094" i="1" s="1"/>
  <c r="M1095" i="1"/>
  <c r="N1095" i="1" s="1"/>
  <c r="M1096" i="1"/>
  <c r="N1096" i="1" s="1"/>
  <c r="M1097" i="1"/>
  <c r="N1097" i="1" s="1"/>
  <c r="M1098" i="1"/>
  <c r="N1098" i="1" s="1"/>
  <c r="M1099" i="1"/>
  <c r="N1099" i="1" s="1"/>
  <c r="M1100" i="1"/>
  <c r="N1100" i="1" s="1"/>
  <c r="M1101" i="1"/>
  <c r="N1101" i="1" s="1"/>
  <c r="M1102" i="1"/>
  <c r="N1102" i="1" s="1"/>
  <c r="M1103" i="1"/>
  <c r="N1103" i="1" s="1"/>
  <c r="M1104" i="1"/>
  <c r="N1104" i="1" s="1"/>
  <c r="M1105" i="1"/>
  <c r="N1105" i="1" s="1"/>
  <c r="M1106" i="1"/>
  <c r="N1106" i="1" s="1"/>
  <c r="M1107" i="1"/>
  <c r="N1107" i="1" s="1"/>
  <c r="M1108" i="1"/>
  <c r="N1108" i="1" s="1"/>
  <c r="M1109" i="1"/>
  <c r="N1109" i="1" s="1"/>
  <c r="M1110" i="1"/>
  <c r="N1110" i="1" s="1"/>
  <c r="M1111" i="1"/>
  <c r="N1111" i="1" s="1"/>
  <c r="M1112" i="1"/>
  <c r="N1112" i="1" s="1"/>
  <c r="M1113" i="1"/>
  <c r="N1113" i="1" s="1"/>
  <c r="M1114" i="1"/>
  <c r="N1114" i="1" s="1"/>
  <c r="M1115" i="1"/>
  <c r="N1115" i="1" s="1"/>
  <c r="M1116" i="1"/>
  <c r="N1116" i="1" s="1"/>
  <c r="M1117" i="1"/>
  <c r="M1118" i="1"/>
  <c r="N1118" i="1" s="1"/>
  <c r="M1119" i="1"/>
  <c r="N1119" i="1" s="1"/>
  <c r="M1120" i="1"/>
  <c r="N1120" i="1" s="1"/>
  <c r="M1121" i="1"/>
  <c r="N1121" i="1" s="1"/>
  <c r="M1122" i="1"/>
  <c r="N1122" i="1" s="1"/>
  <c r="M1123" i="1"/>
  <c r="N1123" i="1" s="1"/>
  <c r="M1124" i="1"/>
  <c r="N1124" i="1" s="1"/>
  <c r="M1125" i="1"/>
  <c r="N1125" i="1" s="1"/>
  <c r="M1126" i="1"/>
  <c r="N1126" i="1" s="1"/>
  <c r="M1127" i="1"/>
  <c r="N1127" i="1" s="1"/>
  <c r="M1128" i="1"/>
  <c r="N1128" i="1" s="1"/>
  <c r="M1129" i="1"/>
  <c r="N1129" i="1" s="1"/>
  <c r="M1130" i="1"/>
  <c r="N1130" i="1" s="1"/>
  <c r="M1131" i="1"/>
  <c r="N1131" i="1" s="1"/>
  <c r="M1132" i="1"/>
  <c r="N1132" i="1" s="1"/>
  <c r="M1133" i="1"/>
  <c r="N1133" i="1" s="1"/>
  <c r="M1134" i="1"/>
  <c r="N1134" i="1" s="1"/>
  <c r="M1135" i="1"/>
  <c r="N1135" i="1" s="1"/>
  <c r="M1136" i="1"/>
  <c r="N1136" i="1" s="1"/>
  <c r="M1137" i="1"/>
  <c r="N1137" i="1" s="1"/>
  <c r="M1138" i="1"/>
  <c r="N1138" i="1" s="1"/>
  <c r="M1139" i="1"/>
  <c r="N1139" i="1" s="1"/>
  <c r="M1140" i="1"/>
  <c r="N1140" i="1" s="1"/>
  <c r="M1141" i="1"/>
  <c r="N1141" i="1" s="1"/>
  <c r="M1142" i="1"/>
  <c r="M1143" i="1"/>
  <c r="N1143" i="1" s="1"/>
  <c r="M1144" i="1"/>
  <c r="N1144" i="1" s="1"/>
  <c r="M1145" i="1"/>
  <c r="N1145" i="1" s="1"/>
  <c r="M1146" i="1"/>
  <c r="N1146" i="1" s="1"/>
  <c r="M1147" i="1"/>
  <c r="N1147" i="1" s="1"/>
  <c r="M1148" i="1"/>
  <c r="N1148" i="1" s="1"/>
  <c r="M1149" i="1"/>
  <c r="N1149" i="1" s="1"/>
  <c r="M1150" i="1"/>
  <c r="N1150" i="1" s="1"/>
  <c r="M1151" i="1"/>
  <c r="N1151" i="1" s="1"/>
  <c r="M1152" i="1"/>
  <c r="N1152" i="1" s="1"/>
  <c r="M1153" i="1"/>
  <c r="N1153" i="1" s="1"/>
  <c r="M1154" i="1"/>
  <c r="N1154" i="1" s="1"/>
  <c r="M1155" i="1"/>
  <c r="N1155" i="1" s="1"/>
  <c r="M1156" i="1"/>
  <c r="N1156" i="1" s="1"/>
  <c r="M1157" i="1"/>
  <c r="N1157" i="1" s="1"/>
  <c r="M1158" i="1"/>
  <c r="N1158" i="1" s="1"/>
  <c r="M1159" i="1"/>
  <c r="N1159" i="1" s="1"/>
  <c r="M1160" i="1"/>
  <c r="N1160" i="1" s="1"/>
  <c r="M1161" i="1"/>
  <c r="N1161" i="1" s="1"/>
  <c r="M1162" i="1"/>
  <c r="N1162" i="1" s="1"/>
  <c r="M1163" i="1"/>
  <c r="N1163" i="1" s="1"/>
  <c r="M1164" i="1"/>
  <c r="N1164" i="1" s="1"/>
  <c r="M1165" i="1"/>
  <c r="N1165" i="1" s="1"/>
  <c r="M1166" i="1"/>
  <c r="N1166" i="1" s="1"/>
  <c r="M1167" i="1"/>
  <c r="N1167" i="1" s="1"/>
  <c r="M1168" i="1"/>
  <c r="N1168" i="1" s="1"/>
  <c r="M1169" i="1"/>
  <c r="N1169" i="1" s="1"/>
  <c r="M1170" i="1"/>
  <c r="N1170" i="1" s="1"/>
  <c r="M1171" i="1"/>
  <c r="N1171" i="1" s="1"/>
  <c r="M1172" i="1"/>
  <c r="N1172" i="1" s="1"/>
  <c r="M1173" i="1"/>
  <c r="N1173" i="1" s="1"/>
  <c r="M1174" i="1"/>
  <c r="N1174" i="1" s="1"/>
  <c r="M1175" i="1"/>
  <c r="N1175" i="1" s="1"/>
  <c r="M1176" i="1"/>
  <c r="N1176" i="1" s="1"/>
  <c r="M1177" i="1"/>
  <c r="N1177" i="1" s="1"/>
  <c r="M1178" i="1"/>
  <c r="N1178" i="1" s="1"/>
  <c r="M1179" i="1"/>
  <c r="N1179" i="1" s="1"/>
  <c r="M1180" i="1"/>
  <c r="N1180" i="1" s="1"/>
  <c r="M1181" i="1"/>
  <c r="N1181" i="1" s="1"/>
  <c r="M1182" i="1"/>
  <c r="N1182" i="1" s="1"/>
  <c r="M1183" i="1"/>
  <c r="N1183" i="1" s="1"/>
  <c r="M1184" i="1"/>
  <c r="N1184" i="1" s="1"/>
  <c r="M1185" i="1"/>
  <c r="N1185" i="1" s="1"/>
  <c r="M1186" i="1"/>
  <c r="N1186" i="1" s="1"/>
  <c r="M1187" i="1"/>
  <c r="N1187" i="1" s="1"/>
  <c r="M1188" i="1"/>
  <c r="N1188" i="1" s="1"/>
  <c r="M1189" i="1"/>
  <c r="N1189" i="1" s="1"/>
  <c r="M1190" i="1"/>
  <c r="N1190" i="1" s="1"/>
  <c r="M1191" i="1"/>
  <c r="N1191" i="1" s="1"/>
  <c r="M1192" i="1"/>
  <c r="N1192" i="1" s="1"/>
  <c r="M1193" i="1"/>
  <c r="N1193" i="1" s="1"/>
  <c r="M1194" i="1"/>
  <c r="N1194" i="1" s="1"/>
  <c r="M1195" i="1"/>
  <c r="N1195" i="1" s="1"/>
  <c r="M1196" i="1"/>
  <c r="N1196" i="1" s="1"/>
  <c r="M1197" i="1"/>
  <c r="N1197" i="1" s="1"/>
  <c r="M1198" i="1"/>
  <c r="N1198" i="1" s="1"/>
  <c r="M1199" i="1"/>
  <c r="N1199" i="1" s="1"/>
  <c r="M1200" i="1"/>
  <c r="M1201" i="1"/>
  <c r="N1201" i="1" s="1"/>
  <c r="M1202" i="1"/>
  <c r="N1202" i="1" s="1"/>
  <c r="M1203" i="1"/>
  <c r="N1203" i="1" s="1"/>
  <c r="M1204" i="1"/>
  <c r="N1204" i="1" s="1"/>
  <c r="M1205" i="1"/>
  <c r="N1205" i="1" s="1"/>
  <c r="M1206" i="1"/>
  <c r="N1206" i="1" s="1"/>
  <c r="M1207" i="1"/>
  <c r="N1207" i="1" s="1"/>
  <c r="M1208" i="1"/>
  <c r="N1208" i="1" s="1"/>
  <c r="M1209" i="1"/>
  <c r="N1209" i="1" s="1"/>
  <c r="M1210" i="1"/>
  <c r="N1210" i="1" s="1"/>
  <c r="M1211" i="1"/>
  <c r="N1211" i="1" s="1"/>
  <c r="M1212" i="1"/>
  <c r="N1212" i="1" s="1"/>
  <c r="M1213" i="1"/>
  <c r="N1213" i="1" s="1"/>
  <c r="M1214" i="1"/>
  <c r="N1214" i="1" s="1"/>
  <c r="M1215" i="1"/>
  <c r="N1215" i="1" s="1"/>
  <c r="M1216" i="1"/>
  <c r="N1216" i="1" s="1"/>
  <c r="M1217" i="1"/>
  <c r="N1217" i="1" s="1"/>
  <c r="M1218" i="1"/>
  <c r="N1218" i="1" s="1"/>
  <c r="M1219" i="1"/>
  <c r="N1219" i="1" s="1"/>
  <c r="M1220" i="1"/>
  <c r="N1220" i="1" s="1"/>
  <c r="M1221" i="1"/>
  <c r="N1221" i="1" s="1"/>
  <c r="M1222" i="1"/>
  <c r="N1222" i="1" s="1"/>
  <c r="M1223" i="1"/>
  <c r="N1223" i="1" s="1"/>
  <c r="M1224" i="1"/>
  <c r="N1224" i="1" s="1"/>
  <c r="M1225" i="1"/>
  <c r="N1225" i="1" s="1"/>
  <c r="M1226" i="1"/>
  <c r="N1226" i="1" s="1"/>
  <c r="M1227" i="1"/>
  <c r="N1227" i="1" s="1"/>
  <c r="M1228" i="1"/>
  <c r="N1228" i="1" s="1"/>
  <c r="M1229" i="1"/>
  <c r="N1229" i="1" s="1"/>
  <c r="M1230" i="1"/>
  <c r="N1230" i="1" s="1"/>
  <c r="M1231" i="1"/>
  <c r="N1231" i="1" s="1"/>
  <c r="M1232" i="1"/>
  <c r="N1232" i="1" s="1"/>
  <c r="M1233" i="1"/>
  <c r="N1233" i="1" s="1"/>
  <c r="M1234" i="1"/>
  <c r="N1234" i="1" s="1"/>
  <c r="M1235" i="1"/>
  <c r="N1235" i="1" s="1"/>
  <c r="M1236" i="1"/>
  <c r="N1236" i="1" s="1"/>
  <c r="M1237" i="1"/>
  <c r="N1237" i="1" s="1"/>
  <c r="M1238" i="1"/>
  <c r="N1238" i="1" s="1"/>
  <c r="M1239" i="1"/>
  <c r="N1239" i="1" s="1"/>
  <c r="M1240" i="1"/>
  <c r="N1240" i="1" s="1"/>
  <c r="M1241" i="1"/>
  <c r="N1241" i="1" s="1"/>
  <c r="M1242" i="1"/>
  <c r="N1242" i="1" s="1"/>
  <c r="M1243" i="1"/>
  <c r="N1243" i="1" s="1"/>
  <c r="M1244" i="1"/>
  <c r="N1244" i="1" s="1"/>
  <c r="M1245" i="1"/>
  <c r="N1245" i="1" s="1"/>
  <c r="M1246" i="1"/>
  <c r="N1246" i="1" s="1"/>
  <c r="M1247" i="1"/>
  <c r="N1247" i="1" s="1"/>
  <c r="M1248" i="1"/>
  <c r="N1248" i="1" s="1"/>
  <c r="M1249" i="1"/>
  <c r="N1249" i="1" s="1"/>
  <c r="M1250" i="1"/>
  <c r="N1250" i="1" s="1"/>
  <c r="M1251" i="1"/>
  <c r="N1251" i="1" s="1"/>
  <c r="M1252" i="1"/>
  <c r="N1252" i="1" s="1"/>
  <c r="M1253" i="1"/>
  <c r="N1253" i="1" s="1"/>
  <c r="M1254" i="1"/>
  <c r="N1254" i="1" s="1"/>
  <c r="M1255" i="1"/>
  <c r="M1256" i="1"/>
  <c r="N1256" i="1" s="1"/>
  <c r="M1257" i="1"/>
  <c r="N1257" i="1" s="1"/>
  <c r="M1258" i="1"/>
  <c r="N1258" i="1" s="1"/>
  <c r="M1259" i="1"/>
  <c r="N1259" i="1" s="1"/>
  <c r="M1260" i="1"/>
  <c r="N1260" i="1" s="1"/>
  <c r="M1261" i="1"/>
  <c r="N1261" i="1" s="1"/>
  <c r="M1262" i="1"/>
  <c r="N1262" i="1" s="1"/>
  <c r="M1263" i="1"/>
  <c r="N1263" i="1" s="1"/>
  <c r="M1264" i="1"/>
  <c r="N1264" i="1" s="1"/>
  <c r="M1265" i="1"/>
  <c r="N1265" i="1" s="1"/>
  <c r="M1266" i="1"/>
  <c r="N1266" i="1" s="1"/>
  <c r="M1267" i="1"/>
  <c r="N1267" i="1" s="1"/>
  <c r="M1268" i="1"/>
  <c r="N1268" i="1" s="1"/>
  <c r="M1269" i="1"/>
  <c r="N1269" i="1" s="1"/>
  <c r="M1270" i="1"/>
  <c r="N1270" i="1" s="1"/>
  <c r="M1271" i="1"/>
  <c r="N1271" i="1" s="1"/>
  <c r="M1272" i="1"/>
  <c r="N1272" i="1" s="1"/>
  <c r="M1273" i="1"/>
  <c r="N1273" i="1" s="1"/>
  <c r="M1274" i="1"/>
  <c r="N1274" i="1" s="1"/>
  <c r="M1275" i="1"/>
  <c r="N1275" i="1" s="1"/>
  <c r="M1276" i="1"/>
  <c r="N1276" i="1" s="1"/>
  <c r="M1277" i="1"/>
  <c r="N1277" i="1" s="1"/>
  <c r="M1278" i="1"/>
  <c r="N1278" i="1" s="1"/>
  <c r="M1279" i="1"/>
  <c r="N1279" i="1" s="1"/>
  <c r="M1280" i="1"/>
  <c r="N1280" i="1" s="1"/>
  <c r="M1281" i="1"/>
  <c r="N1281" i="1" s="1"/>
  <c r="M1282" i="1"/>
  <c r="N1282" i="1" s="1"/>
  <c r="M1283" i="1"/>
  <c r="N1283" i="1" s="1"/>
  <c r="M1284" i="1"/>
  <c r="N1284" i="1" s="1"/>
  <c r="M1285" i="1"/>
  <c r="N1285" i="1" s="1"/>
  <c r="M1286" i="1"/>
  <c r="N1286" i="1" s="1"/>
  <c r="M1287" i="1"/>
  <c r="N1287" i="1" s="1"/>
  <c r="M1288" i="1"/>
  <c r="N1288" i="1" s="1"/>
  <c r="M1289" i="1"/>
  <c r="N1289" i="1" s="1"/>
  <c r="M1290" i="1"/>
  <c r="N1290" i="1" s="1"/>
  <c r="M1291" i="1"/>
  <c r="N1291" i="1" s="1"/>
  <c r="M1292" i="1"/>
  <c r="N1292" i="1" s="1"/>
  <c r="M1293" i="1"/>
  <c r="N1293" i="1" s="1"/>
  <c r="M1294" i="1"/>
  <c r="N1294" i="1" s="1"/>
  <c r="M1295" i="1"/>
  <c r="N1295" i="1" s="1"/>
  <c r="M1296" i="1"/>
  <c r="N1296" i="1" s="1"/>
  <c r="M1297" i="1"/>
  <c r="N1297" i="1" s="1"/>
  <c r="M1298" i="1"/>
  <c r="N1298" i="1" s="1"/>
  <c r="M1299" i="1"/>
  <c r="N1299" i="1" s="1"/>
  <c r="M1300" i="1"/>
  <c r="N1300" i="1" s="1"/>
  <c r="M1301" i="1"/>
  <c r="N1301" i="1" s="1"/>
  <c r="M1302" i="1"/>
  <c r="N1302" i="1" s="1"/>
  <c r="M1303" i="1"/>
  <c r="N1303" i="1" s="1"/>
  <c r="M1304" i="1"/>
  <c r="N1304" i="1" s="1"/>
  <c r="M1305" i="1"/>
  <c r="N1305" i="1" s="1"/>
  <c r="M1306" i="1"/>
  <c r="N1306" i="1" s="1"/>
  <c r="M1307" i="1"/>
  <c r="N1307" i="1" s="1"/>
  <c r="M1308" i="1"/>
  <c r="N1308" i="1" s="1"/>
  <c r="M1309" i="1"/>
  <c r="N1309" i="1" s="1"/>
  <c r="M1310" i="1"/>
  <c r="N1310" i="1" s="1"/>
  <c r="M1311" i="1"/>
  <c r="N1311" i="1" s="1"/>
  <c r="M1312" i="1"/>
  <c r="N1312" i="1" s="1"/>
  <c r="M1313" i="1"/>
  <c r="N1313" i="1" s="1"/>
  <c r="M1314" i="1"/>
  <c r="N1314" i="1" s="1"/>
  <c r="M1315" i="1"/>
  <c r="N1315" i="1" s="1"/>
  <c r="M1316" i="1"/>
  <c r="N1316" i="1" s="1"/>
  <c r="M1317" i="1"/>
  <c r="N1317" i="1" s="1"/>
  <c r="M1318" i="1"/>
  <c r="N1318" i="1" s="1"/>
  <c r="M1319" i="1"/>
  <c r="N1319" i="1" s="1"/>
  <c r="M1320" i="1"/>
  <c r="N1320" i="1" s="1"/>
  <c r="M1321" i="1"/>
  <c r="N1321" i="1" s="1"/>
  <c r="M1322" i="1"/>
  <c r="N1322" i="1" s="1"/>
  <c r="M1323" i="1"/>
  <c r="N1323" i="1" s="1"/>
  <c r="M1324" i="1"/>
  <c r="N1324" i="1" s="1"/>
  <c r="M1325" i="1"/>
  <c r="N1325" i="1" s="1"/>
  <c r="M1326" i="1"/>
  <c r="N1326" i="1" s="1"/>
  <c r="M1327" i="1"/>
  <c r="N1327" i="1" s="1"/>
  <c r="M1328" i="1"/>
  <c r="N1328" i="1" s="1"/>
  <c r="M1329" i="1"/>
  <c r="N1329" i="1" s="1"/>
  <c r="M1330" i="1"/>
  <c r="N1330" i="1" s="1"/>
  <c r="M1331" i="1"/>
  <c r="N1331" i="1" s="1"/>
  <c r="M1332" i="1"/>
  <c r="N1332" i="1" s="1"/>
  <c r="M1333" i="1"/>
  <c r="N1333" i="1" s="1"/>
  <c r="M1334" i="1"/>
  <c r="N1334" i="1" s="1"/>
  <c r="M1335" i="1"/>
  <c r="N1335" i="1" s="1"/>
  <c r="M1336" i="1"/>
  <c r="N1336" i="1" s="1"/>
  <c r="M1337" i="1"/>
  <c r="N1337" i="1" s="1"/>
  <c r="M1338" i="1"/>
  <c r="N1338" i="1" s="1"/>
  <c r="M1339" i="1"/>
  <c r="N1339" i="1" s="1"/>
  <c r="M1340" i="1"/>
  <c r="N1340" i="1" s="1"/>
  <c r="M1341" i="1"/>
  <c r="N1341" i="1" s="1"/>
  <c r="M1342" i="1"/>
  <c r="N1342" i="1" s="1"/>
  <c r="M1343" i="1"/>
  <c r="M1344" i="1"/>
  <c r="N1344" i="1" s="1"/>
  <c r="M1345" i="1"/>
  <c r="N1345" i="1" s="1"/>
  <c r="M1346" i="1"/>
  <c r="N1346" i="1" s="1"/>
  <c r="M1347" i="1"/>
  <c r="N1347" i="1" s="1"/>
  <c r="M1348" i="1"/>
  <c r="N1348" i="1" s="1"/>
  <c r="M1349" i="1"/>
  <c r="N1349" i="1" s="1"/>
  <c r="M1350" i="1"/>
  <c r="N1350" i="1" s="1"/>
  <c r="M1351" i="1"/>
  <c r="N1351" i="1" s="1"/>
  <c r="M1352" i="1"/>
  <c r="N1352" i="1" s="1"/>
  <c r="M1353" i="1"/>
  <c r="N1353" i="1" s="1"/>
  <c r="M1354" i="1"/>
  <c r="N1354" i="1" s="1"/>
  <c r="M1355" i="1"/>
  <c r="N1355" i="1" s="1"/>
  <c r="M1356" i="1"/>
  <c r="N1356" i="1" s="1"/>
  <c r="M1357" i="1"/>
  <c r="N1357" i="1" s="1"/>
  <c r="M1358" i="1"/>
  <c r="N1358" i="1" s="1"/>
  <c r="M1359" i="1"/>
  <c r="N1359" i="1" s="1"/>
  <c r="M1360" i="1"/>
  <c r="N1360" i="1" s="1"/>
  <c r="M1361" i="1"/>
  <c r="N1361" i="1" s="1"/>
  <c r="M1362" i="1"/>
  <c r="N1362" i="1" s="1"/>
  <c r="M1363" i="1"/>
  <c r="N1363" i="1" s="1"/>
  <c r="M1364" i="1"/>
  <c r="N1364" i="1" s="1"/>
  <c r="M1365" i="1"/>
  <c r="N1365" i="1" s="1"/>
  <c r="M1366" i="1"/>
  <c r="M1367" i="1"/>
  <c r="N1367" i="1" s="1"/>
  <c r="M1368" i="1"/>
  <c r="N1368" i="1" s="1"/>
  <c r="M1369" i="1"/>
  <c r="N1369" i="1" s="1"/>
  <c r="M1370" i="1"/>
  <c r="N1370" i="1" s="1"/>
  <c r="M1371" i="1"/>
  <c r="N1371" i="1" s="1"/>
  <c r="M1372" i="1"/>
  <c r="N1372" i="1" s="1"/>
  <c r="M1373" i="1"/>
  <c r="N1373" i="1" s="1"/>
  <c r="M1374" i="1"/>
  <c r="N1374" i="1" s="1"/>
  <c r="M1375" i="1"/>
  <c r="N1375" i="1" s="1"/>
  <c r="M1376" i="1"/>
  <c r="N1376" i="1" s="1"/>
  <c r="M1377" i="1"/>
  <c r="N1377" i="1" s="1"/>
  <c r="M1378" i="1"/>
  <c r="N1378" i="1" s="1"/>
  <c r="M1379" i="1"/>
  <c r="N1379" i="1" s="1"/>
  <c r="M1380" i="1"/>
  <c r="N1380" i="1" s="1"/>
  <c r="M1381" i="1"/>
  <c r="N1381" i="1" s="1"/>
  <c r="M1382" i="1"/>
  <c r="M1383" i="1"/>
  <c r="N1383" i="1" s="1"/>
  <c r="M1384" i="1"/>
  <c r="N1384" i="1" s="1"/>
  <c r="M1385" i="1"/>
  <c r="N1385" i="1" s="1"/>
  <c r="M1386" i="1"/>
  <c r="N1386" i="1" s="1"/>
  <c r="M1387" i="1"/>
  <c r="N1387" i="1" s="1"/>
  <c r="M1388" i="1"/>
  <c r="N1388" i="1" s="1"/>
  <c r="M1389" i="1"/>
  <c r="N1389" i="1" s="1"/>
  <c r="M1390" i="1"/>
  <c r="N1390" i="1" s="1"/>
  <c r="M1391" i="1"/>
  <c r="N1391" i="1" s="1"/>
  <c r="M1392" i="1"/>
  <c r="N1392" i="1" s="1"/>
  <c r="M1393" i="1"/>
  <c r="N1393" i="1" s="1"/>
  <c r="M1394" i="1"/>
  <c r="N1394" i="1" s="1"/>
  <c r="M1395" i="1"/>
  <c r="N1395" i="1" s="1"/>
  <c r="M1396" i="1"/>
  <c r="N1396" i="1" s="1"/>
  <c r="M1397" i="1"/>
  <c r="N1397" i="1" s="1"/>
  <c r="M1398" i="1"/>
  <c r="M1399" i="1"/>
  <c r="N1399" i="1" s="1"/>
  <c r="M1400" i="1"/>
  <c r="N1400" i="1" s="1"/>
  <c r="M1401" i="1"/>
  <c r="N1401" i="1" s="1"/>
  <c r="M1402" i="1"/>
  <c r="N1402" i="1" s="1"/>
  <c r="M1403" i="1"/>
  <c r="N1403" i="1" s="1"/>
  <c r="M1404" i="1"/>
  <c r="N1404" i="1" s="1"/>
  <c r="M1405" i="1"/>
  <c r="N1405" i="1" s="1"/>
  <c r="M1406" i="1"/>
  <c r="N1406" i="1" s="1"/>
  <c r="M1407" i="1"/>
  <c r="N1407" i="1" s="1"/>
  <c r="M1408" i="1"/>
  <c r="N1408" i="1" s="1"/>
  <c r="M1409" i="1"/>
  <c r="N1409" i="1" s="1"/>
  <c r="M1410" i="1"/>
  <c r="N1410" i="1" s="1"/>
  <c r="M1411" i="1"/>
  <c r="N1411" i="1" s="1"/>
  <c r="M1412" i="1"/>
  <c r="N1412" i="1" s="1"/>
  <c r="M1413" i="1"/>
  <c r="N1413" i="1" s="1"/>
  <c r="M1414" i="1"/>
  <c r="M1415" i="1"/>
  <c r="N1415" i="1" s="1"/>
  <c r="M1416" i="1"/>
  <c r="N1416" i="1" s="1"/>
  <c r="M1417" i="1"/>
  <c r="N1417" i="1" s="1"/>
  <c r="M1418" i="1"/>
  <c r="N1418" i="1" s="1"/>
  <c r="M1419" i="1"/>
  <c r="N1419" i="1" s="1"/>
  <c r="M1420" i="1"/>
  <c r="N1420" i="1" s="1"/>
  <c r="M1421" i="1"/>
  <c r="N1421" i="1" s="1"/>
  <c r="M1422" i="1"/>
  <c r="N1422" i="1" s="1"/>
  <c r="M1423" i="1"/>
  <c r="N1423" i="1" s="1"/>
  <c r="M1424" i="1"/>
  <c r="N1424" i="1" s="1"/>
  <c r="M1425" i="1"/>
  <c r="N1425" i="1" s="1"/>
  <c r="M1426" i="1"/>
  <c r="N1426" i="1" s="1"/>
  <c r="M1427" i="1"/>
  <c r="N1427" i="1" s="1"/>
  <c r="M1428" i="1"/>
  <c r="N1428" i="1" s="1"/>
  <c r="M1429" i="1"/>
  <c r="N1429" i="1" s="1"/>
  <c r="M1430" i="1"/>
  <c r="M1431" i="1"/>
  <c r="N1431" i="1" s="1"/>
  <c r="M1432" i="1"/>
  <c r="N1432" i="1" s="1"/>
  <c r="M1433" i="1"/>
  <c r="N1433" i="1" s="1"/>
  <c r="M1434" i="1"/>
  <c r="N1434" i="1" s="1"/>
  <c r="M1435" i="1"/>
  <c r="N1435" i="1" s="1"/>
  <c r="M1436" i="1"/>
  <c r="N1436" i="1" s="1"/>
  <c r="M1437" i="1"/>
  <c r="N1437" i="1" s="1"/>
  <c r="M1438" i="1"/>
  <c r="N1438" i="1" s="1"/>
  <c r="M1439" i="1"/>
  <c r="N1439" i="1" s="1"/>
  <c r="M1440" i="1"/>
  <c r="N1440" i="1" s="1"/>
  <c r="M1441" i="1"/>
  <c r="N1441" i="1" s="1"/>
  <c r="M1442" i="1"/>
  <c r="N1442" i="1" s="1"/>
  <c r="M1443" i="1"/>
  <c r="N1443" i="1" s="1"/>
  <c r="M1444" i="1"/>
  <c r="N1444" i="1" s="1"/>
  <c r="M1445" i="1"/>
  <c r="N1445" i="1" s="1"/>
  <c r="M1446" i="1"/>
  <c r="M1447" i="1"/>
  <c r="N1447" i="1" s="1"/>
  <c r="M1448" i="1"/>
  <c r="N1448" i="1" s="1"/>
  <c r="M1449" i="1"/>
  <c r="N1449" i="1" s="1"/>
  <c r="M1450" i="1"/>
  <c r="N1450" i="1" s="1"/>
  <c r="M1451" i="1"/>
  <c r="N1451" i="1" s="1"/>
  <c r="M1452" i="1"/>
  <c r="N1452" i="1" s="1"/>
  <c r="M1453" i="1"/>
  <c r="N1453" i="1" s="1"/>
  <c r="M1454" i="1"/>
  <c r="N1454" i="1" s="1"/>
  <c r="M1455" i="1"/>
  <c r="N1455" i="1" s="1"/>
  <c r="M1456" i="1"/>
  <c r="N1456" i="1" s="1"/>
  <c r="M1457" i="1"/>
  <c r="N1457" i="1" s="1"/>
  <c r="M1458" i="1"/>
  <c r="N1458" i="1" s="1"/>
  <c r="M1459" i="1"/>
  <c r="N1459" i="1" s="1"/>
  <c r="M1460" i="1"/>
  <c r="N1460" i="1" s="1"/>
  <c r="M1461" i="1"/>
  <c r="N1461" i="1" s="1"/>
  <c r="M1462" i="1"/>
  <c r="M1463" i="1"/>
  <c r="N1463" i="1" s="1"/>
  <c r="M1464" i="1"/>
  <c r="N1464" i="1" s="1"/>
  <c r="M1465" i="1"/>
  <c r="N1465" i="1" s="1"/>
  <c r="M1466" i="1"/>
  <c r="N1466" i="1" s="1"/>
  <c r="M1467" i="1"/>
  <c r="N1467" i="1" s="1"/>
  <c r="M1468" i="1"/>
  <c r="N1468" i="1" s="1"/>
  <c r="M1469" i="1"/>
  <c r="N1469" i="1" s="1"/>
  <c r="M1470" i="1"/>
  <c r="N1470" i="1" s="1"/>
  <c r="M1471" i="1"/>
  <c r="N1471" i="1" s="1"/>
  <c r="M1472" i="1"/>
  <c r="N1472" i="1" s="1"/>
  <c r="M1473" i="1"/>
  <c r="N1473" i="1" s="1"/>
  <c r="M1474" i="1"/>
  <c r="N1474" i="1" s="1"/>
  <c r="M1475" i="1"/>
  <c r="N1475" i="1" s="1"/>
  <c r="M1476" i="1"/>
  <c r="N1476" i="1" s="1"/>
  <c r="M1477" i="1"/>
  <c r="N1477" i="1" s="1"/>
  <c r="M1478" i="1"/>
  <c r="M1479" i="1"/>
  <c r="N1479" i="1" s="1"/>
  <c r="M1480" i="1"/>
  <c r="N1480" i="1" s="1"/>
  <c r="M1481" i="1"/>
  <c r="N1481" i="1" s="1"/>
  <c r="M1482" i="1"/>
  <c r="N1482" i="1" s="1"/>
  <c r="M1483" i="1"/>
  <c r="N1483" i="1" s="1"/>
  <c r="M1484" i="1"/>
  <c r="N1484" i="1" s="1"/>
  <c r="M1485" i="1"/>
  <c r="N1485" i="1" s="1"/>
  <c r="M1486" i="1"/>
  <c r="N1486" i="1" s="1"/>
  <c r="M1487" i="1"/>
  <c r="N1487" i="1" s="1"/>
  <c r="M1488" i="1"/>
  <c r="N1488" i="1" s="1"/>
  <c r="M1489" i="1"/>
  <c r="N1489" i="1" s="1"/>
  <c r="M1490" i="1"/>
  <c r="N1490" i="1" s="1"/>
  <c r="M1491" i="1"/>
  <c r="N1491" i="1" s="1"/>
  <c r="M1492" i="1"/>
  <c r="N1492" i="1" s="1"/>
  <c r="M1493" i="1"/>
  <c r="N1493" i="1" s="1"/>
  <c r="M1494" i="1"/>
  <c r="M1495" i="1"/>
  <c r="N1495" i="1" s="1"/>
  <c r="M1496" i="1"/>
  <c r="N1496" i="1" s="1"/>
  <c r="M1497" i="1"/>
  <c r="N1497" i="1" s="1"/>
  <c r="M1498" i="1"/>
  <c r="N1498" i="1" s="1"/>
  <c r="M1499" i="1"/>
  <c r="N1499" i="1" s="1"/>
  <c r="M1500" i="1"/>
  <c r="N1500" i="1" s="1"/>
  <c r="M1501" i="1"/>
  <c r="N1501" i="1" s="1"/>
  <c r="M1502" i="1"/>
  <c r="N1502" i="1" s="1"/>
  <c r="M1503" i="1"/>
  <c r="N1503" i="1" s="1"/>
  <c r="M1504" i="1"/>
  <c r="N1504" i="1" s="1"/>
  <c r="M1505" i="1"/>
  <c r="N1505" i="1" s="1"/>
  <c r="M1506" i="1"/>
  <c r="N1506" i="1" s="1"/>
  <c r="M1507" i="1"/>
  <c r="N1507" i="1" s="1"/>
  <c r="M1508" i="1"/>
  <c r="N1508" i="1" s="1"/>
  <c r="M1509" i="1"/>
  <c r="N1509" i="1" s="1"/>
  <c r="M1510" i="1"/>
  <c r="M1511" i="1"/>
  <c r="N1511" i="1" s="1"/>
  <c r="M1512" i="1"/>
  <c r="N1512" i="1" s="1"/>
  <c r="M1513" i="1"/>
  <c r="N1513" i="1" s="1"/>
  <c r="M1514" i="1"/>
  <c r="N1514" i="1" s="1"/>
  <c r="M1515" i="1"/>
  <c r="N1515" i="1" s="1"/>
  <c r="M1516" i="1"/>
  <c r="N1516" i="1" s="1"/>
  <c r="M1517" i="1"/>
  <c r="N1517" i="1" s="1"/>
  <c r="M1518" i="1"/>
  <c r="N1518" i="1" s="1"/>
  <c r="M1519" i="1"/>
  <c r="N1519" i="1" s="1"/>
  <c r="M1520" i="1"/>
  <c r="N1520" i="1" s="1"/>
  <c r="M1521" i="1"/>
  <c r="N1521" i="1" s="1"/>
  <c r="M1522" i="1"/>
  <c r="N1522" i="1" s="1"/>
  <c r="M1523" i="1"/>
  <c r="N1523" i="1" s="1"/>
  <c r="M1524" i="1"/>
  <c r="N1524" i="1" s="1"/>
  <c r="M1525" i="1"/>
  <c r="N1525" i="1" s="1"/>
  <c r="M1526" i="1"/>
  <c r="M1527" i="1"/>
  <c r="N1527" i="1" s="1"/>
  <c r="M1528" i="1"/>
  <c r="N1528" i="1" s="1"/>
  <c r="M1529" i="1"/>
  <c r="N1529" i="1" s="1"/>
  <c r="M1530" i="1"/>
  <c r="N1530" i="1" s="1"/>
  <c r="M1531" i="1"/>
  <c r="N1531" i="1" s="1"/>
  <c r="M1532" i="1"/>
  <c r="N1532" i="1" s="1"/>
  <c r="M1533" i="1"/>
  <c r="N1533" i="1" s="1"/>
  <c r="M1534" i="1"/>
  <c r="N1534" i="1" s="1"/>
  <c r="M1535" i="1"/>
  <c r="N1535" i="1" s="1"/>
  <c r="M1536" i="1"/>
  <c r="N1536" i="1" s="1"/>
  <c r="M1537" i="1"/>
  <c r="N1537" i="1" s="1"/>
  <c r="M1538" i="1"/>
  <c r="N1538" i="1" s="1"/>
  <c r="M1539" i="1"/>
  <c r="N1539" i="1" s="1"/>
  <c r="M1540" i="1"/>
  <c r="N1540" i="1" s="1"/>
  <c r="M1541" i="1"/>
  <c r="N1541" i="1" s="1"/>
  <c r="M1542" i="1"/>
  <c r="M1543" i="1"/>
  <c r="N1543" i="1" s="1"/>
  <c r="M1544" i="1"/>
  <c r="N1544" i="1" s="1"/>
  <c r="M1545" i="1"/>
  <c r="N1545" i="1" s="1"/>
  <c r="M1546" i="1"/>
  <c r="N1546" i="1" s="1"/>
  <c r="M1547" i="1"/>
  <c r="N1547" i="1" s="1"/>
  <c r="M1548" i="1"/>
  <c r="N1548" i="1" s="1"/>
  <c r="M1549" i="1"/>
  <c r="N1549" i="1" s="1"/>
  <c r="M1550" i="1"/>
  <c r="N1550" i="1" s="1"/>
  <c r="M1551" i="1"/>
  <c r="N1551" i="1" s="1"/>
  <c r="M1552" i="1"/>
  <c r="N1552" i="1" s="1"/>
  <c r="M1553" i="1"/>
  <c r="N1553" i="1" s="1"/>
  <c r="M1554" i="1"/>
  <c r="N1554" i="1" s="1"/>
  <c r="M1555" i="1"/>
  <c r="N1555" i="1" s="1"/>
  <c r="M1556" i="1"/>
  <c r="N1556" i="1" s="1"/>
  <c r="M1557" i="1"/>
  <c r="N1557" i="1" s="1"/>
  <c r="M1558" i="1"/>
  <c r="M1559" i="1"/>
  <c r="N1559" i="1" s="1"/>
  <c r="M1560" i="1"/>
  <c r="N1560" i="1" s="1"/>
  <c r="M1561" i="1"/>
  <c r="N1561" i="1" s="1"/>
  <c r="M1562" i="1"/>
  <c r="N1562" i="1" s="1"/>
  <c r="M1563" i="1"/>
  <c r="N1563" i="1" s="1"/>
  <c r="M1564" i="1"/>
  <c r="N1564" i="1" s="1"/>
  <c r="M1565" i="1"/>
  <c r="N1565" i="1" s="1"/>
  <c r="M1566" i="1"/>
  <c r="N1566" i="1" s="1"/>
  <c r="M1567" i="1"/>
  <c r="N1567" i="1" s="1"/>
  <c r="M1568" i="1"/>
  <c r="N1568" i="1" s="1"/>
  <c r="M1569" i="1"/>
  <c r="N1569" i="1" s="1"/>
  <c r="M1570" i="1"/>
  <c r="N1570" i="1" s="1"/>
  <c r="M1571" i="1"/>
  <c r="N1571" i="1" s="1"/>
  <c r="M1572" i="1"/>
  <c r="N1572" i="1" s="1"/>
  <c r="M1573" i="1"/>
  <c r="N1573" i="1" s="1"/>
  <c r="M1574" i="1"/>
  <c r="M1575" i="1"/>
  <c r="N1575" i="1" s="1"/>
  <c r="M1576" i="1"/>
  <c r="N1576" i="1" s="1"/>
  <c r="M1577" i="1"/>
  <c r="N1577" i="1" s="1"/>
  <c r="M1578" i="1"/>
  <c r="N1578" i="1" s="1"/>
  <c r="M1579" i="1"/>
  <c r="N1579" i="1" s="1"/>
  <c r="M1580" i="1"/>
  <c r="N1580" i="1" s="1"/>
  <c r="M1581" i="1"/>
  <c r="N1581" i="1" s="1"/>
  <c r="M1582" i="1"/>
  <c r="N1582" i="1" s="1"/>
  <c r="M1583" i="1"/>
  <c r="N1583" i="1" s="1"/>
  <c r="M1584" i="1"/>
  <c r="N1584" i="1" s="1"/>
  <c r="M1585" i="1"/>
  <c r="N1585" i="1" s="1"/>
  <c r="M1586" i="1"/>
  <c r="N1586" i="1" s="1"/>
  <c r="M1587" i="1"/>
  <c r="N1587" i="1" s="1"/>
  <c r="M1588" i="1"/>
  <c r="N1588" i="1" s="1"/>
  <c r="M1589" i="1"/>
  <c r="N1589" i="1" s="1"/>
  <c r="M1590" i="1"/>
  <c r="M1591" i="1"/>
  <c r="N1591" i="1" s="1"/>
  <c r="M1592" i="1"/>
  <c r="N1592" i="1" s="1"/>
  <c r="M1593" i="1"/>
  <c r="N1593" i="1" s="1"/>
  <c r="M1594" i="1"/>
  <c r="N1594" i="1" s="1"/>
  <c r="M1595" i="1"/>
  <c r="N1595" i="1" s="1"/>
  <c r="M1596" i="1"/>
  <c r="N1596" i="1" s="1"/>
  <c r="M1597" i="1"/>
  <c r="N1597" i="1" s="1"/>
  <c r="M1598" i="1"/>
  <c r="N1598" i="1" s="1"/>
  <c r="M1599" i="1"/>
  <c r="N1599" i="1" s="1"/>
  <c r="M1600" i="1"/>
  <c r="N1600" i="1" s="1"/>
  <c r="M1601" i="1"/>
  <c r="N1601" i="1" s="1"/>
  <c r="M1602" i="1"/>
  <c r="N1602" i="1" s="1"/>
  <c r="M1603" i="1"/>
  <c r="N1603" i="1" s="1"/>
  <c r="M1604" i="1"/>
  <c r="N1604" i="1" s="1"/>
  <c r="M1605" i="1"/>
  <c r="N1605" i="1" s="1"/>
  <c r="M1606" i="1"/>
  <c r="M1607" i="1"/>
  <c r="N1607" i="1" s="1"/>
  <c r="M1608" i="1"/>
  <c r="N1608" i="1" s="1"/>
  <c r="M1609" i="1"/>
  <c r="N1609" i="1" s="1"/>
  <c r="M1610" i="1"/>
  <c r="N1610" i="1" s="1"/>
  <c r="M1611" i="1"/>
  <c r="N1611" i="1" s="1"/>
  <c r="M1612" i="1"/>
  <c r="N1612" i="1" s="1"/>
  <c r="M1613" i="1"/>
  <c r="N1613" i="1" s="1"/>
  <c r="M1614" i="1"/>
  <c r="N1614" i="1" s="1"/>
  <c r="M1615" i="1"/>
  <c r="N1615" i="1" s="1"/>
  <c r="M1616" i="1"/>
  <c r="N1616" i="1" s="1"/>
  <c r="M1617" i="1"/>
  <c r="N1617" i="1" s="1"/>
  <c r="M1618" i="1"/>
  <c r="N1618" i="1" s="1"/>
  <c r="M1619" i="1"/>
  <c r="N1619" i="1" s="1"/>
  <c r="M1620" i="1"/>
  <c r="N1620" i="1" s="1"/>
  <c r="M1621" i="1"/>
  <c r="N1621" i="1" s="1"/>
  <c r="M1622" i="1"/>
  <c r="M1623" i="1"/>
  <c r="N1623" i="1" s="1"/>
  <c r="M1624" i="1"/>
  <c r="N1624" i="1" s="1"/>
  <c r="M1625" i="1"/>
  <c r="N1625" i="1" s="1"/>
  <c r="M1626" i="1"/>
  <c r="N1626" i="1" s="1"/>
  <c r="M1627" i="1"/>
  <c r="N1627" i="1" s="1"/>
  <c r="M1628" i="1"/>
  <c r="N1628" i="1" s="1"/>
  <c r="M1629" i="1"/>
  <c r="N1629" i="1" s="1"/>
  <c r="M1630" i="1"/>
  <c r="N1630" i="1" s="1"/>
  <c r="M1631" i="1"/>
  <c r="N1631" i="1" s="1"/>
  <c r="M1632" i="1"/>
  <c r="N1632" i="1" s="1"/>
  <c r="M1633" i="1"/>
  <c r="N1633" i="1" s="1"/>
  <c r="M1634" i="1"/>
  <c r="N1634" i="1" s="1"/>
  <c r="M1635" i="1"/>
  <c r="N1635" i="1" s="1"/>
  <c r="M1636" i="1"/>
  <c r="N1636" i="1" s="1"/>
  <c r="M1637" i="1"/>
  <c r="N1637" i="1" s="1"/>
  <c r="M1638" i="1"/>
  <c r="M1639" i="1"/>
  <c r="N1639" i="1" s="1"/>
  <c r="M1640" i="1"/>
  <c r="N1640" i="1" s="1"/>
  <c r="M1641" i="1"/>
  <c r="N1641" i="1" s="1"/>
  <c r="M1642" i="1"/>
  <c r="N1642" i="1" s="1"/>
  <c r="M1643" i="1"/>
  <c r="N1643" i="1" s="1"/>
  <c r="M1644" i="1"/>
  <c r="N1644" i="1" s="1"/>
  <c r="M1645" i="1"/>
  <c r="N1645" i="1" s="1"/>
  <c r="M1646" i="1"/>
  <c r="N1646" i="1" s="1"/>
  <c r="M1647" i="1"/>
  <c r="N1647" i="1" s="1"/>
  <c r="M1648" i="1"/>
  <c r="N1648" i="1" s="1"/>
  <c r="M1649" i="1"/>
  <c r="N1649" i="1" s="1"/>
  <c r="M1650" i="1"/>
  <c r="N1650" i="1" s="1"/>
  <c r="M1651" i="1"/>
  <c r="N1651" i="1" s="1"/>
  <c r="M1652" i="1"/>
  <c r="N1652" i="1" s="1"/>
  <c r="M1653" i="1"/>
  <c r="N1653" i="1" s="1"/>
  <c r="M1654" i="1"/>
  <c r="M1655" i="1"/>
  <c r="N1655" i="1" s="1"/>
  <c r="M1656" i="1"/>
  <c r="N1656" i="1" s="1"/>
  <c r="M1657" i="1"/>
  <c r="N1657" i="1" s="1"/>
  <c r="M1658" i="1"/>
  <c r="N1658" i="1" s="1"/>
  <c r="M1659" i="1"/>
  <c r="N1659" i="1" s="1"/>
  <c r="M1660" i="1"/>
  <c r="N1660" i="1" s="1"/>
  <c r="M1661" i="1"/>
  <c r="N1661" i="1" s="1"/>
  <c r="M1662" i="1"/>
  <c r="N1662" i="1" s="1"/>
  <c r="M1663" i="1"/>
  <c r="N1663" i="1" s="1"/>
  <c r="M1664" i="1"/>
  <c r="N1664" i="1" s="1"/>
  <c r="M1665" i="1"/>
  <c r="N1665" i="1" s="1"/>
  <c r="M1666" i="1"/>
  <c r="N1666" i="1" s="1"/>
  <c r="M1667" i="1"/>
  <c r="N1667" i="1" s="1"/>
  <c r="M1668" i="1"/>
  <c r="N1668" i="1" s="1"/>
  <c r="M1669" i="1"/>
  <c r="N1669" i="1" s="1"/>
  <c r="M1670" i="1"/>
  <c r="M1671" i="1"/>
  <c r="N1671" i="1" s="1"/>
  <c r="M1672" i="1"/>
  <c r="N1672" i="1" s="1"/>
  <c r="M1673" i="1"/>
  <c r="N1673" i="1" s="1"/>
  <c r="M1674" i="1"/>
  <c r="N1674" i="1" s="1"/>
  <c r="M1675" i="1"/>
  <c r="N1675" i="1" s="1"/>
  <c r="M1676" i="1"/>
  <c r="N1676" i="1" s="1"/>
  <c r="M1677" i="1"/>
  <c r="N1677" i="1" s="1"/>
  <c r="M1678" i="1"/>
  <c r="N1678" i="1" s="1"/>
  <c r="M1679" i="1"/>
  <c r="N1679" i="1" s="1"/>
  <c r="M1680" i="1"/>
  <c r="N1680" i="1" s="1"/>
  <c r="M1681" i="1"/>
  <c r="N1681" i="1" s="1"/>
  <c r="M1682" i="1"/>
  <c r="N1682" i="1" s="1"/>
  <c r="M1683" i="1"/>
  <c r="N1683" i="1" s="1"/>
  <c r="M1684" i="1"/>
  <c r="N1684" i="1" s="1"/>
  <c r="M1685" i="1"/>
  <c r="N1685" i="1" s="1"/>
  <c r="M1686" i="1"/>
  <c r="M1687" i="1"/>
  <c r="N1687" i="1" s="1"/>
  <c r="M1688" i="1"/>
  <c r="N1688" i="1" s="1"/>
  <c r="M1689" i="1"/>
  <c r="N1689" i="1" s="1"/>
  <c r="M1690" i="1"/>
  <c r="N1690" i="1" s="1"/>
  <c r="M1691" i="1"/>
  <c r="N1691" i="1" s="1"/>
  <c r="M1692" i="1"/>
  <c r="N1692" i="1" s="1"/>
  <c r="M1693" i="1"/>
  <c r="N1693" i="1" s="1"/>
  <c r="M1694" i="1"/>
  <c r="N1694" i="1" s="1"/>
  <c r="M1695" i="1"/>
  <c r="N1695" i="1" s="1"/>
  <c r="M1696" i="1"/>
  <c r="N1696" i="1" s="1"/>
  <c r="M1697" i="1"/>
  <c r="N1697" i="1" s="1"/>
  <c r="M1698" i="1"/>
  <c r="N1698" i="1" s="1"/>
  <c r="M1699" i="1"/>
  <c r="N1699" i="1" s="1"/>
  <c r="M1700" i="1"/>
  <c r="N1700" i="1" s="1"/>
  <c r="M1701" i="1"/>
  <c r="N1701" i="1" s="1"/>
  <c r="M1702" i="1"/>
  <c r="M1703" i="1"/>
  <c r="N1703" i="1" s="1"/>
  <c r="M1704" i="1"/>
  <c r="N1704" i="1" s="1"/>
  <c r="M1705" i="1"/>
  <c r="N1705" i="1" s="1"/>
  <c r="M1706" i="1"/>
  <c r="N1706" i="1" s="1"/>
  <c r="M1707" i="1"/>
  <c r="N1707" i="1" s="1"/>
  <c r="M1708" i="1"/>
  <c r="N1708" i="1" s="1"/>
  <c r="M1709" i="1"/>
  <c r="N1709" i="1" s="1"/>
  <c r="M1710" i="1"/>
  <c r="N1710" i="1" s="1"/>
  <c r="M1711" i="1"/>
  <c r="N1711" i="1" s="1"/>
  <c r="M1712" i="1"/>
  <c r="N1712" i="1" s="1"/>
  <c r="M1713" i="1"/>
  <c r="N1713" i="1" s="1"/>
  <c r="M1714" i="1"/>
  <c r="N1714" i="1" s="1"/>
  <c r="M1715" i="1"/>
  <c r="N1715" i="1" s="1"/>
  <c r="M1716" i="1"/>
  <c r="N1716" i="1" s="1"/>
  <c r="M1717" i="1"/>
  <c r="N1717" i="1" s="1"/>
  <c r="M1718" i="1"/>
  <c r="M1719" i="1"/>
  <c r="N1719" i="1" s="1"/>
  <c r="M1720" i="1"/>
  <c r="N1720" i="1" s="1"/>
  <c r="M1721" i="1"/>
  <c r="N1721" i="1" s="1"/>
  <c r="M1722" i="1"/>
  <c r="N1722" i="1" s="1"/>
  <c r="M1723" i="1"/>
  <c r="N1723" i="1" s="1"/>
  <c r="M1724" i="1"/>
  <c r="N1724" i="1" s="1"/>
  <c r="M1725" i="1"/>
  <c r="N1725" i="1" s="1"/>
  <c r="M1726" i="1"/>
  <c r="N1726" i="1" s="1"/>
  <c r="M1727" i="1"/>
  <c r="N1727" i="1" s="1"/>
  <c r="M1728" i="1"/>
  <c r="N1728" i="1" s="1"/>
  <c r="M1729" i="1"/>
  <c r="N1729" i="1" s="1"/>
  <c r="M1730" i="1"/>
  <c r="N1730" i="1" s="1"/>
  <c r="M1731" i="1"/>
  <c r="N1731" i="1" s="1"/>
  <c r="M1732" i="1"/>
  <c r="N1732" i="1" s="1"/>
  <c r="M1733" i="1"/>
  <c r="N1733" i="1" s="1"/>
  <c r="M1734" i="1"/>
  <c r="M1735" i="1"/>
  <c r="N1735" i="1" s="1"/>
  <c r="M1736" i="1"/>
  <c r="N1736" i="1" s="1"/>
  <c r="M1737" i="1"/>
  <c r="N1737" i="1" s="1"/>
  <c r="M1738" i="1"/>
  <c r="N1738" i="1" s="1"/>
  <c r="M1739" i="1"/>
  <c r="N1739" i="1" s="1"/>
  <c r="M1740" i="1"/>
  <c r="N1740" i="1" s="1"/>
  <c r="M1741" i="1"/>
  <c r="N1741" i="1" s="1"/>
  <c r="M1742" i="1"/>
  <c r="N1742" i="1" s="1"/>
  <c r="M1743" i="1"/>
  <c r="N1743" i="1" s="1"/>
  <c r="M1744" i="1"/>
  <c r="N1744" i="1" s="1"/>
  <c r="M1745" i="1"/>
  <c r="N1745" i="1" s="1"/>
  <c r="M1746" i="1"/>
  <c r="N1746" i="1" s="1"/>
  <c r="M1747" i="1"/>
  <c r="N1747" i="1" s="1"/>
  <c r="M1748" i="1"/>
  <c r="N1748" i="1" s="1"/>
  <c r="M1749" i="1"/>
  <c r="N1749" i="1" s="1"/>
  <c r="M1750" i="1"/>
  <c r="M1751" i="1"/>
  <c r="N1751" i="1" s="1"/>
  <c r="M1752" i="1"/>
  <c r="N1752" i="1" s="1"/>
  <c r="M1753" i="1"/>
  <c r="N1753" i="1" s="1"/>
  <c r="M1754" i="1"/>
  <c r="N1754" i="1" s="1"/>
  <c r="M1755" i="1"/>
  <c r="N1755" i="1" s="1"/>
  <c r="M1756" i="1"/>
  <c r="N1756" i="1" s="1"/>
  <c r="M1757" i="1"/>
  <c r="N1757" i="1" s="1"/>
  <c r="M1758" i="1"/>
  <c r="N1758" i="1" s="1"/>
  <c r="M1759" i="1"/>
  <c r="N1759" i="1" s="1"/>
  <c r="M1760" i="1"/>
  <c r="N1760" i="1" s="1"/>
  <c r="M1761" i="1"/>
  <c r="N1761" i="1" s="1"/>
  <c r="M1762" i="1"/>
  <c r="N1762" i="1" s="1"/>
  <c r="M1763" i="1"/>
  <c r="N1763" i="1" s="1"/>
  <c r="M1764" i="1"/>
  <c r="N1764" i="1" s="1"/>
  <c r="M1765" i="1"/>
  <c r="N1765" i="1" s="1"/>
  <c r="M3" i="1"/>
  <c r="M4" i="1"/>
  <c r="N4" i="1" s="1"/>
  <c r="M5" i="1"/>
  <c r="N5" i="1" s="1"/>
  <c r="M6" i="1"/>
  <c r="N6" i="1" s="1"/>
  <c r="M7" i="1"/>
  <c r="N7" i="1" s="1"/>
  <c r="M8" i="1"/>
  <c r="N8" i="1" s="1"/>
  <c r="M9" i="1"/>
  <c r="N9" i="1" s="1"/>
  <c r="M10" i="1"/>
  <c r="N10" i="1" s="1"/>
  <c r="M11" i="1"/>
  <c r="N11" i="1" s="1"/>
  <c r="M12" i="1"/>
  <c r="N12" i="1" s="1"/>
  <c r="M13" i="1"/>
  <c r="N13" i="1" s="1"/>
  <c r="M14" i="1"/>
  <c r="N14" i="1" s="1"/>
  <c r="M15" i="1"/>
  <c r="N15" i="1" s="1"/>
  <c r="M16" i="1"/>
  <c r="N16" i="1" s="1"/>
  <c r="M17" i="1"/>
  <c r="N17" i="1" s="1"/>
  <c r="M18" i="1"/>
  <c r="N18" i="1" s="1"/>
  <c r="M19" i="1"/>
  <c r="N19" i="1" s="1"/>
  <c r="M2" i="1"/>
  <c r="N2" i="1" s="1"/>
</calcChain>
</file>

<file path=xl/sharedStrings.xml><?xml version="1.0" encoding="utf-8"?>
<sst xmlns="http://schemas.openxmlformats.org/spreadsheetml/2006/main" count="10507" uniqueCount="3583">
  <si>
    <t>edad</t>
  </si>
  <si>
    <t>torneos</t>
  </si>
  <si>
    <t>partidos_ganados</t>
  </si>
  <si>
    <t>porcentaje_ganados</t>
  </si>
  <si>
    <t>ultimo_torneo</t>
  </si>
  <si>
    <t>primer_puesto</t>
  </si>
  <si>
    <t>segundo_puesto</t>
  </si>
  <si>
    <t>tercer_puesto</t>
  </si>
  <si>
    <t>podios_totales</t>
  </si>
  <si>
    <t>07/02/2026</t>
  </si>
  <si>
    <t>24/03/2024</t>
  </si>
  <si>
    <t>06/07/2025</t>
  </si>
  <si>
    <t>15/03/2026</t>
  </si>
  <si>
    <t>18/01/2026</t>
  </si>
  <si>
    <t>17/08/2025</t>
  </si>
  <si>
    <t>07/07/2024</t>
  </si>
  <si>
    <t>04/03/2014</t>
  </si>
  <si>
    <t>10/01/2010</t>
  </si>
  <si>
    <t>01/03/2026</t>
  </si>
  <si>
    <t>28/02/2026</t>
  </si>
  <si>
    <t>22/02/2026</t>
  </si>
  <si>
    <t>25/01/2026</t>
  </si>
  <si>
    <t>19/10/2025</t>
  </si>
  <si>
    <t>25/01/2025</t>
  </si>
  <si>
    <t>29/05/2011</t>
  </si>
  <si>
    <t>18/08/2024</t>
  </si>
  <si>
    <t>14/03/2026</t>
  </si>
  <si>
    <t>07/03/2026</t>
  </si>
  <si>
    <t>14/09/2025</t>
  </si>
  <si>
    <t>16/11/2025</t>
  </si>
  <si>
    <t>21/11/2025</t>
  </si>
  <si>
    <t>08/12/2025</t>
  </si>
  <si>
    <t>24/06/2007</t>
  </si>
  <si>
    <t>28/09/2025</t>
  </si>
  <si>
    <t>17/05/2019</t>
  </si>
  <si>
    <t>11/09/2022</t>
  </si>
  <si>
    <t>25/10/2025</t>
  </si>
  <si>
    <t>08/03/2026</t>
  </si>
  <si>
    <t>21/09/2025</t>
  </si>
  <si>
    <t>13/07/2025</t>
  </si>
  <si>
    <t>28/07/2024</t>
  </si>
  <si>
    <t>01/06/2025</t>
  </si>
  <si>
    <t>04/09/2011</t>
  </si>
  <si>
    <t>11/01/2026</t>
  </si>
  <si>
    <t>29/01/2023</t>
  </si>
  <si>
    <t>09/11/2025</t>
  </si>
  <si>
    <t>05/03/2011</t>
  </si>
  <si>
    <t>13/10/2024</t>
  </si>
  <si>
    <t>06/09/2025</t>
  </si>
  <si>
    <t>23/11/2008</t>
  </si>
  <si>
    <t>28/03/2025</t>
  </si>
  <si>
    <t>27/09/2025</t>
  </si>
  <si>
    <t>24/01/2026</t>
  </si>
  <si>
    <t>14/01/2012</t>
  </si>
  <si>
    <t>04/11/2007</t>
  </si>
  <si>
    <t>07/03/2021</t>
  </si>
  <si>
    <t>01/09/2024</t>
  </si>
  <si>
    <t>06/10/2024</t>
  </si>
  <si>
    <t>17/03/2024</t>
  </si>
  <si>
    <t>17/12/2023</t>
  </si>
  <si>
    <t>08/05/2016</t>
  </si>
  <si>
    <t>04/06/2022</t>
  </si>
  <si>
    <t>30/09/2025</t>
  </si>
  <si>
    <t>27/07/2024</t>
  </si>
  <si>
    <t>21/12/2024</t>
  </si>
  <si>
    <t>16/09/2023</t>
  </si>
  <si>
    <t>18/04/2014</t>
  </si>
  <si>
    <t>21/07/2024</t>
  </si>
  <si>
    <t>16/02/2026</t>
  </si>
  <si>
    <t>14/12/2025</t>
  </si>
  <si>
    <t>08/02/2026</t>
  </si>
  <si>
    <t>02/11/2024</t>
  </si>
  <si>
    <t>10/04/2005</t>
  </si>
  <si>
    <t>08/06/2025</t>
  </si>
  <si>
    <t>02/12/2023</t>
  </si>
  <si>
    <t>23/04/2023</t>
  </si>
  <si>
    <t>18/11/2019</t>
  </si>
  <si>
    <t>04/10/2025</t>
  </si>
  <si>
    <t>23/04/2022</t>
  </si>
  <si>
    <t>13/03/2026</t>
  </si>
  <si>
    <t>29/11/2024</t>
  </si>
  <si>
    <t>22/02/2025</t>
  </si>
  <si>
    <t>13/04/2025</t>
  </si>
  <si>
    <t>14/07/2024</t>
  </si>
  <si>
    <t>30/01/2021</t>
  </si>
  <si>
    <t>25/11/2018</t>
  </si>
  <si>
    <t>26/12/2025</t>
  </si>
  <si>
    <t>11/01/2009</t>
  </si>
  <si>
    <t>20/07/2025</t>
  </si>
  <si>
    <t>07/09/2025</t>
  </si>
  <si>
    <t>06/03/2026</t>
  </si>
  <si>
    <t>02/03/2026</t>
  </si>
  <si>
    <t>16/06/2025</t>
  </si>
  <si>
    <t>16/03/2026</t>
  </si>
  <si>
    <t>27/10/2025</t>
  </si>
  <si>
    <t>10/10/2025</t>
  </si>
  <si>
    <t>30/01/2026</t>
  </si>
  <si>
    <t>31/08/2025</t>
  </si>
  <si>
    <t>23/02/2020</t>
  </si>
  <si>
    <t>10/10/2009</t>
  </si>
  <si>
    <t>05/11/2025</t>
  </si>
  <si>
    <t>11/03/2026</t>
  </si>
  <si>
    <t>11/02/2013</t>
  </si>
  <si>
    <t>23/07/2023</t>
  </si>
  <si>
    <t>29/06/2025</t>
  </si>
  <si>
    <t>28/06/2025</t>
  </si>
  <si>
    <t>15/02/2026</t>
  </si>
  <si>
    <t>11/05/2025</t>
  </si>
  <si>
    <t>17/11/2024</t>
  </si>
  <si>
    <t>27/04/2025</t>
  </si>
  <si>
    <t>11/12/2005</t>
  </si>
  <si>
    <t>11/08/2024</t>
  </si>
  <si>
    <t>24/11/2025</t>
  </si>
  <si>
    <t>09/12/2007</t>
  </si>
  <si>
    <t>17/01/2026</t>
  </si>
  <si>
    <t>01/03/2009</t>
  </si>
  <si>
    <t>01/05/2011</t>
  </si>
  <si>
    <t>22/09/2012</t>
  </si>
  <si>
    <t>28/12/2025</t>
  </si>
  <si>
    <t>25/08/2019</t>
  </si>
  <si>
    <t>28/02/2025</t>
  </si>
  <si>
    <t>09/03/2026</t>
  </si>
  <si>
    <t>05/10/2025</t>
  </si>
  <si>
    <t>01/03/2024</t>
  </si>
  <si>
    <t>21/11/2022</t>
  </si>
  <si>
    <t>17/01/2016</t>
  </si>
  <si>
    <t>22/11/2021</t>
  </si>
  <si>
    <t>03/08/2025</t>
  </si>
  <si>
    <t>13/09/2023</t>
  </si>
  <si>
    <t>08/07/2022</t>
  </si>
  <si>
    <t>06/12/2025</t>
  </si>
  <si>
    <t>01/02/2026</t>
  </si>
  <si>
    <t>19/01/2020</t>
  </si>
  <si>
    <t>04/04/2010</t>
  </si>
  <si>
    <t>29/12/2025</t>
  </si>
  <si>
    <t>22/12/2024</t>
  </si>
  <si>
    <t>21/12/2025</t>
  </si>
  <si>
    <t>24/09/2023</t>
  </si>
  <si>
    <t>17/02/2026</t>
  </si>
  <si>
    <t>18/04/2025</t>
  </si>
  <si>
    <t>04/10/2023</t>
  </si>
  <si>
    <t>27/02/2026</t>
  </si>
  <si>
    <t>28/01/2026</t>
  </si>
  <si>
    <t>29/07/2007</t>
  </si>
  <si>
    <t>27/12/2025</t>
  </si>
  <si>
    <t>18/07/2025</t>
  </si>
  <si>
    <t>05/07/2025</t>
  </si>
  <si>
    <t>10/01/2026</t>
  </si>
  <si>
    <t>07/06/2013</t>
  </si>
  <si>
    <t>01/08/2021</t>
  </si>
  <si>
    <t>16/01/2021</t>
  </si>
  <si>
    <t>24/11/2019</t>
  </si>
  <si>
    <t>13/11/2018</t>
  </si>
  <si>
    <t>21/04/2024</t>
  </si>
  <si>
    <t>18/12/2010</t>
  </si>
  <si>
    <t>12/11/2023</t>
  </si>
  <si>
    <t>09/11/2024</t>
  </si>
  <si>
    <t>15/11/2025</t>
  </si>
  <si>
    <t>24/07/2023</t>
  </si>
  <si>
    <t>11/08/2022</t>
  </si>
  <si>
    <t>24/08/2025</t>
  </si>
  <si>
    <t>28/11/2021</t>
  </si>
  <si>
    <t>17/06/2023</t>
  </si>
  <si>
    <t>30/04/2022</t>
  </si>
  <si>
    <t>09/12/2011</t>
  </si>
  <si>
    <t>15/11/2024</t>
  </si>
  <si>
    <t>22/01/2021</t>
  </si>
  <si>
    <t>12/07/2025</t>
  </si>
  <si>
    <t>06/02/2026</t>
  </si>
  <si>
    <t>09/02/2025</t>
  </si>
  <si>
    <t>15/09/2013</t>
  </si>
  <si>
    <t>14/02/2026</t>
  </si>
  <si>
    <t>13/02/2026</t>
  </si>
  <si>
    <t>12/10/2008</t>
  </si>
  <si>
    <t>19/01/2026</t>
  </si>
  <si>
    <t>14/06/2024</t>
  </si>
  <si>
    <t>25/11/2007</t>
  </si>
  <si>
    <t>17/12/2025</t>
  </si>
  <si>
    <t>12/01/2026</t>
  </si>
  <si>
    <t>08/08/2025</t>
  </si>
  <si>
    <t>07/07/2013</t>
  </si>
  <si>
    <t>03/08/2018</t>
  </si>
  <si>
    <t>22/10/2025</t>
  </si>
  <si>
    <t>14/09/2019</t>
  </si>
  <si>
    <t>20/04/2025</t>
  </si>
  <si>
    <t>04/11/2018</t>
  </si>
  <si>
    <t>22/11/2009</t>
  </si>
  <si>
    <t>27/07/2019</t>
  </si>
  <si>
    <t>28/08/2021</t>
  </si>
  <si>
    <t>22/08/2009</t>
  </si>
  <si>
    <t>03/07/2022</t>
  </si>
  <si>
    <t>04/11/2022</t>
  </si>
  <si>
    <t>20/12/2025</t>
  </si>
  <si>
    <t>10/10/2022</t>
  </si>
  <si>
    <t>30/09/2018</t>
  </si>
  <si>
    <t>03/12/2025</t>
  </si>
  <si>
    <t>13/07/2024</t>
  </si>
  <si>
    <t>26/09/2009</t>
  </si>
  <si>
    <t>25/06/2022</t>
  </si>
  <si>
    <t>04/02/2026</t>
  </si>
  <si>
    <t>01/03/2008</t>
  </si>
  <si>
    <t>12/04/2025</t>
  </si>
  <si>
    <t>29/11/2025</t>
  </si>
  <si>
    <t>14/11/2025</t>
  </si>
  <si>
    <t>01/05/2010</t>
  </si>
  <si>
    <t>23/10/2010</t>
  </si>
  <si>
    <t>18/11/2023</t>
  </si>
  <si>
    <t>30/11/2025</t>
  </si>
  <si>
    <t>09/07/2013</t>
  </si>
  <si>
    <t>20/02/2021</t>
  </si>
  <si>
    <t>30/07/2023</t>
  </si>
  <si>
    <t>20/03/2005</t>
  </si>
  <si>
    <t>16/08/2021</t>
  </si>
  <si>
    <t>25/02/2007</t>
  </si>
  <si>
    <t>02/08/2025</t>
  </si>
  <si>
    <t>10/03/2013</t>
  </si>
  <si>
    <t>06/09/2018</t>
  </si>
  <si>
    <t>19/09/2025</t>
  </si>
  <si>
    <t>14/02/2025</t>
  </si>
  <si>
    <t>31/01/2026</t>
  </si>
  <si>
    <t>07/11/2025</t>
  </si>
  <si>
    <t>12/03/2026</t>
  </si>
  <si>
    <t>07/12/2025</t>
  </si>
  <si>
    <t>10/05/2025</t>
  </si>
  <si>
    <t>12/08/2018</t>
  </si>
  <si>
    <t>11/02/2026</t>
  </si>
  <si>
    <t>13/12/2025</t>
  </si>
  <si>
    <t>19/02/2006</t>
  </si>
  <si>
    <t>07/10/2006</t>
  </si>
  <si>
    <t>03/04/2016</t>
  </si>
  <si>
    <t>04/02/2023</t>
  </si>
  <si>
    <t>13/11/2022</t>
  </si>
  <si>
    <t>08/09/2025</t>
  </si>
  <si>
    <t>29/11/2015</t>
  </si>
  <si>
    <t>30/04/2006</t>
  </si>
  <si>
    <t>18/01/2020</t>
  </si>
  <si>
    <t>09/03/2020</t>
  </si>
  <si>
    <t>24/02/2025</t>
  </si>
  <si>
    <t>26/03/2006</t>
  </si>
  <si>
    <t>27/09/2015</t>
  </si>
  <si>
    <t>15/06/2025</t>
  </si>
  <si>
    <t>19/05/2013</t>
  </si>
  <si>
    <t>18/03/2011</t>
  </si>
  <si>
    <t>30/12/2018</t>
  </si>
  <si>
    <t>02/06/2024</t>
  </si>
  <si>
    <t>07/08/2010</t>
  </si>
  <si>
    <t>27/07/2025</t>
  </si>
  <si>
    <t>04/05/2025</t>
  </si>
  <si>
    <t>19/12/2025</t>
  </si>
  <si>
    <t>22/11/2025</t>
  </si>
  <si>
    <t>15/12/2025</t>
  </si>
  <si>
    <t>08/11/2025</t>
  </si>
  <si>
    <t>10/07/2022</t>
  </si>
  <si>
    <t>22/04/2023</t>
  </si>
  <si>
    <t>03/10/2015</t>
  </si>
  <si>
    <t>26/11/2025</t>
  </si>
  <si>
    <t>20/09/2025</t>
  </si>
  <si>
    <t>29/03/2024</t>
  </si>
  <si>
    <t>24/02/2024</t>
  </si>
  <si>
    <t>21/01/2026</t>
  </si>
  <si>
    <t>15/04/2017</t>
  </si>
  <si>
    <t>30/08/2025</t>
  </si>
  <si>
    <t>04/08/2024</t>
  </si>
  <si>
    <t>05/04/2012</t>
  </si>
  <si>
    <t>29/04/2023</t>
  </si>
  <si>
    <t>13/08/2006</t>
  </si>
  <si>
    <t>08/08/2021</t>
  </si>
  <si>
    <t>14/06/2025</t>
  </si>
  <si>
    <t>06/07/2024</t>
  </si>
  <si>
    <t>06/01/2025</t>
  </si>
  <si>
    <t>29/07/2018</t>
  </si>
  <si>
    <t>15/05/2017</t>
  </si>
  <si>
    <t>02/11/2025</t>
  </si>
  <si>
    <t>23/11/2025</t>
  </si>
  <si>
    <t>29/11/2021</t>
  </si>
  <si>
    <t>31/05/2025</t>
  </si>
  <si>
    <t>02/02/2025</t>
  </si>
  <si>
    <t>22/05/2009</t>
  </si>
  <si>
    <t>04/07/2025</t>
  </si>
  <si>
    <t>24/10/2025</t>
  </si>
  <si>
    <t>31/08/2014</t>
  </si>
  <si>
    <t>09/02/2026</t>
  </si>
  <si>
    <t>14/07/2012</t>
  </si>
  <si>
    <t>27/05/2012</t>
  </si>
  <si>
    <t>24/04/2011</t>
  </si>
  <si>
    <t>18/11/2024</t>
  </si>
  <si>
    <t>15/02/2020</t>
  </si>
  <si>
    <t>12/12/2010</t>
  </si>
  <si>
    <t>20/09/2024</t>
  </si>
  <si>
    <t>23/05/2025</t>
  </si>
  <si>
    <t>15/12/2024</t>
  </si>
  <si>
    <t>26/01/2025</t>
  </si>
  <si>
    <t>26/08/2012</t>
  </si>
  <si>
    <t>03/08/2024</t>
  </si>
  <si>
    <t>24/06/2023</t>
  </si>
  <si>
    <t>08/02/2009</t>
  </si>
  <si>
    <t>06/09/2015</t>
  </si>
  <si>
    <t>14/07/2018</t>
  </si>
  <si>
    <t>24/06/2018</t>
  </si>
  <si>
    <t>12/12/2025</t>
  </si>
  <si>
    <t>25/02/2023</t>
  </si>
  <si>
    <t>29/10/2021</t>
  </si>
  <si>
    <t>11/12/2022</t>
  </si>
  <si>
    <t>27/07/2014</t>
  </si>
  <si>
    <t>21/02/2026</t>
  </si>
  <si>
    <t>24/05/2009</t>
  </si>
  <si>
    <t>17/04/2016</t>
  </si>
  <si>
    <t>31/10/2022</t>
  </si>
  <si>
    <t>01/05/2025</t>
  </si>
  <si>
    <t>02/09/2023</t>
  </si>
  <si>
    <t>19/12/2024</t>
  </si>
  <si>
    <t>31/10/2024</t>
  </si>
  <si>
    <t>24/03/2025</t>
  </si>
  <si>
    <t>16/12/2012</t>
  </si>
  <si>
    <t>04/03/2026</t>
  </si>
  <si>
    <t>25/11/2017</t>
  </si>
  <si>
    <t>13/02/2005</t>
  </si>
  <si>
    <t>06/12/2008</t>
  </si>
  <si>
    <t>14/08/2022</t>
  </si>
  <si>
    <t>02/08/2024</t>
  </si>
  <si>
    <t>10/08/2025</t>
  </si>
  <si>
    <t>21/01/2024</t>
  </si>
  <si>
    <t>26/09/2010</t>
  </si>
  <si>
    <t>09/08/2024</t>
  </si>
  <si>
    <t>07/12/2024</t>
  </si>
  <si>
    <t>19/10/2024</t>
  </si>
  <si>
    <t>19/08/2023</t>
  </si>
  <si>
    <t>16/02/2025</t>
  </si>
  <si>
    <t>14/11/2009</t>
  </si>
  <si>
    <t>23/02/2025</t>
  </si>
  <si>
    <t>23/03/2025</t>
  </si>
  <si>
    <t>10/06/2012</t>
  </si>
  <si>
    <t>09/12/2012</t>
  </si>
  <si>
    <t>20/09/2008</t>
  </si>
  <si>
    <t>24/08/2018</t>
  </si>
  <si>
    <t>09/03/2024</t>
  </si>
  <si>
    <t>09/07/2019</t>
  </si>
  <si>
    <t>20/11/2022</t>
  </si>
  <si>
    <t>09/02/2023</t>
  </si>
  <si>
    <t>15/05/2022</t>
  </si>
  <si>
    <t>31/01/2009</t>
  </si>
  <si>
    <t>11/02/2024</t>
  </si>
  <si>
    <t>02/12/2012</t>
  </si>
  <si>
    <t>21/04/2019</t>
  </si>
  <si>
    <t>26/03/2022</t>
  </si>
  <si>
    <t>21/12/2019</t>
  </si>
  <si>
    <t>28/08/2005</t>
  </si>
  <si>
    <t>05/06/2005</t>
  </si>
  <si>
    <t>10/10/2021</t>
  </si>
  <si>
    <t>09/07/2018</t>
  </si>
  <si>
    <t>20/07/2024</t>
  </si>
  <si>
    <t>22/09/2018</t>
  </si>
  <si>
    <t>22/04/2007</t>
  </si>
  <si>
    <t>11/06/2017</t>
  </si>
  <si>
    <t>04/06/2023</t>
  </si>
  <si>
    <t>25/05/2019</t>
  </si>
  <si>
    <t>28/02/2016</t>
  </si>
  <si>
    <t>11/10/2009</t>
  </si>
  <si>
    <t>28/05/2023</t>
  </si>
  <si>
    <t>23/01/2026</t>
  </si>
  <si>
    <t>12/09/2025</t>
  </si>
  <si>
    <t>18/01/2014</t>
  </si>
  <si>
    <t>17/10/2025</t>
  </si>
  <si>
    <t>09/06/2013</t>
  </si>
  <si>
    <t>01/12/2018</t>
  </si>
  <si>
    <t>16/02/2018</t>
  </si>
  <si>
    <t>15/04/2007</t>
  </si>
  <si>
    <t>19/01/2008</t>
  </si>
  <si>
    <t>14/04/2023</t>
  </si>
  <si>
    <t>10/06/2018</t>
  </si>
  <si>
    <t>12/10/2025</t>
  </si>
  <si>
    <t>18/02/2023</t>
  </si>
  <si>
    <t>21/11/2015</t>
  </si>
  <si>
    <t>15/06/2019</t>
  </si>
  <si>
    <t>02/04/2025</t>
  </si>
  <si>
    <t>02/03/2025</t>
  </si>
  <si>
    <t>26/10/2019</t>
  </si>
  <si>
    <t>26/04/2025</t>
  </si>
  <si>
    <t>28/01/2024</t>
  </si>
  <si>
    <t>04/02/2017</t>
  </si>
  <si>
    <t>19/04/2009</t>
  </si>
  <si>
    <t>19/04/2017</t>
  </si>
  <si>
    <t>29/05/2022</t>
  </si>
  <si>
    <t>12/11/2022</t>
  </si>
  <si>
    <t>26/08/2017</t>
  </si>
  <si>
    <t>23/05/2022</t>
  </si>
  <si>
    <t>31/10/2021</t>
  </si>
  <si>
    <t>18/05/2025</t>
  </si>
  <si>
    <t>08/12/2007</t>
  </si>
  <si>
    <t>12/03/2006</t>
  </si>
  <si>
    <t>14/06/2009</t>
  </si>
  <si>
    <t>09/07/2025</t>
  </si>
  <si>
    <t>16/03/2024</t>
  </si>
  <si>
    <t>18/11/2012</t>
  </si>
  <si>
    <t>20/12/2008</t>
  </si>
  <si>
    <t>16/06/2008</t>
  </si>
  <si>
    <t>30/04/2025</t>
  </si>
  <si>
    <t>08/02/2025</t>
  </si>
  <si>
    <t>28/10/2022</t>
  </si>
  <si>
    <t>27/05/2024</t>
  </si>
  <si>
    <t>24/11/2024</t>
  </si>
  <si>
    <t>10/04/2016</t>
  </si>
  <si>
    <t>24/04/2016</t>
  </si>
  <si>
    <t>04/03/2019</t>
  </si>
  <si>
    <t>26/11/2023</t>
  </si>
  <si>
    <t>18/09/2009</t>
  </si>
  <si>
    <t>18/10/2019</t>
  </si>
  <si>
    <t>03/12/2011</t>
  </si>
  <si>
    <t>08/01/2022</t>
  </si>
  <si>
    <t>06/04/2008</t>
  </si>
  <si>
    <t>15/10/2018</t>
  </si>
  <si>
    <t>14/04/2019</t>
  </si>
  <si>
    <t>05/05/2024</t>
  </si>
  <si>
    <t>23/08/2025</t>
  </si>
  <si>
    <t>08/03/2025</t>
  </si>
  <si>
    <t>18/04/2022</t>
  </si>
  <si>
    <t>18/10/2025</t>
  </si>
  <si>
    <t>Partidos Totales</t>
  </si>
  <si>
    <t>Codigo TMT</t>
  </si>
  <si>
    <t>Link a su perfil</t>
  </si>
  <si>
    <r>
      <rPr>
        <sz val="9"/>
        <rFont val="Arial MT"/>
        <family val="2"/>
      </rPr>
      <t>Alvear Club</t>
    </r>
  </si>
  <si>
    <r>
      <rPr>
        <sz val="9"/>
        <rFont val="Arial MT"/>
        <family val="2"/>
      </rPr>
      <t>Divisón de Honor</t>
    </r>
  </si>
  <si>
    <r>
      <rPr>
        <sz val="9"/>
        <rFont val="Arial MT"/>
        <family val="2"/>
      </rPr>
      <t>Fuentes, Leandro</t>
    </r>
  </si>
  <si>
    <t>https://www.tenisdemesaparatodos.com/jugadores_ficha.asp?codigo=7973</t>
  </si>
  <si>
    <r>
      <rPr>
        <sz val="9"/>
        <rFont val="Arial MT"/>
        <family val="2"/>
      </rPr>
      <t>Guadalupe, Matías</t>
    </r>
  </si>
  <si>
    <t>https://www.tenisdemesaparatodos.com/jugadores_ficha.asp?codigo=7310</t>
  </si>
  <si>
    <r>
      <rPr>
        <sz val="9"/>
        <rFont val="Arial MT"/>
        <family val="2"/>
      </rPr>
      <t>Gibo, Nicolás</t>
    </r>
  </si>
  <si>
    <t>https://www.tenisdemesaparatodos.com/jugadores_ficha.asp?codigo=6654</t>
  </si>
  <si>
    <r>
      <rPr>
        <sz val="9"/>
        <rFont val="Arial MT"/>
        <family val="2"/>
      </rPr>
      <t>Yamamoto, Leandro</t>
    </r>
  </si>
  <si>
    <t>https://www.tenisdemesaparatodos.com/jugadores_ficha.asp?codigo=2634</t>
  </si>
  <si>
    <r>
      <rPr>
        <sz val="9"/>
        <rFont val="Arial MT"/>
        <family val="2"/>
      </rPr>
      <t>Morrazo, Agustín</t>
    </r>
  </si>
  <si>
    <t>https://www.tenisdemesaparatodos.com/jugadores_ficha.asp?codigo=11858</t>
  </si>
  <si>
    <r>
      <rPr>
        <sz val="9"/>
        <rFont val="Arial MT"/>
        <family val="2"/>
      </rPr>
      <t>Rodriguez, Bryan</t>
    </r>
  </si>
  <si>
    <t>https://www.tenisdemesaparatodos.com/jugadores_ficha.asp?codigo=27012</t>
  </si>
  <si>
    <r>
      <rPr>
        <sz val="9"/>
        <rFont val="Arial MT"/>
        <family val="2"/>
      </rPr>
      <t>Primera División</t>
    </r>
  </si>
  <si>
    <r>
      <rPr>
        <sz val="9"/>
        <rFont val="Arial MT"/>
        <family val="2"/>
      </rPr>
      <t>Alvear Club A</t>
    </r>
  </si>
  <si>
    <r>
      <rPr>
        <sz val="9"/>
        <rFont val="Arial MT"/>
        <family val="2"/>
      </rPr>
      <t>Pagano, Francisco</t>
    </r>
  </si>
  <si>
    <t>https://www.tenisdemesaparatodos.com/jugadores_ficha.asp?codigo=15963</t>
  </si>
  <si>
    <r>
      <rPr>
        <sz val="9"/>
        <rFont val="Arial MT"/>
        <family val="2"/>
      </rPr>
      <t>Valdez, Eduardo</t>
    </r>
  </si>
  <si>
    <t>https://www.tenisdemesaparatodos.com/jugadores_ficha.asp?codigo=1285</t>
  </si>
  <si>
    <r>
      <rPr>
        <sz val="9"/>
        <rFont val="Arial MT"/>
        <family val="2"/>
      </rPr>
      <t>Pollini, Emiliano</t>
    </r>
  </si>
  <si>
    <t>https://www.tenisdemesaparatodos.com/jugadores_ficha.asp?codigo=23487</t>
  </si>
  <si>
    <r>
      <rPr>
        <sz val="9"/>
        <rFont val="Arial MT"/>
        <family val="2"/>
      </rPr>
      <t>Alvear Club B</t>
    </r>
  </si>
  <si>
    <r>
      <rPr>
        <sz val="9"/>
        <rFont val="Arial MT"/>
        <family val="2"/>
      </rPr>
      <t>Buscema, Milton</t>
    </r>
  </si>
  <si>
    <t>https://www.tenisdemesaparatodos.com/jugadores_ficha.asp?codigo=15238</t>
  </si>
  <si>
    <r>
      <rPr>
        <sz val="9"/>
        <rFont val="Arial MT"/>
        <family val="2"/>
      </rPr>
      <t>Sclar, Matias</t>
    </r>
  </si>
  <si>
    <t>https://www.tenisdemesaparatodos.com/jugadores_ficha.asp?codigo=21373</t>
  </si>
  <si>
    <r>
      <rPr>
        <sz val="9"/>
        <rFont val="Arial MT"/>
        <family val="2"/>
      </rPr>
      <t>Kenji Kamida, Diego</t>
    </r>
  </si>
  <si>
    <t>https://www.tenisdemesaparatodos.com/jugadores_ficha.asp?codigo=19885</t>
  </si>
  <si>
    <r>
      <rPr>
        <sz val="9"/>
        <rFont val="Arial MT"/>
        <family val="2"/>
      </rPr>
      <t>Loiacono, Joaquin</t>
    </r>
  </si>
  <si>
    <t>https://www.tenisdemesaparatodos.com/jugadores_ficha.asp?codigo=17702</t>
  </si>
  <si>
    <r>
      <rPr>
        <sz val="9"/>
        <rFont val="Arial MT"/>
        <family val="2"/>
      </rPr>
      <t>Segunda División</t>
    </r>
  </si>
  <si>
    <r>
      <rPr>
        <sz val="9"/>
        <rFont val="Arial MT"/>
        <family val="2"/>
      </rPr>
      <t>Dias, Juan Cruz</t>
    </r>
  </si>
  <si>
    <t>https://www.tenisdemesaparatodos.com/jugadores_ficha.asp?codigo=16442</t>
  </si>
  <si>
    <r>
      <rPr>
        <sz val="9"/>
        <rFont val="Arial MT"/>
        <family val="2"/>
      </rPr>
      <t>Mamone, Matias</t>
    </r>
  </si>
  <si>
    <t>https://www.tenisdemesaparatodos.com/jugadores_ficha.asp?codigo=17872</t>
  </si>
  <si>
    <r>
      <rPr>
        <sz val="9"/>
        <rFont val="Arial MT"/>
        <family val="2"/>
      </rPr>
      <t>Devesa, Gabriel F.</t>
    </r>
  </si>
  <si>
    <t>https://www.tenisdemesaparatodos.com/jugadores_ficha.asp?codigo=20212</t>
  </si>
  <si>
    <r>
      <rPr>
        <sz val="9"/>
        <rFont val="Arial MT"/>
        <family val="2"/>
      </rPr>
      <t>Cohen, Claudio</t>
    </r>
  </si>
  <si>
    <t>https://www.tenisdemesaparatodos.com/jugadores_ficha.asp?codigo=9227</t>
  </si>
  <si>
    <r>
      <rPr>
        <sz val="9"/>
        <rFont val="Arial MT"/>
        <family val="2"/>
      </rPr>
      <t>Armoa, Santiago</t>
    </r>
  </si>
  <si>
    <t>https://www.tenisdemesaparatodos.com/jugadores_ficha.asp?codigo=16090</t>
  </si>
  <si>
    <r>
      <rPr>
        <sz val="9"/>
        <rFont val="Arial MT"/>
        <family val="2"/>
      </rPr>
      <t>Maldonado, Romeo</t>
    </r>
  </si>
  <si>
    <t>https://www.tenisdemesaparatodos.com/jugadores_ficha.asp?codigo=22715</t>
  </si>
  <si>
    <r>
      <rPr>
        <sz val="9"/>
        <rFont val="Arial MT"/>
        <family val="2"/>
      </rPr>
      <t>Guia Monzon, Ixchel</t>
    </r>
  </si>
  <si>
    <t>https://www.tenisdemesaparatodos.com/jugadores_ficha.asp?codigo=24670</t>
  </si>
  <si>
    <r>
      <rPr>
        <sz val="9"/>
        <rFont val="Arial MT"/>
        <family val="2"/>
      </rPr>
      <t>Perez, Martin</t>
    </r>
  </si>
  <si>
    <t>https://www.tenisdemesaparatodos.com/jugadores_ficha.asp?codigo=6658</t>
  </si>
  <si>
    <r>
      <rPr>
        <sz val="9"/>
        <rFont val="Arial MT"/>
        <family val="2"/>
      </rPr>
      <t>Cuarta División</t>
    </r>
  </si>
  <si>
    <r>
      <rPr>
        <sz val="9"/>
        <rFont val="Arial MT"/>
        <family val="2"/>
      </rPr>
      <t>Parodi, Oscar</t>
    </r>
  </si>
  <si>
    <t>https://www.tenisdemesaparatodos.com/jugadores_ficha.asp?codigo=14286</t>
  </si>
  <si>
    <r>
      <rPr>
        <sz val="9"/>
        <rFont val="Arial MT"/>
        <family val="2"/>
      </rPr>
      <t>Takahashi, Brisa C.</t>
    </r>
  </si>
  <si>
    <t>https://www.tenisdemesaparatodos.com/jugadores_ficha.asp?codigo=19125</t>
  </si>
  <si>
    <r>
      <rPr>
        <sz val="9"/>
        <rFont val="Arial MT"/>
        <family val="2"/>
      </rPr>
      <t>Santa Cruz, Tomas E.</t>
    </r>
  </si>
  <si>
    <t>https://www.tenisdemesaparatodos.com/jugadores_ficha.asp?codigo=17355</t>
  </si>
  <si>
    <r>
      <rPr>
        <sz val="9"/>
        <rFont val="Arial MT"/>
        <family val="2"/>
      </rPr>
      <t>Bustamante Fernandez,Sebastian</t>
    </r>
  </si>
  <si>
    <t>https://www.tenisdemesaparatodos.com/jugadores_ficha.asp?codigo=28253</t>
  </si>
  <si>
    <r>
      <rPr>
        <sz val="9"/>
        <rFont val="Arial MT"/>
        <family val="2"/>
      </rPr>
      <t>Saul, Felipe</t>
    </r>
  </si>
  <si>
    <t>https://www.tenisdemesaparatodos.com/jugadores_ficha.asp?codigo=14127</t>
  </si>
  <si>
    <r>
      <rPr>
        <sz val="9"/>
        <rFont val="Arial MT"/>
        <family val="2"/>
      </rPr>
      <t>Arias, Joaquin</t>
    </r>
  </si>
  <si>
    <t>https://www.tenisdemesaparatodos.com/jugadores_ficha.asp?codigo=18554</t>
  </si>
  <si>
    <r>
      <rPr>
        <sz val="9"/>
        <rFont val="Arial MT"/>
        <family val="2"/>
      </rPr>
      <t>Aguirre, Joaquin</t>
    </r>
  </si>
  <si>
    <t>https://www.tenisdemesaparatodos.com/jugadores_ficha.asp?codigo=23600</t>
  </si>
  <si>
    <r>
      <rPr>
        <sz val="9"/>
        <rFont val="Arial MT"/>
        <family val="2"/>
      </rPr>
      <t>Quinta División</t>
    </r>
  </si>
  <si>
    <r>
      <rPr>
        <sz val="9"/>
        <rFont val="Arial MT"/>
        <family val="2"/>
      </rPr>
      <t>Banegas, Ivan</t>
    </r>
  </si>
  <si>
    <t>https://www.tenisdemesaparatodos.com/jugadores_ficha.asp?codigo=18720</t>
  </si>
  <si>
    <r>
      <rPr>
        <sz val="9"/>
        <rFont val="Arial MT"/>
        <family val="2"/>
      </rPr>
      <t>Cendra, Martin</t>
    </r>
  </si>
  <si>
    <t>https://www.tenisdemesaparatodos.com/jugadores_ficha.asp?codigo=16816</t>
  </si>
  <si>
    <r>
      <rPr>
        <sz val="9"/>
        <rFont val="Arial MT"/>
        <family val="2"/>
      </rPr>
      <t>Battaglini, Alejandro</t>
    </r>
  </si>
  <si>
    <t>https://www.tenisdemesaparatodos.com/jugadores_ficha.asp?codigo=949</t>
  </si>
  <si>
    <r>
      <rPr>
        <sz val="9"/>
        <rFont val="Arial MT"/>
        <family val="2"/>
      </rPr>
      <t>Ramos, Gustavo</t>
    </r>
  </si>
  <si>
    <t>https://www.tenisdemesaparatodos.com/jugadores_ficha.asp?codigo=4787</t>
  </si>
  <si>
    <r>
      <rPr>
        <sz val="9"/>
        <rFont val="Arial MT"/>
        <family val="2"/>
      </rPr>
      <t>Oholeguy, Agustin</t>
    </r>
  </si>
  <si>
    <t>https://www.tenisdemesaparatodos.com/jugadores_ficha.asp?codigo=26704</t>
  </si>
  <si>
    <r>
      <rPr>
        <sz val="9"/>
        <rFont val="Arial MT"/>
        <family val="2"/>
      </rPr>
      <t>Lejarza, Catriel</t>
    </r>
  </si>
  <si>
    <t>https://www.tenisdemesaparatodos.com/jugadores_ficha.asp?codigo=24582</t>
  </si>
  <si>
    <r>
      <rPr>
        <sz val="9"/>
        <rFont val="Arial MT"/>
        <family val="2"/>
      </rPr>
      <t>Sexta División</t>
    </r>
  </si>
  <si>
    <r>
      <rPr>
        <sz val="9"/>
        <rFont val="Arial MT"/>
        <family val="2"/>
      </rPr>
      <t>Garrido, Ernesto</t>
    </r>
  </si>
  <si>
    <t>https://www.tenisdemesaparatodos.com/jugadores_ficha.asp?codigo=15966</t>
  </si>
  <si>
    <r>
      <rPr>
        <sz val="9"/>
        <rFont val="Arial MT"/>
        <family val="2"/>
      </rPr>
      <t>Perez, Maximiliano</t>
    </r>
  </si>
  <si>
    <t>https://www.tenisdemesaparatodos.com/jugadores_ficha.asp?codigo=22944</t>
  </si>
  <si>
    <r>
      <rPr>
        <sz val="9"/>
        <rFont val="Arial MT"/>
        <family val="2"/>
      </rPr>
      <t>Vulcano, Julio Cesar</t>
    </r>
  </si>
  <si>
    <t>https://www.tenisdemesaparatodos.com/jugadores_ficha.asp?codigo=16684</t>
  </si>
  <si>
    <r>
      <rPr>
        <sz val="9"/>
        <rFont val="Arial MT"/>
        <family val="2"/>
      </rPr>
      <t>Potenza, Nahuel</t>
    </r>
  </si>
  <si>
    <t>https://www.tenisdemesaparatodos.com/jugadores_ficha.asp?codigo=22438</t>
  </si>
  <si>
    <r>
      <rPr>
        <sz val="9"/>
        <rFont val="Arial MT"/>
        <family val="2"/>
      </rPr>
      <t>Kaladjian, Constantino</t>
    </r>
  </si>
  <si>
    <t>https://www.tenisdemesaparatodos.com/jugadores_ficha.asp?codigo=22461</t>
  </si>
  <si>
    <r>
      <rPr>
        <sz val="9"/>
        <rFont val="Arial MT"/>
        <family val="2"/>
      </rPr>
      <t>Séptima División</t>
    </r>
  </si>
  <si>
    <r>
      <rPr>
        <sz val="9"/>
        <rFont val="Arial MT"/>
        <family val="2"/>
      </rPr>
      <t>Mendoza, Rodrigo</t>
    </r>
  </si>
  <si>
    <t>https://www.tenisdemesaparatodos.com/jugadores_ficha.asp?codigo=17783</t>
  </si>
  <si>
    <r>
      <rPr>
        <sz val="9"/>
        <rFont val="Arial MT"/>
        <family val="2"/>
      </rPr>
      <t>Rodriguez, Gaspar</t>
    </r>
  </si>
  <si>
    <t>https://www.tenisdemesaparatodos.com/jugadores_ficha.asp?codigo=6718</t>
  </si>
  <si>
    <r>
      <rPr>
        <sz val="9"/>
        <rFont val="Arial MT"/>
        <family val="2"/>
      </rPr>
      <t>Puntel, Diego Hernán</t>
    </r>
  </si>
  <si>
    <t>https://www.tenisdemesaparatodos.com/jugadores_ficha.asp?codigo=8904</t>
  </si>
  <si>
    <r>
      <rPr>
        <sz val="9"/>
        <rFont val="Arial MT"/>
        <family val="2"/>
      </rPr>
      <t>Andrade, Facundo</t>
    </r>
  </si>
  <si>
    <t>https://www.tenisdemesaparatodos.com/jugadores_ficha.asp?codigo=8219</t>
  </si>
  <si>
    <r>
      <rPr>
        <sz val="9"/>
        <rFont val="Arial MT"/>
        <family val="2"/>
      </rPr>
      <t>Posniak, Darío Hernán</t>
    </r>
  </si>
  <si>
    <t>https://www.tenisdemesaparatodos.com/jugadores_ficha.asp?codigo=7353</t>
  </si>
  <si>
    <r>
      <rPr>
        <sz val="9"/>
        <rFont val="Arial MT"/>
        <family val="2"/>
      </rPr>
      <t>Frumento, Mariano</t>
    </r>
  </si>
  <si>
    <t>https://www.tenisdemesaparatodos.com/jugadores_ficha.asp?codigo=16126</t>
  </si>
  <si>
    <r>
      <rPr>
        <sz val="9"/>
        <rFont val="Arial MT"/>
        <family val="2"/>
      </rPr>
      <t>Fangano, Cesar O.</t>
    </r>
  </si>
  <si>
    <t>https://www.tenisdemesaparatodos.com/jugadores_ficha.asp?codigo=20041</t>
  </si>
  <si>
    <r>
      <rPr>
        <sz val="9"/>
        <rFont val="Arial MT"/>
        <family val="2"/>
      </rPr>
      <t>Rugel, Jose Antonio</t>
    </r>
  </si>
  <si>
    <t>https://www.tenisdemesaparatodos.com/jugadores_ficha.asp?codigo=17898</t>
  </si>
  <si>
    <r>
      <rPr>
        <sz val="9"/>
        <rFont val="Arial MT"/>
        <family val="2"/>
      </rPr>
      <t>Arnese, Cynthia G.</t>
    </r>
  </si>
  <si>
    <t>https://www.tenisdemesaparatodos.com/jugadores_ficha.asp?codigo=26491</t>
  </si>
  <si>
    <r>
      <rPr>
        <sz val="9"/>
        <rFont val="Arial MT"/>
        <family val="2"/>
      </rPr>
      <t>Octava División</t>
    </r>
  </si>
  <si>
    <r>
      <rPr>
        <sz val="9"/>
        <rFont val="Arial MT"/>
        <family val="2"/>
      </rPr>
      <t>Cendra, Maitena</t>
    </r>
  </si>
  <si>
    <t>https://www.tenisdemesaparatodos.com/jugadores_ficha.asp?codigo=18033</t>
  </si>
  <si>
    <r>
      <rPr>
        <sz val="9"/>
        <rFont val="Arial MT"/>
        <family val="2"/>
      </rPr>
      <t>Lombardi, Bruno</t>
    </r>
  </si>
  <si>
    <t>https://www.tenisdemesaparatodos.com/jugadores_ficha.asp?codigo=28741</t>
  </si>
  <si>
    <r>
      <rPr>
        <sz val="9"/>
        <rFont val="Arial MT"/>
        <family val="2"/>
      </rPr>
      <t>Cendra, Valentina</t>
    </r>
  </si>
  <si>
    <t>https://www.tenisdemesaparatodos.com/jugadores_ficha.asp?codigo=18034</t>
  </si>
  <si>
    <r>
      <rPr>
        <sz val="9"/>
        <rFont val="Arial MT"/>
        <family val="2"/>
      </rPr>
      <t>Miret, Octavio</t>
    </r>
  </si>
  <si>
    <t>https://www.tenisdemesaparatodos.com/jugadores_ficha.asp?codigo=27656</t>
  </si>
  <si>
    <r>
      <rPr>
        <sz val="9"/>
        <rFont val="Arial MT"/>
        <family val="2"/>
      </rPr>
      <t>Traverso, Ariel</t>
    </r>
  </si>
  <si>
    <t>https://www.tenisdemesaparatodos.com/jugadores_ficha.asp?codigo=29199</t>
  </si>
  <si>
    <r>
      <rPr>
        <sz val="9"/>
        <rFont val="Arial MT"/>
        <family val="2"/>
      </rPr>
      <t>Iglesias, Gonzalo</t>
    </r>
  </si>
  <si>
    <t>https://www.tenisdemesaparatodos.com/jugadores_ficha.asp?codigo=4631</t>
  </si>
  <si>
    <r>
      <rPr>
        <sz val="9"/>
        <rFont val="Arial MT"/>
        <family val="2"/>
      </rPr>
      <t>Patro, Felipe</t>
    </r>
  </si>
  <si>
    <t>https://www.tenisdemesaparatodos.com/jugadores_ficha.asp?codigo=28588</t>
  </si>
  <si>
    <r>
      <rPr>
        <sz val="9"/>
        <rFont val="Arial MT"/>
        <family val="2"/>
      </rPr>
      <t>Lo Stimolo, Leonel</t>
    </r>
  </si>
  <si>
    <t>https://www.tenisdemesaparatodos.com/jugadores_ficha.asp?codigo=29118</t>
  </si>
  <si>
    <r>
      <rPr>
        <sz val="9"/>
        <rFont val="Arial MT"/>
        <family val="2"/>
      </rPr>
      <t>Chancherosi, Camila</t>
    </r>
  </si>
  <si>
    <t>https://www.tenisdemesaparatodos.com/jugadores_ficha.asp?codigo=27905</t>
  </si>
  <si>
    <r>
      <rPr>
        <sz val="9"/>
        <rFont val="Arial MT"/>
        <family val="2"/>
      </rPr>
      <t>Arg Takkyu</t>
    </r>
  </si>
  <si>
    <r>
      <rPr>
        <sz val="9"/>
        <rFont val="Arial MT"/>
        <family val="2"/>
      </rPr>
      <t>Arias, Lucas</t>
    </r>
  </si>
  <si>
    <t>https://www.tenisdemesaparatodos.com/jugadores_ficha.asp?codigo=9834</t>
  </si>
  <si>
    <r>
      <rPr>
        <sz val="9"/>
        <rFont val="Arial MT"/>
        <family val="2"/>
      </rPr>
      <t>Maehama, Trinidad</t>
    </r>
  </si>
  <si>
    <t>https://www.tenisdemesaparatodos.com/jugadores_ficha.asp?codigo=25702</t>
  </si>
  <si>
    <r>
      <rPr>
        <sz val="9"/>
        <rFont val="Arial MT"/>
        <family val="2"/>
      </rPr>
      <t>Artemisi, Santiago</t>
    </r>
  </si>
  <si>
    <t>https://www.tenisdemesaparatodos.com/jugadores_ficha.asp?codigo=1487</t>
  </si>
  <si>
    <r>
      <rPr>
        <sz val="9"/>
        <rFont val="Arial MT"/>
        <family val="2"/>
      </rPr>
      <t>Palermo, Nicolas</t>
    </r>
  </si>
  <si>
    <t>https://www.tenisdemesaparatodos.com/jugadores_ficha.asp?codigo=24412</t>
  </si>
  <si>
    <r>
      <rPr>
        <sz val="9"/>
        <rFont val="Arial MT"/>
        <family val="2"/>
      </rPr>
      <t>Cesaretti, Daniel</t>
    </r>
  </si>
  <si>
    <t>https://www.tenisdemesaparatodos.com/jugadores_ficha.asp?codigo=14293</t>
  </si>
  <si>
    <r>
      <rPr>
        <sz val="9"/>
        <rFont val="Arial MT"/>
        <family val="2"/>
      </rPr>
      <t>Artemisi, Alberto</t>
    </r>
  </si>
  <si>
    <t>https://www.tenisdemesaparatodos.com/jugadores_ficha.asp?codigo=9148</t>
  </si>
  <si>
    <r>
      <rPr>
        <sz val="9"/>
        <rFont val="Arial MT"/>
        <family val="2"/>
      </rPr>
      <t>Conci, Rodolfo H</t>
    </r>
  </si>
  <si>
    <t>https://www.tenisdemesaparatodos.com/jugadores_ficha.asp?codigo=20584</t>
  </si>
  <si>
    <r>
      <rPr>
        <sz val="9"/>
        <rFont val="Arial MT"/>
        <family val="2"/>
      </rPr>
      <t>Rodriguez, Humberto</t>
    </r>
  </si>
  <si>
    <t>https://www.tenisdemesaparatodos.com/jugadores_ficha.asp?codigo=17483</t>
  </si>
  <si>
    <r>
      <rPr>
        <sz val="9"/>
        <rFont val="Arial MT"/>
        <family val="2"/>
      </rPr>
      <t>Bader, Ivan</t>
    </r>
  </si>
  <si>
    <t>https://www.tenisdemesaparatodos.com/jugadores_ficha.asp?codigo=22749</t>
  </si>
  <si>
    <r>
      <rPr>
        <sz val="9"/>
        <rFont val="Arial MT"/>
        <family val="2"/>
      </rPr>
      <t>Ng, Kevin</t>
    </r>
  </si>
  <si>
    <t>https://www.tenisdemesaparatodos.com/jugadores_ficha.asp?codigo=28010</t>
  </si>
  <si>
    <r>
      <rPr>
        <sz val="9"/>
        <rFont val="Arial MT"/>
        <family val="2"/>
      </rPr>
      <t>Kramarovsky, Iván</t>
    </r>
  </si>
  <si>
    <t>https://www.tenisdemesaparatodos.com/jugadores_ficha.asp?codigo=7218</t>
  </si>
  <si>
    <r>
      <rPr>
        <sz val="9"/>
        <rFont val="Arial MT"/>
        <family val="2"/>
      </rPr>
      <t>Asoc. Jap. Burzaco</t>
    </r>
  </si>
  <si>
    <r>
      <rPr>
        <sz val="9"/>
        <rFont val="Arial MT"/>
        <family val="2"/>
      </rPr>
      <t>Okuyama, Abril</t>
    </r>
  </si>
  <si>
    <t>https://www.tenisdemesaparatodos.com/jugadores_ficha.asp?codigo=15337</t>
  </si>
  <si>
    <r>
      <rPr>
        <sz val="9"/>
        <rFont val="Arial MT"/>
        <family val="2"/>
      </rPr>
      <t>Chacon, Daniela</t>
    </r>
  </si>
  <si>
    <t>https://www.tenisdemesaparatodos.com/jugadores_ficha.asp?codigo=27440</t>
  </si>
  <si>
    <r>
      <rPr>
        <sz val="9"/>
        <rFont val="Arial MT"/>
        <family val="2"/>
      </rPr>
      <t>Rolon, Fernando</t>
    </r>
  </si>
  <si>
    <t>https://www.tenisdemesaparatodos.com/jugadores_ficha.asp?codigo=11707</t>
  </si>
  <si>
    <r>
      <rPr>
        <sz val="9"/>
        <rFont val="Arial MT"/>
        <family val="2"/>
      </rPr>
      <t>Murakoshi, Nahuel</t>
    </r>
  </si>
  <si>
    <t>https://www.tenisdemesaparatodos.com/jugadores_ficha.asp?codigo=21173</t>
  </si>
  <si>
    <r>
      <rPr>
        <sz val="9"/>
        <rFont val="Arial MT"/>
        <family val="2"/>
      </rPr>
      <t>Maeto, Diego</t>
    </r>
  </si>
  <si>
    <t>https://www.tenisdemesaparatodos.com/jugadores_ficha.asp?codigo=26986</t>
  </si>
  <si>
    <r>
      <rPr>
        <sz val="9"/>
        <rFont val="Arial MT"/>
        <family val="2"/>
      </rPr>
      <t>Hidaka, Nori</t>
    </r>
  </si>
  <si>
    <t>https://www.tenisdemesaparatodos.com/jugadores_ficha.asp?codigo=27412</t>
  </si>
  <si>
    <r>
      <rPr>
        <sz val="9"/>
        <rFont val="Arial MT"/>
        <family val="2"/>
      </rPr>
      <t>Morinigo, Matías</t>
    </r>
  </si>
  <si>
    <t>https://www.tenisdemesaparatodos.com/jugadores_ficha.asp?codigo=11773</t>
  </si>
  <si>
    <r>
      <rPr>
        <sz val="9"/>
        <rFont val="Arial MT"/>
        <family val="2"/>
      </rPr>
      <t>Kawataki, Ricardo</t>
    </r>
  </si>
  <si>
    <t>https://www.tenisdemesaparatodos.com/jugadores_ficha.asp?codigo=2106</t>
  </si>
  <si>
    <r>
      <rPr>
        <sz val="9"/>
        <rFont val="Arial MT"/>
        <family val="2"/>
      </rPr>
      <t>Saulo, Matias</t>
    </r>
  </si>
  <si>
    <t>https://www.tenisdemesaparatodos.com/jugadores_ficha.asp?codigo=22796</t>
  </si>
  <si>
    <r>
      <rPr>
        <sz val="9"/>
        <rFont val="Arial MT"/>
        <family val="2"/>
      </rPr>
      <t>Folino, Sergio</t>
    </r>
  </si>
  <si>
    <t>https://www.tenisdemesaparatodos.com/jugadores_ficha.asp?codigo=14191</t>
  </si>
  <si>
    <r>
      <rPr>
        <sz val="9"/>
        <rFont val="Arial MT"/>
        <family val="2"/>
      </rPr>
      <t>Arakaki, Ezequiel</t>
    </r>
  </si>
  <si>
    <t>https://www.tenisdemesaparatodos.com/jugadores_ficha.asp?codigo=15485</t>
  </si>
  <si>
    <r>
      <rPr>
        <sz val="9"/>
        <rFont val="Arial MT"/>
        <family val="2"/>
      </rPr>
      <t>Maekanehisa, Senri</t>
    </r>
  </si>
  <si>
    <t>https://www.tenisdemesaparatodos.com/jugadores_ficha.asp?codigo=19340</t>
  </si>
  <si>
    <r>
      <rPr>
        <sz val="9"/>
        <rFont val="Arial MT"/>
        <family val="2"/>
      </rPr>
      <t>Flores Varela, Juan Manuel</t>
    </r>
  </si>
  <si>
    <t>https://www.tenisdemesaparatodos.com/jugadores_ficha.asp?codigo=22005</t>
  </si>
  <si>
    <r>
      <rPr>
        <sz val="9"/>
        <rFont val="Arial MT"/>
        <family val="2"/>
      </rPr>
      <t>Carrillo, Hernan H.</t>
    </r>
  </si>
  <si>
    <t>https://www.tenisdemesaparatodos.com/jugadores_ficha.asp?codigo=10693</t>
  </si>
  <si>
    <r>
      <rPr>
        <sz val="9"/>
        <rFont val="Arial MT"/>
        <family val="2"/>
      </rPr>
      <t>Salaberry, Ariel A.</t>
    </r>
  </si>
  <si>
    <t>https://www.tenisdemesaparatodos.com/jugadores_ficha.asp?codigo=21137</t>
  </si>
  <si>
    <r>
      <rPr>
        <sz val="9"/>
        <rFont val="Arial MT"/>
        <family val="2"/>
      </rPr>
      <t>Asoc. Jap. Sarmiento</t>
    </r>
  </si>
  <si>
    <r>
      <rPr>
        <sz val="9"/>
        <rFont val="Arial MT"/>
        <family val="2"/>
      </rPr>
      <t>Suarez, Franco E.</t>
    </r>
  </si>
  <si>
    <t>https://www.tenisdemesaparatodos.com/jugadores_ficha.asp?codigo=21332</t>
  </si>
  <si>
    <r>
      <rPr>
        <sz val="9"/>
        <rFont val="Arial MT"/>
        <family val="2"/>
      </rPr>
      <t>Takata, Boris Hiroya</t>
    </r>
  </si>
  <si>
    <t>https://www.tenisdemesaparatodos.com/jugadores_ficha.asp?codigo=17371</t>
  </si>
  <si>
    <r>
      <rPr>
        <sz val="9"/>
        <rFont val="Arial MT"/>
        <family val="2"/>
      </rPr>
      <t>Nakasone, Leonardo A.</t>
    </r>
  </si>
  <si>
    <t>https://www.tenisdemesaparatodos.com/jugadores_ficha.asp?codigo=19604</t>
  </si>
  <si>
    <r>
      <rPr>
        <sz val="9"/>
        <rFont val="Arial MT"/>
        <family val="2"/>
      </rPr>
      <t>Taira, Eduardo</t>
    </r>
  </si>
  <si>
    <t>https://www.tenisdemesaparatodos.com/jugadores_ficha.asp?codigo=813</t>
  </si>
  <si>
    <r>
      <rPr>
        <sz val="9"/>
        <rFont val="Arial MT"/>
        <family val="2"/>
      </rPr>
      <t>Nakasone, Javier</t>
    </r>
  </si>
  <si>
    <t>https://www.tenisdemesaparatodos.com/jugadores_ficha.asp?codigo=19494</t>
  </si>
  <si>
    <r>
      <rPr>
        <sz val="9"/>
        <rFont val="Arial MT"/>
        <family val="2"/>
      </rPr>
      <t>Casamento, Norberto</t>
    </r>
  </si>
  <si>
    <t>https://www.tenisdemesaparatodos.com/jugadores_ficha.asp?codigo=23043</t>
  </si>
  <si>
    <r>
      <rPr>
        <sz val="9"/>
        <rFont val="Arial MT"/>
        <family val="2"/>
      </rPr>
      <t>Sajama, Juan</t>
    </r>
  </si>
  <si>
    <t>https://www.tenisdemesaparatodos.com/jugadores_ficha.asp?codigo=1923</t>
  </si>
  <si>
    <r>
      <rPr>
        <sz val="9"/>
        <rFont val="Arial MT"/>
        <family val="2"/>
      </rPr>
      <t>Taira, Daniel</t>
    </r>
  </si>
  <si>
    <t>https://www.tenisdemesaparatodos.com/jugadores_ficha.asp?codigo=6805</t>
  </si>
  <si>
    <r>
      <rPr>
        <sz val="9"/>
        <rFont val="Arial MT"/>
        <family val="2"/>
      </rPr>
      <t>Akiyama, Felipe</t>
    </r>
  </si>
  <si>
    <t>https://www.tenisdemesaparatodos.com/jugadores_ficha.asp?codigo=19953</t>
  </si>
  <si>
    <r>
      <rPr>
        <sz val="9"/>
        <rFont val="Arial MT"/>
        <family val="2"/>
      </rPr>
      <t>Izquierdo, Christian G.</t>
    </r>
  </si>
  <si>
    <t>https://www.tenisdemesaparatodos.com/jugadores_ficha.asp?codigo=9251</t>
  </si>
  <si>
    <r>
      <rPr>
        <sz val="9"/>
        <rFont val="Arial MT"/>
        <family val="2"/>
      </rPr>
      <t>Reynoso, Martin</t>
    </r>
  </si>
  <si>
    <t>https://www.tenisdemesaparatodos.com/jugadores_ficha.asp?codigo=23889</t>
  </si>
  <si>
    <r>
      <rPr>
        <sz val="9"/>
        <rFont val="Arial MT"/>
        <family val="2"/>
      </rPr>
      <t>Nagatamae, Matias</t>
    </r>
  </si>
  <si>
    <t>https://www.tenisdemesaparatodos.com/jugadores_ficha.asp?codigo=22714</t>
  </si>
  <si>
    <r>
      <rPr>
        <sz val="9"/>
        <rFont val="Arial MT"/>
        <family val="2"/>
      </rPr>
      <t>Akiyama, Gabriel L.</t>
    </r>
  </si>
  <si>
    <t>https://www.tenisdemesaparatodos.com/jugadores_ficha.asp?codigo=27145</t>
  </si>
  <si>
    <r>
      <rPr>
        <sz val="9"/>
        <rFont val="Arial MT"/>
        <family val="2"/>
      </rPr>
      <t>Akiyama, Valentina</t>
    </r>
  </si>
  <si>
    <t>https://www.tenisdemesaparatodos.com/jugadores_ficha.asp?codigo=20120</t>
  </si>
  <si>
    <r>
      <rPr>
        <sz val="9"/>
        <rFont val="Arial MT"/>
        <family val="2"/>
      </rPr>
      <t>Felix, Juan</t>
    </r>
  </si>
  <si>
    <t>https://www.tenisdemesaparatodos.com/jugadores_ficha.asp?codigo=13962</t>
  </si>
  <si>
    <r>
      <rPr>
        <sz val="9"/>
        <rFont val="Arial MT"/>
        <family val="2"/>
      </rPr>
      <t>Namioka, Mariana B.</t>
    </r>
  </si>
  <si>
    <t>https://www.tenisdemesaparatodos.com/jugadores_ficha.asp?codigo=15685</t>
  </si>
  <si>
    <r>
      <rPr>
        <sz val="9"/>
        <rFont val="Arial MT"/>
        <family val="2"/>
      </rPr>
      <t>Asociación Española</t>
    </r>
  </si>
  <si>
    <r>
      <rPr>
        <sz val="9"/>
        <rFont val="Arial MT"/>
        <family val="2"/>
      </rPr>
      <t>Berlese, Martin</t>
    </r>
  </si>
  <si>
    <t>https://www.tenisdemesaparatodos.com/jugadores_ficha.asp?codigo=25895</t>
  </si>
  <si>
    <r>
      <rPr>
        <sz val="9"/>
        <rFont val="Arial MT"/>
        <family val="2"/>
      </rPr>
      <t>Di Giorgio, Pablo</t>
    </r>
  </si>
  <si>
    <t>https://www.tenisdemesaparatodos.com/jugadores_ficha.asp?codigo=14278</t>
  </si>
  <si>
    <r>
      <rPr>
        <sz val="9"/>
        <rFont val="Arial MT"/>
        <family val="2"/>
      </rPr>
      <t>Duran, Diego</t>
    </r>
  </si>
  <si>
    <t>https://www.tenisdemesaparatodos.com/jugadores_ficha.asp?codigo=1090</t>
  </si>
  <si>
    <r>
      <rPr>
        <sz val="9"/>
        <rFont val="Arial MT"/>
        <family val="2"/>
      </rPr>
      <t>Albano, Santiago J.</t>
    </r>
  </si>
  <si>
    <t>https://www.tenisdemesaparatodos.com/jugadores_ficha.asp?codigo=25951</t>
  </si>
  <si>
    <r>
      <rPr>
        <sz val="9"/>
        <rFont val="Arial MT"/>
        <family val="2"/>
      </rPr>
      <t>Intrieri, Nicolas</t>
    </r>
  </si>
  <si>
    <t>https://www.tenisdemesaparatodos.com/jugadores_ficha.asp?codigo=25897</t>
  </si>
  <si>
    <r>
      <rPr>
        <sz val="9"/>
        <rFont val="Arial MT"/>
        <family val="2"/>
      </rPr>
      <t>Higuera Mongiardino, Axel</t>
    </r>
  </si>
  <si>
    <t>https://www.tenisdemesaparatodos.com/jugadores_ficha.asp?codigo=25896</t>
  </si>
  <si>
    <r>
      <rPr>
        <sz val="9"/>
        <rFont val="Arial MT"/>
        <family val="2"/>
      </rPr>
      <t>Vazquez, Juan Jose</t>
    </r>
  </si>
  <si>
    <t>https://www.tenisdemesaparatodos.com/jugadores_ficha.asp?codigo=26281</t>
  </si>
  <si>
    <r>
      <rPr>
        <sz val="9"/>
        <rFont val="Arial MT"/>
        <family val="2"/>
      </rPr>
      <t>Capria, Agustin N.</t>
    </r>
  </si>
  <si>
    <t>https://www.tenisdemesaparatodos.com/jugadores_ficha.asp?codigo=8643</t>
  </si>
  <si>
    <r>
      <rPr>
        <sz val="9"/>
        <rFont val="Arial MT"/>
        <family val="2"/>
      </rPr>
      <t>Santos, Diego M.</t>
    </r>
  </si>
  <si>
    <t>https://www.tenisdemesaparatodos.com/jugadores_ficha.asp?codigo=2134</t>
  </si>
  <si>
    <r>
      <rPr>
        <sz val="9"/>
        <rFont val="Arial MT"/>
        <family val="2"/>
      </rPr>
      <t>Lahargue, Jorge</t>
    </r>
  </si>
  <si>
    <t>https://www.tenisdemesaparatodos.com/jugadores_ficha.asp?codigo=25490</t>
  </si>
  <si>
    <r>
      <rPr>
        <sz val="9"/>
        <rFont val="Arial MT"/>
        <family val="2"/>
      </rPr>
      <t>Ruiz, Fernando</t>
    </r>
  </si>
  <si>
    <t>https://www.tenisdemesaparatodos.com/jugadores_ficha.asp?codigo=4902</t>
  </si>
  <si>
    <r>
      <rPr>
        <sz val="9"/>
        <rFont val="Arial MT"/>
        <family val="2"/>
      </rPr>
      <t>Fernandez, Juan Carlos</t>
    </r>
  </si>
  <si>
    <t>https://www.tenisdemesaparatodos.com/jugadores_ficha.asp?codigo=12969</t>
  </si>
  <si>
    <r>
      <rPr>
        <sz val="9"/>
        <rFont val="Arial MT"/>
        <family val="2"/>
      </rPr>
      <t>Silvetti, Alejo</t>
    </r>
  </si>
  <si>
    <t>https://www.tenisdemesaparatodos.com/jugadores_ficha.asp?codigo=27007</t>
  </si>
  <si>
    <r>
      <rPr>
        <sz val="9"/>
        <rFont val="Arial MT"/>
        <family val="2"/>
      </rPr>
      <t>Bello, Franco D.</t>
    </r>
  </si>
  <si>
    <t>https://www.tenisdemesaparatodos.com/jugadores_ficha.asp?codigo=29366</t>
  </si>
  <si>
    <r>
      <rPr>
        <sz val="9"/>
        <rFont val="Arial MT"/>
        <family val="2"/>
      </rPr>
      <t>Sanchez Cano, Lucas</t>
    </r>
  </si>
  <si>
    <t>https://www.tenisdemesaparatodos.com/jugadores_ficha.asp?codigo=6031</t>
  </si>
  <si>
    <r>
      <rPr>
        <sz val="9"/>
        <rFont val="Arial MT"/>
        <family val="2"/>
      </rPr>
      <t>Silvetti, Renzo</t>
    </r>
  </si>
  <si>
    <t>https://www.tenisdemesaparatodos.com/jugadores_ficha.asp?codigo=27264</t>
  </si>
  <si>
    <r>
      <rPr>
        <sz val="9"/>
        <rFont val="Arial MT"/>
        <family val="2"/>
      </rPr>
      <t>Gomanchenko, Lilia</t>
    </r>
  </si>
  <si>
    <t>https://www.tenisdemesaparatodos.com/jugadores_ficha.asp?codigo=27263</t>
  </si>
  <si>
    <r>
      <rPr>
        <sz val="9"/>
        <rFont val="Arial MT"/>
        <family val="2"/>
      </rPr>
      <t>Minoli, Roberto</t>
    </r>
  </si>
  <si>
    <t>https://www.tenisdemesaparatodos.com/jugadores_ficha.asp?codigo=26034</t>
  </si>
  <si>
    <r>
      <rPr>
        <sz val="9"/>
        <rFont val="Arial MT"/>
        <family val="2"/>
      </rPr>
      <t>Asociacion Yabrudense</t>
    </r>
  </si>
  <si>
    <r>
      <rPr>
        <sz val="9"/>
        <rFont val="Arial MT"/>
        <family val="2"/>
      </rPr>
      <t>Gilabert, Rodrigo</t>
    </r>
  </si>
  <si>
    <t>https://www.tenisdemesaparatodos.com/jugadores_ficha.asp?codigo=2290</t>
  </si>
  <si>
    <r>
      <rPr>
        <sz val="9"/>
        <rFont val="Arial MT"/>
        <family val="2"/>
      </rPr>
      <t>Remon, Juan Pablo</t>
    </r>
  </si>
  <si>
    <t>https://www.tenisdemesaparatodos.com/jugadores_ficha.asp?codigo=1283</t>
  </si>
  <si>
    <r>
      <rPr>
        <sz val="9"/>
        <rFont val="Arial MT"/>
        <family val="2"/>
      </rPr>
      <t>Costantino, Daniel</t>
    </r>
  </si>
  <si>
    <t>https://www.tenisdemesaparatodos.com/jugadores_ficha.asp?codigo=4785</t>
  </si>
  <si>
    <r>
      <rPr>
        <sz val="9"/>
        <rFont val="Arial MT"/>
        <family val="2"/>
      </rPr>
      <t>Moleda, Damian</t>
    </r>
  </si>
  <si>
    <t>https://www.tenisdemesaparatodos.com/jugadores_ficha.asp?codigo=14019</t>
  </si>
  <si>
    <r>
      <rPr>
        <sz val="9"/>
        <rFont val="Arial MT"/>
        <family val="2"/>
      </rPr>
      <t>Weiss, Alan</t>
    </r>
  </si>
  <si>
    <t>https://www.tenisdemesaparatodos.com/jugadores_ficha.asp?codigo=15734</t>
  </si>
  <si>
    <r>
      <rPr>
        <sz val="9"/>
        <rFont val="Arial MT"/>
        <family val="2"/>
      </rPr>
      <t>Molero, Candela</t>
    </r>
  </si>
  <si>
    <t>https://www.tenisdemesaparatodos.com/jugadores_ficha.asp?codigo=23356</t>
  </si>
  <si>
    <r>
      <rPr>
        <sz val="9"/>
        <rFont val="Arial MT"/>
        <family val="2"/>
      </rPr>
      <t>Puk Vidal, Sebastian</t>
    </r>
  </si>
  <si>
    <t>https://www.tenisdemesaparatodos.com/jugadores_ficha.asp?codigo=19947</t>
  </si>
  <si>
    <r>
      <rPr>
        <sz val="9"/>
        <rFont val="Arial MT"/>
        <family val="2"/>
      </rPr>
      <t>La Boccetta, Ignacio</t>
    </r>
  </si>
  <si>
    <t>https://www.tenisdemesaparatodos.com/jugadores_ficha.asp?codigo=17134</t>
  </si>
  <si>
    <r>
      <rPr>
        <sz val="9"/>
        <rFont val="Arial MT"/>
        <family val="2"/>
      </rPr>
      <t>Savanco, Marcos</t>
    </r>
  </si>
  <si>
    <t>https://www.tenisdemesaparatodos.com/jugadores_ficha.asp?codigo=5179</t>
  </si>
  <si>
    <r>
      <rPr>
        <sz val="9"/>
        <rFont val="Arial MT"/>
        <family val="2"/>
      </rPr>
      <t>Martinez, Victor</t>
    </r>
  </si>
  <si>
    <t>https://www.tenisdemesaparatodos.com/jugadores_ficha.asp?codigo=19959</t>
  </si>
  <si>
    <r>
      <rPr>
        <sz val="9"/>
        <rFont val="Arial MT"/>
        <family val="2"/>
      </rPr>
      <t>Parola, Valentina</t>
    </r>
  </si>
  <si>
    <t>https://www.tenisdemesaparatodos.com/jugadores_ficha.asp?codigo=21613</t>
  </si>
  <si>
    <r>
      <rPr>
        <sz val="9"/>
        <rFont val="Arial MT"/>
        <family val="2"/>
      </rPr>
      <t>Chirino, Maria Florencia</t>
    </r>
  </si>
  <si>
    <t>https://www.tenisdemesaparatodos.com/jugadores_ficha.asp?codigo=21612</t>
  </si>
  <si>
    <r>
      <rPr>
        <sz val="9"/>
        <rFont val="Arial MT"/>
        <family val="2"/>
      </rPr>
      <t>Ruiz Travi, Joaquin</t>
    </r>
  </si>
  <si>
    <t>https://www.tenisdemesaparatodos.com/jugadores_ficha.asp?codigo=19127</t>
  </si>
  <si>
    <r>
      <rPr>
        <sz val="9"/>
        <rFont val="Arial MT"/>
        <family val="2"/>
      </rPr>
      <t>Isola, Andres</t>
    </r>
  </si>
  <si>
    <t>https://www.tenisdemesaparatodos.com/jugadores_ficha.asp?codigo=709</t>
  </si>
  <si>
    <r>
      <rPr>
        <sz val="9"/>
        <rFont val="Arial MT"/>
        <family val="2"/>
      </rPr>
      <t>Salpeter, Claudio</t>
    </r>
  </si>
  <si>
    <t>https://www.tenisdemesaparatodos.com/jugadores_ficha.asp?codigo=2458</t>
  </si>
  <si>
    <r>
      <rPr>
        <sz val="9"/>
        <rFont val="Arial MT"/>
        <family val="2"/>
      </rPr>
      <t>Iwasa, Abril</t>
    </r>
  </si>
  <si>
    <t>https://www.tenisdemesaparatodos.com/jugadores_ficha.asp?codigo=18401</t>
  </si>
  <si>
    <r>
      <rPr>
        <sz val="9"/>
        <rFont val="Arial MT"/>
        <family val="2"/>
      </rPr>
      <t>Trigo, Fernando</t>
    </r>
  </si>
  <si>
    <t>https://www.tenisdemesaparatodos.com/jugadores_ficha.asp?codigo=1542</t>
  </si>
  <si>
    <r>
      <rPr>
        <sz val="9"/>
        <rFont val="Arial MT"/>
        <family val="2"/>
      </rPr>
      <t>Sarfatis, Pablo</t>
    </r>
  </si>
  <si>
    <t>https://www.tenisdemesaparatodos.com/jugadores_ficha.asp?codigo=14133</t>
  </si>
  <si>
    <r>
      <rPr>
        <sz val="9"/>
        <rFont val="Arial MT"/>
        <family val="2"/>
      </rPr>
      <t>Gomez Kiss, Roman</t>
    </r>
  </si>
  <si>
    <t>https://www.tenisdemesaparatodos.com/jugadores_ficha.asp?codigo=17771</t>
  </si>
  <si>
    <r>
      <rPr>
        <sz val="9"/>
        <rFont val="Arial MT"/>
        <family val="2"/>
      </rPr>
      <t>Gadacz, Román</t>
    </r>
  </si>
  <si>
    <t>https://www.tenisdemesaparatodos.com/jugadores_ficha.asp?codigo=2205</t>
  </si>
  <si>
    <r>
      <rPr>
        <sz val="9"/>
        <rFont val="Arial MT"/>
        <family val="2"/>
      </rPr>
      <t>Salpeter, Luana</t>
    </r>
  </si>
  <si>
    <t>https://www.tenisdemesaparatodos.com/jugadores_ficha.asp?codigo=23152</t>
  </si>
  <si>
    <r>
      <rPr>
        <sz val="9"/>
        <rFont val="Arial MT"/>
        <family val="2"/>
      </rPr>
      <t>Peral, Leandro</t>
    </r>
  </si>
  <si>
    <t>https://www.tenisdemesaparatodos.com/jugadores_ficha.asp?codigo=8006</t>
  </si>
  <si>
    <r>
      <rPr>
        <sz val="9"/>
        <rFont val="Arial MT"/>
        <family val="2"/>
      </rPr>
      <t>Villegas, Pablo</t>
    </r>
  </si>
  <si>
    <t>https://www.tenisdemesaparatodos.com/jugadores_ficha.asp?codigo=24645</t>
  </si>
  <si>
    <r>
      <rPr>
        <sz val="9"/>
        <rFont val="Arial MT"/>
        <family val="2"/>
      </rPr>
      <t>Mast Milano, David</t>
    </r>
  </si>
  <si>
    <t>https://www.tenisdemesaparatodos.com/jugadores_ficha.asp?codigo=24725</t>
  </si>
  <si>
    <r>
      <rPr>
        <sz val="9"/>
        <rFont val="Arial MT"/>
        <family val="2"/>
      </rPr>
      <t>Nuñez, Santino F.</t>
    </r>
  </si>
  <si>
    <t>https://www.tenisdemesaparatodos.com/jugadores_ficha.asp?codigo=26749</t>
  </si>
  <si>
    <r>
      <rPr>
        <sz val="9"/>
        <rFont val="Arial MT"/>
        <family val="2"/>
      </rPr>
      <t>Paz, Luciano</t>
    </r>
  </si>
  <si>
    <t>https://www.tenisdemesaparatodos.com/jugadores_ficha.asp?codigo=21512</t>
  </si>
  <si>
    <r>
      <rPr>
        <sz val="9"/>
        <rFont val="Arial MT"/>
        <family val="2"/>
      </rPr>
      <t>Iriazabal, Cristian</t>
    </r>
  </si>
  <si>
    <t>https://www.tenisdemesaparatodos.com/jugadores_ficha.asp?codigo=10256</t>
  </si>
  <si>
    <r>
      <rPr>
        <sz val="9"/>
        <rFont val="Arial MT"/>
        <family val="2"/>
      </rPr>
      <t>Sada, Martin N.</t>
    </r>
  </si>
  <si>
    <t>https://www.tenisdemesaparatodos.com/jugadores_ficha.asp?codigo=21287</t>
  </si>
  <si>
    <r>
      <rPr>
        <sz val="9"/>
        <rFont val="Arial MT"/>
        <family val="2"/>
      </rPr>
      <t>Armingol, Manuel</t>
    </r>
  </si>
  <si>
    <t>https://www.tenisdemesaparatodos.com/jugadores_ficha.asp?codigo=389</t>
  </si>
  <si>
    <r>
      <rPr>
        <sz val="9"/>
        <rFont val="Arial MT"/>
        <family val="2"/>
      </rPr>
      <t>Paolino Ruiz, Gaston</t>
    </r>
  </si>
  <si>
    <t>https://www.tenisdemesaparatodos.com/jugadores_ficha.asp?codigo=8451</t>
  </si>
  <si>
    <r>
      <rPr>
        <sz val="9"/>
        <rFont val="Arial MT"/>
        <family val="2"/>
      </rPr>
      <t>Piuma, Vanesa C.</t>
    </r>
  </si>
  <si>
    <t>https://www.tenisdemesaparatodos.com/jugadores_ficha.asp?codigo=15721</t>
  </si>
  <si>
    <r>
      <rPr>
        <sz val="9"/>
        <rFont val="Arial MT"/>
        <family val="2"/>
      </rPr>
      <t>Huertas Bustos, Lucia</t>
    </r>
  </si>
  <si>
    <t>https://www.tenisdemesaparatodos.com/jugadores_ficha.asp?codigo=20759</t>
  </si>
  <si>
    <r>
      <rPr>
        <sz val="9"/>
        <rFont val="Arial MT"/>
        <family val="2"/>
      </rPr>
      <t>Lirio, Carlos A.</t>
    </r>
  </si>
  <si>
    <t>https://www.tenisdemesaparatodos.com/jugadores_ficha.asp?codigo=20921</t>
  </si>
  <si>
    <r>
      <rPr>
        <sz val="9"/>
        <rFont val="Arial MT"/>
        <family val="2"/>
      </rPr>
      <t>Franco, Gaspar</t>
    </r>
  </si>
  <si>
    <t>https://www.tenisdemesaparatodos.com/jugadores_ficha.asp?codigo=28366</t>
  </si>
  <si>
    <r>
      <rPr>
        <sz val="9"/>
        <rFont val="Arial MT"/>
        <family val="2"/>
      </rPr>
      <t>Palmerio, Isabella</t>
    </r>
  </si>
  <si>
    <t>https://www.tenisdemesaparatodos.com/jugadores_ficha.asp?codigo=27675</t>
  </si>
  <si>
    <r>
      <rPr>
        <sz val="9"/>
        <rFont val="Arial MT"/>
        <family val="2"/>
      </rPr>
      <t>Asociacion Yabrudense A</t>
    </r>
  </si>
  <si>
    <r>
      <rPr>
        <sz val="9"/>
        <rFont val="Arial MT"/>
        <family val="2"/>
      </rPr>
      <t>Akel, Daniel</t>
    </r>
  </si>
  <si>
    <t>https://www.tenisdemesaparatodos.com/jugadores_ficha.asp?codigo=19002</t>
  </si>
  <si>
    <r>
      <rPr>
        <sz val="9"/>
        <rFont val="Arial MT"/>
        <family val="2"/>
      </rPr>
      <t>Fassini, Ignacio</t>
    </r>
  </si>
  <si>
    <t>https://www.tenisdemesaparatodos.com/jugadores_ficha.asp?codigo=26003</t>
  </si>
  <si>
    <r>
      <rPr>
        <sz val="9"/>
        <rFont val="Arial MT"/>
        <family val="2"/>
      </rPr>
      <t>Subiza, Gustavo</t>
    </r>
  </si>
  <si>
    <t>https://www.tenisdemesaparatodos.com/jugadores_ficha.asp?codigo=26230</t>
  </si>
  <si>
    <r>
      <rPr>
        <sz val="9"/>
        <rFont val="Arial MT"/>
        <family val="2"/>
      </rPr>
      <t>Sapag, Roberto J.</t>
    </r>
  </si>
  <si>
    <t>https://www.tenisdemesaparatodos.com/jugadores_ficha.asp?codigo=23973</t>
  </si>
  <si>
    <r>
      <rPr>
        <sz val="9"/>
        <rFont val="Arial MT"/>
        <family val="2"/>
      </rPr>
      <t>Galarza, Julio G.</t>
    </r>
  </si>
  <si>
    <t>https://www.tenisdemesaparatodos.com/jugadores_ficha.asp?codigo=29538</t>
  </si>
  <si>
    <r>
      <rPr>
        <sz val="9"/>
        <rFont val="Arial MT"/>
        <family val="2"/>
      </rPr>
      <t>Santome Retes, Karenith</t>
    </r>
  </si>
  <si>
    <t>https://www.tenisdemesaparatodos.com/jugadores_ficha.asp?codigo=17481</t>
  </si>
  <si>
    <r>
      <rPr>
        <sz val="9"/>
        <rFont val="Arial MT"/>
        <family val="2"/>
      </rPr>
      <t>Asociacion Yabrudense B</t>
    </r>
  </si>
  <si>
    <r>
      <rPr>
        <sz val="9"/>
        <rFont val="Arial MT"/>
        <family val="2"/>
      </rPr>
      <t>Espinoza, Thiago I.</t>
    </r>
  </si>
  <si>
    <t>https://www.tenisdemesaparatodos.com/jugadores_ficha.asp?codigo=19286</t>
  </si>
  <si>
    <r>
      <rPr>
        <sz val="9"/>
        <rFont val="Arial MT"/>
        <family val="2"/>
      </rPr>
      <t>Bondarenko Lopez, Jhonatan</t>
    </r>
  </si>
  <si>
    <t>https://www.tenisdemesaparatodos.com/jugadores_ficha.asp?codigo=21148</t>
  </si>
  <si>
    <r>
      <rPr>
        <sz val="9"/>
        <rFont val="Arial MT"/>
        <family val="2"/>
      </rPr>
      <t>Ligato, Giovanni</t>
    </r>
  </si>
  <si>
    <t>https://www.tenisdemesaparatodos.com/jugadores_ficha.asp?codigo=29261</t>
  </si>
  <si>
    <r>
      <rPr>
        <sz val="9"/>
        <rFont val="Arial MT"/>
        <family val="2"/>
      </rPr>
      <t>Favarel, Maria Raquel</t>
    </r>
  </si>
  <si>
    <t>https://www.tenisdemesaparatodos.com/jugadores_ficha.asp?codigo=24411</t>
  </si>
  <si>
    <r>
      <rPr>
        <sz val="9"/>
        <rFont val="Arial MT"/>
        <family val="2"/>
      </rPr>
      <t>Noriega, Elias</t>
    </r>
  </si>
  <si>
    <t>https://www.tenisdemesaparatodos.com/jugadores_ficha.asp?codigo=20585</t>
  </si>
  <si>
    <r>
      <rPr>
        <sz val="9"/>
        <rFont val="Arial MT"/>
        <family val="2"/>
      </rPr>
      <t>Higa, Diego</t>
    </r>
  </si>
  <si>
    <t>https://www.tenisdemesaparatodos.com/jugadores_ficha.asp?codigo=12229</t>
  </si>
  <si>
    <r>
      <rPr>
        <sz val="9"/>
        <rFont val="Arial MT"/>
        <family val="2"/>
      </rPr>
      <t>Franco, Fernando</t>
    </r>
  </si>
  <si>
    <t>https://www.tenisdemesaparatodos.com/jugadores_ficha.asp?codigo=25331</t>
  </si>
  <si>
    <r>
      <rPr>
        <sz val="9"/>
        <rFont val="Arial MT"/>
        <family val="2"/>
      </rPr>
      <t>Astros Tenis de Mesa</t>
    </r>
  </si>
  <si>
    <r>
      <rPr>
        <sz val="9"/>
        <rFont val="Arial MT"/>
        <family val="2"/>
      </rPr>
      <t>Gurevich, Ariel</t>
    </r>
  </si>
  <si>
    <t>https://www.tenisdemesaparatodos.com/jugadores_ficha.asp?codigo=746</t>
  </si>
  <si>
    <r>
      <rPr>
        <sz val="9"/>
        <rFont val="Arial MT"/>
        <family val="2"/>
      </rPr>
      <t>Falicoff, Iván</t>
    </r>
  </si>
  <si>
    <t>https://www.tenisdemesaparatodos.com/jugadores_ficha.asp?codigo=471</t>
  </si>
  <si>
    <r>
      <rPr>
        <sz val="9"/>
        <rFont val="Arial MT"/>
        <family val="2"/>
      </rPr>
      <t>Caram, Alejo</t>
    </r>
  </si>
  <si>
    <t>https://www.tenisdemesaparatodos.com/jugadores_ficha.asp?codigo=3048</t>
  </si>
  <si>
    <r>
      <rPr>
        <sz val="9"/>
        <rFont val="Arial MT"/>
        <family val="2"/>
      </rPr>
      <t>Migueles, Patricio</t>
    </r>
  </si>
  <si>
    <t>https://www.tenisdemesaparatodos.com/jugadores_ficha.asp?codigo=15441</t>
  </si>
  <si>
    <r>
      <rPr>
        <sz val="9"/>
        <rFont val="Arial MT"/>
        <family val="2"/>
      </rPr>
      <t>Waitzel, Ariel</t>
    </r>
  </si>
  <si>
    <t>https://www.tenisdemesaparatodos.com/jugadores_ficha.asp?codigo=13147</t>
  </si>
  <si>
    <r>
      <rPr>
        <sz val="9"/>
        <rFont val="Arial MT"/>
        <family val="2"/>
      </rPr>
      <t>Fernandez, Alejo</t>
    </r>
  </si>
  <si>
    <t>https://www.tenisdemesaparatodos.com/jugadores_ficha.asp?codigo=3596</t>
  </si>
  <si>
    <r>
      <rPr>
        <sz val="9"/>
        <rFont val="Arial MT"/>
        <family val="2"/>
      </rPr>
      <t>Tercera División</t>
    </r>
  </si>
  <si>
    <r>
      <rPr>
        <sz val="9"/>
        <rFont val="Arial MT"/>
        <family val="2"/>
      </rPr>
      <t>Tula Perez, Julian</t>
    </r>
  </si>
  <si>
    <t>https://www.tenisdemesaparatodos.com/jugadores_ficha.asp?codigo=22250</t>
  </si>
  <si>
    <r>
      <rPr>
        <sz val="9"/>
        <rFont val="Arial MT"/>
        <family val="2"/>
      </rPr>
      <t>Gebert, Maximiliano</t>
    </r>
  </si>
  <si>
    <t>https://www.tenisdemesaparatodos.com/jugadores_ficha.asp?codigo=17655</t>
  </si>
  <si>
    <r>
      <rPr>
        <sz val="9"/>
        <rFont val="Arial MT"/>
        <family val="2"/>
      </rPr>
      <t>Cuoco, Juan Pablo</t>
    </r>
  </si>
  <si>
    <t>https://www.tenisdemesaparatodos.com/jugadores_ficha.asp?codigo=21496</t>
  </si>
  <si>
    <r>
      <rPr>
        <sz val="9"/>
        <rFont val="Arial MT"/>
        <family val="2"/>
      </rPr>
      <t>Anzardi, Martin</t>
    </r>
  </si>
  <si>
    <t>https://www.tenisdemesaparatodos.com/jugadores_ficha.asp?codigo=19473</t>
  </si>
  <si>
    <r>
      <rPr>
        <sz val="9"/>
        <rFont val="Arial MT"/>
        <family val="2"/>
      </rPr>
      <t>Popovsky, Andres</t>
    </r>
  </si>
  <si>
    <t>https://www.tenisdemesaparatodos.com/jugadores_ficha.asp?codigo=27549</t>
  </si>
  <si>
    <r>
      <rPr>
        <sz val="9"/>
        <rFont val="Arial MT"/>
        <family val="2"/>
      </rPr>
      <t>Niño Puente, Matias</t>
    </r>
  </si>
  <si>
    <t>https://www.tenisdemesaparatodos.com/jugadores_ficha.asp?codigo=23718</t>
  </si>
  <si>
    <r>
      <rPr>
        <sz val="9"/>
        <rFont val="Arial MT"/>
        <family val="2"/>
      </rPr>
      <t>Gonzalez Diaz, Oscar</t>
    </r>
  </si>
  <si>
    <t>https://www.tenisdemesaparatodos.com/jugadores_ficha.asp?codigo=23051</t>
  </si>
  <si>
    <r>
      <rPr>
        <sz val="9"/>
        <rFont val="Arial MT"/>
        <family val="2"/>
      </rPr>
      <t>Sardi Hernandez, Lucas</t>
    </r>
  </si>
  <si>
    <t>https://www.tenisdemesaparatodos.com/jugadores_ficha.asp?codigo=18201</t>
  </si>
  <si>
    <r>
      <rPr>
        <sz val="9"/>
        <rFont val="Arial MT"/>
        <family val="2"/>
      </rPr>
      <t>Munafó, Pablo</t>
    </r>
  </si>
  <si>
    <t>https://www.tenisdemesaparatodos.com/jugadores_ficha.asp?codigo=11263</t>
  </si>
  <si>
    <r>
      <rPr>
        <sz val="9"/>
        <rFont val="Arial MT"/>
        <family val="2"/>
      </rPr>
      <t>Astros Tenis de Mesa A</t>
    </r>
  </si>
  <si>
    <r>
      <rPr>
        <sz val="9"/>
        <rFont val="Arial MT"/>
        <family val="2"/>
      </rPr>
      <t>Miyagi, Emiliano</t>
    </r>
  </si>
  <si>
    <t>https://www.tenisdemesaparatodos.com/jugadores_ficha.asp?codigo=534</t>
  </si>
  <si>
    <r>
      <rPr>
        <sz val="9"/>
        <rFont val="Arial MT"/>
        <family val="2"/>
      </rPr>
      <t>Dutelli, Maximiliano</t>
    </r>
  </si>
  <si>
    <t>https://www.tenisdemesaparatodos.com/jugadores_ficha.asp?codigo=24101</t>
  </si>
  <si>
    <r>
      <rPr>
        <sz val="9"/>
        <rFont val="Arial MT"/>
        <family val="2"/>
      </rPr>
      <t>Olazabal, Juan Ignacio</t>
    </r>
  </si>
  <si>
    <t>https://www.tenisdemesaparatodos.com/jugadores_ficha.asp?codigo=26948</t>
  </si>
  <si>
    <r>
      <rPr>
        <sz val="9"/>
        <rFont val="Arial MT"/>
        <family val="2"/>
      </rPr>
      <t>Nervi, Gabriel M.</t>
    </r>
  </si>
  <si>
    <t>https://www.tenisdemesaparatodos.com/jugadores_ficha.asp?codigo=900</t>
  </si>
  <si>
    <r>
      <rPr>
        <sz val="9"/>
        <rFont val="Arial MT"/>
        <family val="2"/>
      </rPr>
      <t>Popovsky, Rafael</t>
    </r>
  </si>
  <si>
    <t>https://www.tenisdemesaparatodos.com/jugadores_ficha.asp?codigo=27768</t>
  </si>
  <si>
    <r>
      <rPr>
        <sz val="9"/>
        <rFont val="Arial MT"/>
        <family val="2"/>
      </rPr>
      <t>Astros Tenis de Mesa B</t>
    </r>
  </si>
  <si>
    <r>
      <rPr>
        <sz val="9"/>
        <rFont val="Arial MT"/>
        <family val="2"/>
      </rPr>
      <t>Fenili, Marcos</t>
    </r>
  </si>
  <si>
    <t>https://www.tenisdemesaparatodos.com/jugadores_ficha.asp?codigo=9949</t>
  </si>
  <si>
    <r>
      <rPr>
        <sz val="9"/>
        <rFont val="Arial MT"/>
        <family val="2"/>
      </rPr>
      <t>Andino, Sofia</t>
    </r>
  </si>
  <si>
    <t>https://www.tenisdemesaparatodos.com/jugadores_ficha.asp?codigo=25674</t>
  </si>
  <si>
    <r>
      <rPr>
        <sz val="9"/>
        <rFont val="Arial MT"/>
        <family val="2"/>
      </rPr>
      <t>Maurizi, Luciano I.</t>
    </r>
  </si>
  <si>
    <t>https://www.tenisdemesaparatodos.com/jugadores_ficha.asp?codigo=12951</t>
  </si>
  <si>
    <r>
      <rPr>
        <sz val="9"/>
        <rFont val="Arial MT"/>
        <family val="2"/>
      </rPr>
      <t>Garcia, Andres</t>
    </r>
  </si>
  <si>
    <t>https://www.tenisdemesaparatodos.com/jugadores_ficha.asp?codigo=3983</t>
  </si>
  <si>
    <r>
      <rPr>
        <sz val="9"/>
        <rFont val="Arial MT"/>
        <family val="2"/>
      </rPr>
      <t>Ortiz Montealegre, Miguel</t>
    </r>
  </si>
  <si>
    <t>https://www.tenisdemesaparatodos.com/jugadores_ficha.asp?codigo=11128</t>
  </si>
  <si>
    <r>
      <rPr>
        <sz val="9"/>
        <rFont val="Arial MT"/>
        <family val="2"/>
      </rPr>
      <t>Almará, Juan Javier</t>
    </r>
  </si>
  <si>
    <t>https://www.tenisdemesaparatodos.com/jugadores_ficha.asp?codigo=24982</t>
  </si>
  <si>
    <r>
      <rPr>
        <sz val="9"/>
        <rFont val="Arial MT"/>
        <family val="2"/>
      </rPr>
      <t>Coronato, Lucio</t>
    </r>
  </si>
  <si>
    <t>https://www.tenisdemesaparatodos.com/jugadores_ficha.asp?codigo=25062</t>
  </si>
  <si>
    <r>
      <rPr>
        <sz val="9"/>
        <rFont val="Arial MT"/>
        <family val="2"/>
      </rPr>
      <t>Babilani, Diego</t>
    </r>
  </si>
  <si>
    <t>https://www.tenisdemesaparatodos.com/jugadores_ficha.asp?codigo=26114</t>
  </si>
  <si>
    <r>
      <rPr>
        <sz val="9"/>
        <rFont val="Arial MT"/>
        <family val="2"/>
      </rPr>
      <t>Rondinone, Diego</t>
    </r>
  </si>
  <si>
    <t>https://www.tenisdemesaparatodos.com/jugadores_ficha.asp?codigo=27393</t>
  </si>
  <si>
    <r>
      <rPr>
        <sz val="9"/>
        <rFont val="Arial MT"/>
        <family val="2"/>
      </rPr>
      <t>Fernandez Santamaria,Guadalupe</t>
    </r>
  </si>
  <si>
    <t>https://www.tenisdemesaparatodos.com/jugadores_ficha.asp?codigo=25343</t>
  </si>
  <si>
    <r>
      <rPr>
        <sz val="9"/>
        <rFont val="Arial MT"/>
        <family val="2"/>
      </rPr>
      <t>Niño Puente, Fermin</t>
    </r>
  </si>
  <si>
    <t>https://www.tenisdemesaparatodos.com/jugadores_ficha.asp?codigo=26135</t>
  </si>
  <si>
    <r>
      <rPr>
        <sz val="9"/>
        <rFont val="Arial MT"/>
        <family val="2"/>
      </rPr>
      <t>Pierdomenico, Lucia</t>
    </r>
  </si>
  <si>
    <t>https://www.tenisdemesaparatodos.com/jugadores_ficha.asp?codigo=28363</t>
  </si>
  <si>
    <r>
      <rPr>
        <sz val="9"/>
        <rFont val="Arial MT"/>
        <family val="2"/>
      </rPr>
      <t>Fabiano, Gustavo</t>
    </r>
  </si>
  <si>
    <t>https://www.tenisdemesaparatodos.com/jugadores_ficha.asp?codigo=18213</t>
  </si>
  <si>
    <r>
      <rPr>
        <sz val="9"/>
        <rFont val="Arial MT"/>
        <family val="2"/>
      </rPr>
      <t>Arakaki, Tomas K.</t>
    </r>
  </si>
  <si>
    <t>https://www.tenisdemesaparatodos.com/jugadores_ficha.asp?codigo=23093</t>
  </si>
  <si>
    <r>
      <rPr>
        <sz val="9"/>
        <rFont val="Arial MT"/>
        <family val="2"/>
      </rPr>
      <t>Pazos, Norberto</t>
    </r>
  </si>
  <si>
    <t>https://www.tenisdemesaparatodos.com/jugadores_ficha.asp?codigo=23319</t>
  </si>
  <si>
    <r>
      <rPr>
        <sz val="9"/>
        <rFont val="Arial MT"/>
        <family val="2"/>
      </rPr>
      <t>Perez Ponsa, Federico</t>
    </r>
  </si>
  <si>
    <t>https://www.tenisdemesaparatodos.com/jugadores_ficha.asp?codigo=28071</t>
  </si>
  <si>
    <r>
      <rPr>
        <sz val="9"/>
        <rFont val="Arial MT"/>
        <family val="2"/>
      </rPr>
      <t>Ventura, Pablo F.</t>
    </r>
  </si>
  <si>
    <t>https://www.tenisdemesaparatodos.com/jugadores_ficha.asp?codigo=13278</t>
  </si>
  <si>
    <r>
      <rPr>
        <sz val="9"/>
        <rFont val="Arial MT"/>
        <family val="2"/>
      </rPr>
      <t>Arstein Pueyo, Maximiliano</t>
    </r>
  </si>
  <si>
    <t>https://www.tenisdemesaparatodos.com/jugadores_ficha.asp?codigo=11975</t>
  </si>
  <si>
    <r>
      <rPr>
        <sz val="9"/>
        <rFont val="Arial MT"/>
        <family val="2"/>
      </rPr>
      <t>Irahola Orozco, Victor</t>
    </r>
  </si>
  <si>
    <t>https://www.tenisdemesaparatodos.com/jugadores_ficha.asp?codigo=22066</t>
  </si>
  <si>
    <r>
      <rPr>
        <sz val="9"/>
        <rFont val="Arial MT"/>
        <family val="2"/>
      </rPr>
      <t>Saudejaud, Mauro</t>
    </r>
  </si>
  <si>
    <t>https://www.tenisdemesaparatodos.com/jugadores_ficha.asp?codigo=26643</t>
  </si>
  <si>
    <r>
      <rPr>
        <sz val="9"/>
        <rFont val="Arial MT"/>
        <family val="2"/>
      </rPr>
      <t>Avalos, Carolina</t>
    </r>
  </si>
  <si>
    <t>https://www.tenisdemesaparatodos.com/jugadores_ficha.asp?codigo=23846</t>
  </si>
  <si>
    <r>
      <rPr>
        <sz val="9"/>
        <rFont val="Arial MT"/>
        <family val="2"/>
      </rPr>
      <t>Garcia, Fido</t>
    </r>
  </si>
  <si>
    <t>https://www.tenisdemesaparatodos.com/jugadores_ficha.asp?codigo=26482</t>
  </si>
  <si>
    <r>
      <rPr>
        <sz val="9"/>
        <rFont val="Arial MT"/>
        <family val="2"/>
      </rPr>
      <t>Taricco, Victor</t>
    </r>
  </si>
  <si>
    <t>https://www.tenisdemesaparatodos.com/jugadores_ficha.asp?codigo=27343</t>
  </si>
  <si>
    <r>
      <rPr>
        <sz val="9"/>
        <rFont val="Arial MT"/>
        <family val="2"/>
      </rPr>
      <t>Fabiano, Marcelo</t>
    </r>
  </si>
  <si>
    <t>https://www.tenisdemesaparatodos.com/jugadores_ficha.asp?codigo=27777</t>
  </si>
  <si>
    <r>
      <rPr>
        <sz val="9"/>
        <rFont val="Arial MT"/>
        <family val="2"/>
      </rPr>
      <t>Romero Borzi, Tomas</t>
    </r>
  </si>
  <si>
    <t>https://www.tenisdemesaparatodos.com/jugadores_ficha.asp?codigo=27824</t>
  </si>
  <si>
    <r>
      <rPr>
        <sz val="9"/>
        <rFont val="Arial MT"/>
        <family val="2"/>
      </rPr>
      <t>Nudel, Marcelo E.</t>
    </r>
  </si>
  <si>
    <t>https://www.tenisdemesaparatodos.com/jugadores_ficha.asp?codigo=25167</t>
  </si>
  <si>
    <r>
      <rPr>
        <sz val="9"/>
        <rFont val="Arial MT"/>
        <family val="2"/>
      </rPr>
      <t>Riveiro Oyarzabal, Karen</t>
    </r>
  </si>
  <si>
    <t>https://www.tenisdemesaparatodos.com/jugadores_ficha.asp?codigo=24811</t>
  </si>
  <si>
    <r>
      <rPr>
        <sz val="9"/>
        <rFont val="Arial MT"/>
        <family val="2"/>
      </rPr>
      <t>Astros Tenis de Mesa C</t>
    </r>
  </si>
  <si>
    <r>
      <rPr>
        <sz val="9"/>
        <rFont val="Arial MT"/>
        <family val="2"/>
      </rPr>
      <t>Espiño Collazo, Sebastian</t>
    </r>
  </si>
  <si>
    <t>https://www.tenisdemesaparatodos.com/jugadores_ficha.asp?codigo=25082</t>
  </si>
  <si>
    <r>
      <rPr>
        <sz val="9"/>
        <rFont val="Arial MT"/>
        <family val="2"/>
      </rPr>
      <t>Alasino, Augusto</t>
    </r>
  </si>
  <si>
    <t>https://www.tenisdemesaparatodos.com/jugadores_ficha.asp?codigo=25131</t>
  </si>
  <si>
    <r>
      <rPr>
        <sz val="9"/>
        <rFont val="Arial MT"/>
        <family val="2"/>
      </rPr>
      <t>Navarro, Pablo G.</t>
    </r>
  </si>
  <si>
    <t>https://www.tenisdemesaparatodos.com/jugadores_ficha.asp?codigo=4546</t>
  </si>
  <si>
    <r>
      <rPr>
        <sz val="9"/>
        <rFont val="Arial MT"/>
        <family val="2"/>
      </rPr>
      <t>Molinaro, Martin E.</t>
    </r>
  </si>
  <si>
    <t>https://www.tenisdemesaparatodos.com/jugadores_ficha.asp?codigo=29029</t>
  </si>
  <si>
    <r>
      <rPr>
        <sz val="9"/>
        <rFont val="Arial MT"/>
        <family val="2"/>
      </rPr>
      <t>Zolezzi, Mercedes</t>
    </r>
  </si>
  <si>
    <t>https://www.tenisdemesaparatodos.com/jugadores_ficha.asp?codigo=23621</t>
  </si>
  <si>
    <r>
      <rPr>
        <sz val="9"/>
        <rFont val="Arial MT"/>
        <family val="2"/>
      </rPr>
      <t>Barolo, Ramiro M.</t>
    </r>
  </si>
  <si>
    <t>https://www.tenisdemesaparatodos.com/jugadores_ficha.asp?codigo=27391</t>
  </si>
  <si>
    <r>
      <rPr>
        <sz val="9"/>
        <rFont val="Arial MT"/>
        <family val="2"/>
      </rPr>
      <t>Vasen, German</t>
    </r>
  </si>
  <si>
    <t>https://www.tenisdemesaparatodos.com/jugadores_ficha.asp?codigo=29122</t>
  </si>
  <si>
    <r>
      <rPr>
        <sz val="9"/>
        <rFont val="Arial MT"/>
        <family val="2"/>
      </rPr>
      <t>Niño Niño, Juan Pablo</t>
    </r>
  </si>
  <si>
    <t>https://www.tenisdemesaparatodos.com/jugadores_ficha.asp?codigo=24325</t>
  </si>
  <si>
    <r>
      <rPr>
        <sz val="9"/>
        <rFont val="Arial MT"/>
        <family val="2"/>
      </rPr>
      <t>Montes de Oca, Juan</t>
    </r>
  </si>
  <si>
    <t>https://www.tenisdemesaparatodos.com/jugadores_ficha.asp?codigo=27832</t>
  </si>
  <si>
    <r>
      <rPr>
        <sz val="9"/>
        <rFont val="Arial MT"/>
        <family val="2"/>
      </rPr>
      <t>Sanchez, Mariano D.</t>
    </r>
  </si>
  <si>
    <t>https://www.tenisdemesaparatodos.com/jugadores_ficha.asp?codigo=5362</t>
  </si>
  <si>
    <r>
      <rPr>
        <sz val="9"/>
        <rFont val="Arial MT"/>
        <family val="2"/>
      </rPr>
      <t>Etchebehere, Ines</t>
    </r>
  </si>
  <si>
    <t>https://www.tenisdemesaparatodos.com/jugadores_ficha.asp?codigo=23611</t>
  </si>
  <si>
    <r>
      <rPr>
        <sz val="9"/>
        <rFont val="Arial MT"/>
        <family val="2"/>
      </rPr>
      <t>Ateneo de Versailles</t>
    </r>
  </si>
  <si>
    <r>
      <rPr>
        <sz val="9"/>
        <rFont val="Arial MT"/>
        <family val="2"/>
      </rPr>
      <t>Romero, Santiago</t>
    </r>
  </si>
  <si>
    <t>https://www.tenisdemesaparatodos.com/jugadores_ficha.asp?codigo=6248</t>
  </si>
  <si>
    <r>
      <rPr>
        <sz val="9"/>
        <rFont val="Arial MT"/>
        <family val="2"/>
      </rPr>
      <t>Bernardou, Tomas</t>
    </r>
  </si>
  <si>
    <t>https://www.tenisdemesaparatodos.com/jugadores_ficha.asp?codigo=16898</t>
  </si>
  <si>
    <r>
      <rPr>
        <sz val="9"/>
        <rFont val="Arial MT"/>
        <family val="2"/>
      </rPr>
      <t>Carattoli, Lucas J.</t>
    </r>
  </si>
  <si>
    <t>https://www.tenisdemesaparatodos.com/jugadores_ficha.asp?codigo=16897</t>
  </si>
  <si>
    <r>
      <rPr>
        <sz val="9"/>
        <rFont val="Arial MT"/>
        <family val="2"/>
      </rPr>
      <t>De Simone, Mariano</t>
    </r>
  </si>
  <si>
    <t>https://www.tenisdemesaparatodos.com/jugadores_ficha.asp?codigo=901</t>
  </si>
  <si>
    <r>
      <rPr>
        <sz val="9"/>
        <rFont val="Arial MT"/>
        <family val="2"/>
      </rPr>
      <t>Carattoli, Matias J.</t>
    </r>
  </si>
  <si>
    <t>https://www.tenisdemesaparatodos.com/jugadores_ficha.asp?codigo=17540</t>
  </si>
  <si>
    <r>
      <rPr>
        <sz val="9"/>
        <rFont val="Arial MT"/>
        <family val="2"/>
      </rPr>
      <t>Sanchez, Martin C.</t>
    </r>
  </si>
  <si>
    <t>https://www.tenisdemesaparatodos.com/jugadores_ficha.asp?codigo=6150</t>
  </si>
  <si>
    <r>
      <rPr>
        <sz val="9"/>
        <rFont val="Arial MT"/>
        <family val="2"/>
      </rPr>
      <t>Ateneo de Versailles A</t>
    </r>
  </si>
  <si>
    <r>
      <rPr>
        <sz val="9"/>
        <rFont val="Arial MT"/>
        <family val="2"/>
      </rPr>
      <t>Bustos, Ivan E.</t>
    </r>
  </si>
  <si>
    <t>https://www.tenisdemesaparatodos.com/jugadores_ficha.asp?codigo=22595</t>
  </si>
  <si>
    <r>
      <rPr>
        <sz val="9"/>
        <rFont val="Arial MT"/>
        <family val="2"/>
      </rPr>
      <t>Rubin Minetti, Dante</t>
    </r>
  </si>
  <si>
    <t>https://www.tenisdemesaparatodos.com/jugadores_ficha.asp?codigo=22271</t>
  </si>
  <si>
    <r>
      <rPr>
        <sz val="9"/>
        <rFont val="Arial MT"/>
        <family val="2"/>
      </rPr>
      <t>Guarino Muñoz, Alejo E.</t>
    </r>
  </si>
  <si>
    <t>https://www.tenisdemesaparatodos.com/jugadores_ficha.asp?codigo=16407</t>
  </si>
  <si>
    <r>
      <rPr>
        <sz val="9"/>
        <rFont val="Arial MT"/>
        <family val="2"/>
      </rPr>
      <t>Ghini, Bruno</t>
    </r>
  </si>
  <si>
    <t>https://www.tenisdemesaparatodos.com/jugadores_ficha.asp?codigo=25580</t>
  </si>
  <si>
    <r>
      <rPr>
        <sz val="9"/>
        <rFont val="Arial MT"/>
        <family val="2"/>
      </rPr>
      <t>Ateneo de Versailles B</t>
    </r>
  </si>
  <si>
    <r>
      <rPr>
        <sz val="9"/>
        <rFont val="Arial MT"/>
        <family val="2"/>
      </rPr>
      <t>Ramos, Sebastian</t>
    </r>
  </si>
  <si>
    <t>https://www.tenisdemesaparatodos.com/jugadores_ficha.asp?codigo=19562</t>
  </si>
  <si>
    <r>
      <rPr>
        <sz val="9"/>
        <rFont val="Arial MT"/>
        <family val="2"/>
      </rPr>
      <t>Palazzo, Didier</t>
    </r>
  </si>
  <si>
    <t>https://www.tenisdemesaparatodos.com/jugadores_ficha.asp?codigo=13470</t>
  </si>
  <si>
    <r>
      <rPr>
        <sz val="9"/>
        <rFont val="Arial MT"/>
        <family val="2"/>
      </rPr>
      <t>Fernicola Castiñeira, Juan M.</t>
    </r>
  </si>
  <si>
    <t>https://www.tenisdemesaparatodos.com/jugadores_ficha.asp?codigo=21344</t>
  </si>
  <si>
    <r>
      <rPr>
        <sz val="9"/>
        <rFont val="Arial MT"/>
        <family val="2"/>
      </rPr>
      <t>Monti, Federico</t>
    </r>
  </si>
  <si>
    <t>https://www.tenisdemesaparatodos.com/jugadores_ficha.asp?codigo=22730</t>
  </si>
  <si>
    <r>
      <rPr>
        <sz val="9"/>
        <rFont val="Arial MT"/>
        <family val="2"/>
      </rPr>
      <t>Mendez, Iara Antonella</t>
    </r>
  </si>
  <si>
    <t>https://www.tenisdemesaparatodos.com/jugadores_ficha.asp?codigo=14121</t>
  </si>
  <si>
    <r>
      <rPr>
        <sz val="9"/>
        <rFont val="Arial MT"/>
        <family val="2"/>
      </rPr>
      <t>Urfeig, Francisco</t>
    </r>
  </si>
  <si>
    <t>https://www.tenisdemesaparatodos.com/jugadores_ficha.asp?codigo=24773</t>
  </si>
  <si>
    <r>
      <rPr>
        <sz val="9"/>
        <rFont val="Arial MT"/>
        <family val="2"/>
      </rPr>
      <t>Erlich, Damian Ariel</t>
    </r>
  </si>
  <si>
    <t>https://www.tenisdemesaparatodos.com/jugadores_ficha.asp?codigo=17538</t>
  </si>
  <si>
    <r>
      <rPr>
        <sz val="9"/>
        <rFont val="Arial MT"/>
        <family val="2"/>
      </rPr>
      <t>Martinez Alcalde, Emanuel</t>
    </r>
  </si>
  <si>
    <t>https://www.tenisdemesaparatodos.com/jugadores_ficha.asp?codigo=15334</t>
  </si>
  <si>
    <r>
      <rPr>
        <sz val="9"/>
        <rFont val="Arial MT"/>
        <family val="2"/>
      </rPr>
      <t>Ramos, Nicolas J.</t>
    </r>
  </si>
  <si>
    <t>https://www.tenisdemesaparatodos.com/jugadores_ficha.asp?codigo=19867</t>
  </si>
  <si>
    <r>
      <rPr>
        <sz val="9"/>
        <rFont val="Arial MT"/>
        <family val="2"/>
      </rPr>
      <t>Szuldman, Gerardo</t>
    </r>
  </si>
  <si>
    <t>https://www.tenisdemesaparatodos.com/jugadores_ficha.asp?codigo=12153</t>
  </si>
  <si>
    <r>
      <rPr>
        <sz val="9"/>
        <rFont val="Arial MT"/>
        <family val="2"/>
      </rPr>
      <t>Sicilia, Rafael</t>
    </r>
  </si>
  <si>
    <t>https://www.tenisdemesaparatodos.com/jugadores_ficha.asp?codigo=11117</t>
  </si>
  <si>
    <r>
      <rPr>
        <sz val="9"/>
        <rFont val="Arial MT"/>
        <family val="2"/>
      </rPr>
      <t>Shinzato, Adrián</t>
    </r>
  </si>
  <si>
    <t>https://www.tenisdemesaparatodos.com/jugadores_ficha.asp?codigo=2238</t>
  </si>
  <si>
    <r>
      <rPr>
        <sz val="9"/>
        <rFont val="Arial MT"/>
        <family val="2"/>
      </rPr>
      <t>Kalomiris, Pablo</t>
    </r>
  </si>
  <si>
    <t>https://www.tenisdemesaparatodos.com/jugadores_ficha.asp?codigo=16204</t>
  </si>
  <si>
    <r>
      <rPr>
        <sz val="9"/>
        <rFont val="Arial MT"/>
        <family val="2"/>
      </rPr>
      <t>Hernandez, Matias N.</t>
    </r>
  </si>
  <si>
    <t>https://www.tenisdemesaparatodos.com/jugadores_ficha.asp?codigo=29426</t>
  </si>
  <si>
    <r>
      <rPr>
        <sz val="9"/>
        <rFont val="Arial MT"/>
        <family val="2"/>
      </rPr>
      <t>Ghersi, Agustín</t>
    </r>
  </si>
  <si>
    <t>https://www.tenisdemesaparatodos.com/jugadores_ficha.asp?codigo=13874</t>
  </si>
  <si>
    <r>
      <rPr>
        <sz val="9"/>
        <rFont val="Arial MT"/>
        <family val="2"/>
      </rPr>
      <t>Serrano, Lucas</t>
    </r>
  </si>
  <si>
    <t>https://www.tenisdemesaparatodos.com/jugadores_ficha.asp?codigo=22235</t>
  </si>
  <si>
    <r>
      <rPr>
        <sz val="9"/>
        <rFont val="Arial MT"/>
        <family val="2"/>
      </rPr>
      <t>Fantini, Nicolas M.</t>
    </r>
  </si>
  <si>
    <t>https://www.tenisdemesaparatodos.com/jugadores_ficha.asp?codigo=16071</t>
  </si>
  <si>
    <r>
      <rPr>
        <sz val="9"/>
        <rFont val="Arial MT"/>
        <family val="2"/>
      </rPr>
      <t>Capillas, Alejandro</t>
    </r>
  </si>
  <si>
    <t>https://www.tenisdemesaparatodos.com/jugadores_ficha.asp?codigo=23299</t>
  </si>
  <si>
    <r>
      <rPr>
        <sz val="9"/>
        <rFont val="Arial MT"/>
        <family val="2"/>
      </rPr>
      <t>Bron, Maximiliano</t>
    </r>
  </si>
  <si>
    <t>https://www.tenisdemesaparatodos.com/jugadores_ficha.asp?codigo=693</t>
  </si>
  <si>
    <r>
      <rPr>
        <sz val="9"/>
        <rFont val="Arial MT"/>
        <family val="2"/>
      </rPr>
      <t>Espindola, Agustin</t>
    </r>
  </si>
  <si>
    <t>https://www.tenisdemesaparatodos.com/jugadores_ficha.asp?codigo=27353</t>
  </si>
  <si>
    <r>
      <rPr>
        <sz val="9"/>
        <rFont val="Arial MT"/>
        <family val="2"/>
      </rPr>
      <t>Serrano, Joel</t>
    </r>
  </si>
  <si>
    <t>https://www.tenisdemesaparatodos.com/jugadores_ficha.asp?codigo=22234</t>
  </si>
  <si>
    <r>
      <rPr>
        <sz val="9"/>
        <rFont val="Arial MT"/>
        <family val="2"/>
      </rPr>
      <t>Costales, Mario</t>
    </r>
  </si>
  <si>
    <t>https://www.tenisdemesaparatodos.com/jugadores_ficha.asp?codigo=13565</t>
  </si>
  <si>
    <r>
      <rPr>
        <sz val="9"/>
        <rFont val="Arial MT"/>
        <family val="2"/>
      </rPr>
      <t>Rubin, Pablo H.</t>
    </r>
  </si>
  <si>
    <t>https://www.tenisdemesaparatodos.com/jugadores_ficha.asp?codigo=24308</t>
  </si>
  <si>
    <r>
      <rPr>
        <sz val="9"/>
        <rFont val="Arial MT"/>
        <family val="2"/>
      </rPr>
      <t>Serrano, Gustavo</t>
    </r>
  </si>
  <si>
    <t>https://www.tenisdemesaparatodos.com/jugadores_ficha.asp?codigo=22278</t>
  </si>
  <si>
    <r>
      <rPr>
        <sz val="9"/>
        <rFont val="Arial MT"/>
        <family val="2"/>
      </rPr>
      <t>Fernandez, Marcelo R.</t>
    </r>
  </si>
  <si>
    <t>https://www.tenisdemesaparatodos.com/jugadores_ficha.asp?codigo=22465</t>
  </si>
  <si>
    <r>
      <rPr>
        <sz val="9"/>
        <rFont val="Arial MT"/>
        <family val="2"/>
      </rPr>
      <t>Kaladjian, Juan Bautista</t>
    </r>
  </si>
  <si>
    <t>https://www.tenisdemesaparatodos.com/jugadores_ficha.asp?codigo=25833</t>
  </si>
  <si>
    <r>
      <rPr>
        <sz val="9"/>
        <rFont val="Arial MT"/>
        <family val="2"/>
      </rPr>
      <t>Gomez, Nicolas S.</t>
    </r>
  </si>
  <si>
    <t>https://www.tenisdemesaparatodos.com/jugadores_ficha.asp?codigo=984</t>
  </si>
  <si>
    <r>
      <rPr>
        <sz val="9"/>
        <rFont val="Arial MT"/>
        <family val="2"/>
      </rPr>
      <t>Bearzi, Franco H.</t>
    </r>
  </si>
  <si>
    <t>https://www.tenisdemesaparatodos.com/jugadores_ficha.asp?codigo=202</t>
  </si>
  <si>
    <r>
      <rPr>
        <sz val="9"/>
        <rFont val="Arial MT"/>
        <family val="2"/>
      </rPr>
      <t>Rubin Minetti, Galo</t>
    </r>
  </si>
  <si>
    <t>https://www.tenisdemesaparatodos.com/jugadores_ficha.asp?codigo=26476</t>
  </si>
  <si>
    <r>
      <rPr>
        <sz val="9"/>
        <rFont val="Arial MT"/>
        <family val="2"/>
      </rPr>
      <t>Martinez, Abril</t>
    </r>
  </si>
  <si>
    <t>https://www.tenisdemesaparatodos.com/jugadores_ficha.asp?codigo=169</t>
  </si>
  <si>
    <r>
      <rPr>
        <sz val="9"/>
        <rFont val="Arial MT"/>
        <family val="2"/>
      </rPr>
      <t>Lemes Berardi, Lucas</t>
    </r>
  </si>
  <si>
    <t>https://www.tenisdemesaparatodos.com/jugadores_ficha.asp?codigo=10077</t>
  </si>
  <si>
    <r>
      <rPr>
        <sz val="9"/>
        <rFont val="Arial MT"/>
        <family val="2"/>
      </rPr>
      <t>Castellan, Gaston</t>
    </r>
  </si>
  <si>
    <t>https://www.tenisdemesaparatodos.com/jugadores_ficha.asp?codigo=19663</t>
  </si>
  <si>
    <r>
      <rPr>
        <sz val="9"/>
        <rFont val="Arial MT"/>
        <family val="2"/>
      </rPr>
      <t>Gostanian, Mariano J.</t>
    </r>
  </si>
  <si>
    <t>https://www.tenisdemesaparatodos.com/jugadores_ficha.asp?codigo=27229</t>
  </si>
  <si>
    <r>
      <rPr>
        <sz val="9"/>
        <rFont val="Arial MT"/>
        <family val="2"/>
      </rPr>
      <t>Lopez, Ruben Osvaldo</t>
    </r>
  </si>
  <si>
    <t>https://www.tenisdemesaparatodos.com/jugadores_ficha.asp?codigo=24882</t>
  </si>
  <si>
    <r>
      <rPr>
        <sz val="9"/>
        <rFont val="Arial MT"/>
        <family val="2"/>
      </rPr>
      <t>Vidal, Gustavo G.</t>
    </r>
  </si>
  <si>
    <t>https://www.tenisdemesaparatodos.com/jugadores_ficha.asp?codigo=28691</t>
  </si>
  <si>
    <r>
      <rPr>
        <sz val="9"/>
        <rFont val="Arial MT"/>
        <family val="2"/>
      </rPr>
      <t>Saleh, Wasim</t>
    </r>
  </si>
  <si>
    <t>https://www.tenisdemesaparatodos.com/jugadores_ficha.asp?codigo=3584</t>
  </si>
  <si>
    <r>
      <rPr>
        <sz val="9"/>
        <rFont val="Arial MT"/>
        <family val="2"/>
      </rPr>
      <t>Fernandez, Rodrigo</t>
    </r>
  </si>
  <si>
    <t>https://www.tenisdemesaparatodos.com/jugadores_ficha.asp?codigo=10120</t>
  </si>
  <si>
    <r>
      <rPr>
        <sz val="9"/>
        <rFont val="Arial MT"/>
        <family val="2"/>
      </rPr>
      <t>Acha Perez, Lautaro</t>
    </r>
  </si>
  <si>
    <t>https://www.tenisdemesaparatodos.com/jugadores_ficha.asp?codigo=7436</t>
  </si>
  <si>
    <r>
      <rPr>
        <sz val="9"/>
        <rFont val="Arial MT"/>
        <family val="2"/>
      </rPr>
      <t>Luna, Simon</t>
    </r>
  </si>
  <si>
    <t>https://www.tenisdemesaparatodos.com/jugadores_ficha.asp?codigo=24892</t>
  </si>
  <si>
    <r>
      <rPr>
        <sz val="9"/>
        <rFont val="Arial MT"/>
        <family val="2"/>
      </rPr>
      <t>Ianniruberto, Lorenzo</t>
    </r>
  </si>
  <si>
    <t>https://www.tenisdemesaparatodos.com/jugadores_ficha.asp?codigo=28725</t>
  </si>
  <si>
    <r>
      <rPr>
        <sz val="9"/>
        <rFont val="Arial MT"/>
        <family val="2"/>
      </rPr>
      <t>Colonnese, Maria Clara</t>
    </r>
  </si>
  <si>
    <t>https://www.tenisdemesaparatodos.com/jugadores_ficha.asp?codigo=24872</t>
  </si>
  <si>
    <r>
      <rPr>
        <sz val="9"/>
        <rFont val="Arial MT"/>
        <family val="2"/>
      </rPr>
      <t>Azcuy, German</t>
    </r>
  </si>
  <si>
    <t>https://www.tenisdemesaparatodos.com/jugadores_ficha.asp?codigo=29532</t>
  </si>
  <si>
    <r>
      <rPr>
        <sz val="9"/>
        <rFont val="Arial MT"/>
        <family val="2"/>
      </rPr>
      <t>Kaladjian, Juan Martin</t>
    </r>
  </si>
  <si>
    <t>https://www.tenisdemesaparatodos.com/jugadores_ficha.asp?codigo=29605</t>
  </si>
  <si>
    <r>
      <rPr>
        <sz val="9"/>
        <rFont val="Arial MT"/>
        <family val="2"/>
      </rPr>
      <t>Luna, Fernando A.</t>
    </r>
  </si>
  <si>
    <t>https://www.tenisdemesaparatodos.com/jugadores_ficha.asp?codigo=24893</t>
  </si>
  <si>
    <r>
      <rPr>
        <sz val="9"/>
        <rFont val="Arial MT"/>
        <family val="2"/>
      </rPr>
      <t>Serrano, Sol Denise</t>
    </r>
  </si>
  <si>
    <t>https://www.tenisdemesaparatodos.com/jugadores_ficha.asp?codigo=25935</t>
  </si>
  <si>
    <r>
      <rPr>
        <sz val="9"/>
        <rFont val="Arial MT"/>
        <family val="2"/>
      </rPr>
      <t>Telao Guerreros, Lucas</t>
    </r>
  </si>
  <si>
    <t>https://www.tenisdemesaparatodos.com/jugadores_ficha.asp?codigo=18582</t>
  </si>
  <si>
    <r>
      <rPr>
        <sz val="9"/>
        <rFont val="Arial MT"/>
        <family val="2"/>
      </rPr>
      <t>Mastronardi, Federico</t>
    </r>
  </si>
  <si>
    <t>https://www.tenisdemesaparatodos.com/jugadores_ficha.asp?codigo=25890</t>
  </si>
  <si>
    <r>
      <rPr>
        <sz val="9"/>
        <rFont val="Arial MT"/>
        <family val="2"/>
      </rPr>
      <t>Ferreiro, Pablo J.</t>
    </r>
  </si>
  <si>
    <t>https://www.tenisdemesaparatodos.com/jugadores_ficha.asp?codigo=9927</t>
  </si>
  <si>
    <r>
      <rPr>
        <sz val="9"/>
        <rFont val="Arial MT"/>
        <family val="2"/>
      </rPr>
      <t>Katz, Gustavo A.</t>
    </r>
  </si>
  <si>
    <t>https://www.tenisdemesaparatodos.com/jugadores_ficha.asp?codigo=27152</t>
  </si>
  <si>
    <r>
      <rPr>
        <sz val="9"/>
        <rFont val="Arial MT"/>
        <family val="2"/>
      </rPr>
      <t>Grunblatt, Ricardo M.</t>
    </r>
  </si>
  <si>
    <t>https://www.tenisdemesaparatodos.com/jugadores_ficha.asp?codigo=28703</t>
  </si>
  <si>
    <r>
      <rPr>
        <sz val="9"/>
        <rFont val="Arial MT"/>
        <family val="2"/>
      </rPr>
      <t>Santiago Enderiz, Maximiliano</t>
    </r>
  </si>
  <si>
    <t>https://www.tenisdemesaparatodos.com/jugadores_ficha.asp?codigo=27024</t>
  </si>
  <si>
    <r>
      <rPr>
        <sz val="9"/>
        <rFont val="Arial MT"/>
        <family val="2"/>
      </rPr>
      <t>Morua, Walter I.</t>
    </r>
  </si>
  <si>
    <t>https://www.tenisdemesaparatodos.com/jugadores_ficha.asp?codigo=27409</t>
  </si>
  <si>
    <r>
      <rPr>
        <sz val="9"/>
        <rFont val="Arial MT"/>
        <family val="2"/>
      </rPr>
      <t>Atlanta</t>
    </r>
  </si>
  <si>
    <r>
      <rPr>
        <sz val="9"/>
        <rFont val="Arial MT"/>
        <family val="2"/>
      </rPr>
      <t>Zylberglait, Brian</t>
    </r>
  </si>
  <si>
    <t>https://www.tenisdemesaparatodos.com/jugadores_ficha.asp?codigo=24231</t>
  </si>
  <si>
    <r>
      <rPr>
        <sz val="9"/>
        <rFont val="Arial MT"/>
        <family val="2"/>
      </rPr>
      <t>Bienati, Carlos Alfredo</t>
    </r>
  </si>
  <si>
    <t>https://www.tenisdemesaparatodos.com/jugadores_ficha.asp?codigo=17142</t>
  </si>
  <si>
    <r>
      <rPr>
        <sz val="9"/>
        <rFont val="Arial MT"/>
        <family val="2"/>
      </rPr>
      <t>Szwarc Winnik, Ezequiel</t>
    </r>
  </si>
  <si>
    <t>https://www.tenisdemesaparatodos.com/jugadores_ficha.asp?codigo=19929</t>
  </si>
  <si>
    <r>
      <rPr>
        <sz val="9"/>
        <rFont val="Arial MT"/>
        <family val="2"/>
      </rPr>
      <t>Burstein, Gustavo</t>
    </r>
  </si>
  <si>
    <t>https://www.tenisdemesaparatodos.com/jugadores_ficha.asp?codigo=22958</t>
  </si>
  <si>
    <r>
      <rPr>
        <sz val="9"/>
        <rFont val="Arial MT"/>
        <family val="2"/>
      </rPr>
      <t>Barbosch, Roman</t>
    </r>
  </si>
  <si>
    <t>https://www.tenisdemesaparatodos.com/jugadores_ficha.asp?codigo=22067</t>
  </si>
  <si>
    <r>
      <rPr>
        <sz val="9"/>
        <rFont val="Arial MT"/>
        <family val="2"/>
      </rPr>
      <t>Barmak, Martin</t>
    </r>
  </si>
  <si>
    <t>https://www.tenisdemesaparatodos.com/jugadores_ficha.asp?codigo=8533</t>
  </si>
  <si>
    <r>
      <rPr>
        <sz val="9"/>
        <rFont val="Arial MT"/>
        <family val="2"/>
      </rPr>
      <t>Trillini, Juan</t>
    </r>
  </si>
  <si>
    <t>https://www.tenisdemesaparatodos.com/jugadores_ficha.asp?codigo=21729</t>
  </si>
  <si>
    <r>
      <rPr>
        <sz val="9"/>
        <rFont val="Arial MT"/>
        <family val="2"/>
      </rPr>
      <t>Atlanta A</t>
    </r>
  </si>
  <si>
    <r>
      <rPr>
        <sz val="9"/>
        <rFont val="Arial MT"/>
        <family val="2"/>
      </rPr>
      <t>Espinosa Dotta, Julian</t>
    </r>
  </si>
  <si>
    <t>https://www.tenisdemesaparatodos.com/jugadores_ficha.asp?codigo=14287</t>
  </si>
  <si>
    <r>
      <rPr>
        <sz val="9"/>
        <rFont val="Arial MT"/>
        <family val="2"/>
      </rPr>
      <t>Pineda, Benjamin</t>
    </r>
  </si>
  <si>
    <t>https://www.tenisdemesaparatodos.com/jugadores_ficha.asp?codigo=27740</t>
  </si>
  <si>
    <r>
      <rPr>
        <sz val="9"/>
        <rFont val="Arial MT"/>
        <family val="2"/>
      </rPr>
      <t>Vichoff, Nicolas</t>
    </r>
  </si>
  <si>
    <t>https://www.tenisdemesaparatodos.com/jugadores_ficha.asp?codigo=28090</t>
  </si>
  <si>
    <r>
      <rPr>
        <sz val="9"/>
        <rFont val="Arial MT"/>
        <family val="2"/>
      </rPr>
      <t>Zolkwer, Luca</t>
    </r>
  </si>
  <si>
    <t>https://www.tenisdemesaparatodos.com/jugadores_ficha.asp?codigo=23153</t>
  </si>
  <si>
    <r>
      <rPr>
        <sz val="9"/>
        <rFont val="Arial MT"/>
        <family val="2"/>
      </rPr>
      <t>Alvarez Pizzo, Martin</t>
    </r>
  </si>
  <si>
    <t>https://www.tenisdemesaparatodos.com/jugadores_ficha.asp?codigo=27448</t>
  </si>
  <si>
    <r>
      <rPr>
        <sz val="9"/>
        <rFont val="Arial MT"/>
        <family val="2"/>
      </rPr>
      <t>Montero Ochoa, Maria Fernanda</t>
    </r>
  </si>
  <si>
    <t>https://www.tenisdemesaparatodos.com/jugadores_ficha.asp?codigo=18514</t>
  </si>
  <si>
    <r>
      <rPr>
        <sz val="9"/>
        <rFont val="Arial MT"/>
        <family val="2"/>
      </rPr>
      <t>Basile Bouzas, Juan Manuel</t>
    </r>
  </si>
  <si>
    <t>https://www.tenisdemesaparatodos.com/jugadores_ficha.asp?codigo=12793</t>
  </si>
  <si>
    <r>
      <rPr>
        <sz val="9"/>
        <rFont val="Arial MT"/>
        <family val="2"/>
      </rPr>
      <t>Margulis, Damian</t>
    </r>
  </si>
  <si>
    <t>https://www.tenisdemesaparatodos.com/jugadores_ficha.asp?codigo=26614</t>
  </si>
  <si>
    <r>
      <rPr>
        <sz val="9"/>
        <rFont val="Arial MT"/>
        <family val="2"/>
      </rPr>
      <t>Atlanta B</t>
    </r>
  </si>
  <si>
    <r>
      <rPr>
        <sz val="9"/>
        <rFont val="Arial MT"/>
        <family val="2"/>
      </rPr>
      <t>Trujillo Martinez, Wilmer</t>
    </r>
  </si>
  <si>
    <t>https://www.tenisdemesaparatodos.com/jugadores_ficha.asp?codigo=26353</t>
  </si>
  <si>
    <r>
      <rPr>
        <sz val="9"/>
        <rFont val="Arial MT"/>
        <family val="2"/>
      </rPr>
      <t>Vinueza Lozada, Juan Jose</t>
    </r>
  </si>
  <si>
    <t>https://www.tenisdemesaparatodos.com/jugadores_ficha.asp?codigo=21099</t>
  </si>
  <si>
    <r>
      <rPr>
        <sz val="9"/>
        <rFont val="Arial MT"/>
        <family val="2"/>
      </rPr>
      <t>Pereda, Adrian M.</t>
    </r>
  </si>
  <si>
    <t>https://www.tenisdemesaparatodos.com/jugadores_ficha.asp?codigo=26141</t>
  </si>
  <si>
    <r>
      <rPr>
        <sz val="9"/>
        <rFont val="Arial MT"/>
        <family val="2"/>
      </rPr>
      <t>Wilinski, Tobias</t>
    </r>
  </si>
  <si>
    <t>https://www.tenisdemesaparatodos.com/jugadores_ficha.asp?codigo=12312</t>
  </si>
  <si>
    <r>
      <rPr>
        <sz val="9"/>
        <rFont val="Arial MT"/>
        <family val="2"/>
      </rPr>
      <t>Haidukowski, Adrian</t>
    </r>
  </si>
  <si>
    <t>https://www.tenisdemesaparatodos.com/jugadores_ficha.asp?codigo=19229</t>
  </si>
  <si>
    <r>
      <rPr>
        <sz val="9"/>
        <rFont val="Arial MT"/>
        <family val="2"/>
      </rPr>
      <t>Terragni, Carlos D.</t>
    </r>
  </si>
  <si>
    <t>https://www.tenisdemesaparatodos.com/jugadores_ficha.asp?codigo=24317</t>
  </si>
  <si>
    <r>
      <rPr>
        <sz val="9"/>
        <rFont val="Arial MT"/>
        <family val="2"/>
      </rPr>
      <t>Senderowitsch, Leonardo</t>
    </r>
  </si>
  <si>
    <t>https://www.tenisdemesaparatodos.com/jugadores_ficha.asp?codigo=17085</t>
  </si>
  <si>
    <r>
      <rPr>
        <sz val="9"/>
        <rFont val="Arial MT"/>
        <family val="2"/>
      </rPr>
      <t>Malvassi, Fabian Jorge</t>
    </r>
  </si>
  <si>
    <t>https://www.tenisdemesaparatodos.com/jugadores_ficha.asp?codigo=19961</t>
  </si>
  <si>
    <r>
      <rPr>
        <sz val="9"/>
        <rFont val="Arial MT"/>
        <family val="2"/>
      </rPr>
      <t>Cirera, Cesar N.</t>
    </r>
  </si>
  <si>
    <t>https://www.tenisdemesaparatodos.com/jugadores_ficha.asp?codigo=29044</t>
  </si>
  <si>
    <r>
      <rPr>
        <sz val="9"/>
        <rFont val="Arial MT"/>
        <family val="2"/>
      </rPr>
      <t>Godoy, Ernesto</t>
    </r>
  </si>
  <si>
    <t>https://www.tenisdemesaparatodos.com/jugadores_ficha.asp?codigo=24667</t>
  </si>
  <si>
    <r>
      <rPr>
        <sz val="9"/>
        <rFont val="Arial MT"/>
        <family val="2"/>
      </rPr>
      <t>Morales, Ricardo</t>
    </r>
  </si>
  <si>
    <t>https://www.tenisdemesaparatodos.com/jugadores_ficha.asp?codigo=6541</t>
  </si>
  <si>
    <r>
      <rPr>
        <sz val="9"/>
        <rFont val="Arial MT"/>
        <family val="2"/>
      </rPr>
      <t>Schinocca, Mateo</t>
    </r>
  </si>
  <si>
    <t>https://www.tenisdemesaparatodos.com/jugadores_ficha.asp?codigo=26984</t>
  </si>
  <si>
    <r>
      <rPr>
        <sz val="9"/>
        <rFont val="Arial MT"/>
        <family val="2"/>
      </rPr>
      <t>Rabinovich, Diego A.</t>
    </r>
  </si>
  <si>
    <t>https://www.tenisdemesaparatodos.com/jugadores_ficha.asp?codigo=25094</t>
  </si>
  <si>
    <r>
      <rPr>
        <sz val="9"/>
        <rFont val="Arial MT"/>
        <family val="2"/>
      </rPr>
      <t>Abeldinov, Arman</t>
    </r>
  </si>
  <si>
    <t>https://www.tenisdemesaparatodos.com/jugadores_ficha.asp?codigo=28211</t>
  </si>
  <si>
    <r>
      <rPr>
        <sz val="9"/>
        <rFont val="Arial MT"/>
        <family val="2"/>
      </rPr>
      <t>Cuasnicú Hermosa, Matias</t>
    </r>
  </si>
  <si>
    <t>https://www.tenisdemesaparatodos.com/jugadores_ficha.asp?codigo=25191</t>
  </si>
  <si>
    <r>
      <rPr>
        <sz val="9"/>
        <rFont val="Arial MT"/>
        <family val="2"/>
      </rPr>
      <t>Lourteig, Javier</t>
    </r>
  </si>
  <si>
    <t>https://www.tenisdemesaparatodos.com/jugadores_ficha.asp?codigo=27105</t>
  </si>
  <si>
    <r>
      <rPr>
        <sz val="9"/>
        <rFont val="Arial MT"/>
        <family val="2"/>
      </rPr>
      <t>Fidda, Nelson</t>
    </r>
  </si>
  <si>
    <t>https://www.tenisdemesaparatodos.com/jugadores_ficha.asp?codigo=26954</t>
  </si>
  <si>
    <r>
      <rPr>
        <sz val="9"/>
        <rFont val="Arial MT"/>
        <family val="2"/>
      </rPr>
      <t>Geffner, Edgardo A.</t>
    </r>
  </si>
  <si>
    <t>https://www.tenisdemesaparatodos.com/jugadores_ficha.asp?codigo=26582</t>
  </si>
  <si>
    <r>
      <rPr>
        <sz val="9"/>
        <rFont val="Arial MT"/>
        <family val="2"/>
      </rPr>
      <t>Banco Nacion</t>
    </r>
  </si>
  <si>
    <r>
      <rPr>
        <sz val="9"/>
        <rFont val="Arial MT"/>
        <family val="2"/>
      </rPr>
      <t>Perez, Camila D.</t>
    </r>
  </si>
  <si>
    <t>https://www.tenisdemesaparatodos.com/jugadores_ficha.asp?codigo=17013</t>
  </si>
  <si>
    <r>
      <rPr>
        <sz val="9"/>
        <rFont val="Arial MT"/>
        <family val="2"/>
      </rPr>
      <t>Schvartz, Ivan</t>
    </r>
  </si>
  <si>
    <t>https://www.tenisdemesaparatodos.com/jugadores_ficha.asp?codigo=16957</t>
  </si>
  <si>
    <r>
      <rPr>
        <sz val="9"/>
        <rFont val="Arial MT"/>
        <family val="2"/>
      </rPr>
      <t>Flores, Jerusalen</t>
    </r>
  </si>
  <si>
    <t>https://www.tenisdemesaparatodos.com/jugadores_ficha.asp?codigo=29066</t>
  </si>
  <si>
    <r>
      <rPr>
        <sz val="9"/>
        <rFont val="Arial MT"/>
        <family val="2"/>
      </rPr>
      <t>Della Valle, Fernando</t>
    </r>
  </si>
  <si>
    <t>https://www.tenisdemesaparatodos.com/jugadores_ficha.asp?codigo=21039</t>
  </si>
  <si>
    <r>
      <rPr>
        <sz val="9"/>
        <rFont val="Arial MT"/>
        <family val="2"/>
      </rPr>
      <t>Novaro, Sergio</t>
    </r>
  </si>
  <si>
    <t>https://www.tenisdemesaparatodos.com/jugadores_ficha.asp?codigo=13555</t>
  </si>
  <si>
    <r>
      <rPr>
        <sz val="9"/>
        <rFont val="Arial MT"/>
        <family val="2"/>
      </rPr>
      <t>Peraza, Juan Sebastian</t>
    </r>
  </si>
  <si>
    <t>https://www.tenisdemesaparatodos.com/jugadores_ficha.asp?codigo=25709</t>
  </si>
  <si>
    <r>
      <rPr>
        <sz val="9"/>
        <rFont val="Arial MT"/>
        <family val="2"/>
      </rPr>
      <t>Kina, Hernan</t>
    </r>
  </si>
  <si>
    <t>https://www.tenisdemesaparatodos.com/jugadores_ficha.asp?codigo=23662</t>
  </si>
  <si>
    <r>
      <rPr>
        <sz val="9"/>
        <rFont val="Arial MT"/>
        <family val="2"/>
      </rPr>
      <t>Pozzo, Marcos</t>
    </r>
  </si>
  <si>
    <t>https://www.tenisdemesaparatodos.com/jugadores_ficha.asp?codigo=6196</t>
  </si>
  <si>
    <r>
      <rPr>
        <sz val="9"/>
        <rFont val="Arial MT"/>
        <family val="2"/>
      </rPr>
      <t>Fumagalli, Ricardo</t>
    </r>
  </si>
  <si>
    <t>https://www.tenisdemesaparatodos.com/jugadores_ficha.asp?codigo=15410</t>
  </si>
  <si>
    <r>
      <rPr>
        <sz val="9"/>
        <rFont val="Arial MT"/>
        <family val="2"/>
      </rPr>
      <t>Castellano, Federico</t>
    </r>
  </si>
  <si>
    <t>https://www.tenisdemesaparatodos.com/jugadores_ficha.asp?codigo=4003</t>
  </si>
  <si>
    <r>
      <rPr>
        <sz val="9"/>
        <rFont val="Arial MT"/>
        <family val="2"/>
      </rPr>
      <t>Rojstaczer, Daniel</t>
    </r>
  </si>
  <si>
    <t>https://www.tenisdemesaparatodos.com/jugadores_ficha.asp?codigo=2203</t>
  </si>
  <si>
    <r>
      <rPr>
        <sz val="9"/>
        <rFont val="Arial MT"/>
        <family val="2"/>
      </rPr>
      <t>Arias Gonzalez, Demian</t>
    </r>
  </si>
  <si>
    <t>https://www.tenisdemesaparatodos.com/jugadores_ficha.asp?codigo=23455</t>
  </si>
  <si>
    <r>
      <rPr>
        <sz val="9"/>
        <rFont val="Arial MT"/>
        <family val="2"/>
      </rPr>
      <t>Tapia Spahn, Ezequiel</t>
    </r>
  </si>
  <si>
    <t>https://www.tenisdemesaparatodos.com/jugadores_ficha.asp?codigo=23386</t>
  </si>
  <si>
    <r>
      <rPr>
        <sz val="9"/>
        <rFont val="Arial MT"/>
        <family val="2"/>
      </rPr>
      <t>Banco Nacion A</t>
    </r>
  </si>
  <si>
    <r>
      <rPr>
        <sz val="9"/>
        <rFont val="Arial MT"/>
        <family val="2"/>
      </rPr>
      <t>Florio, Dario Anibal</t>
    </r>
  </si>
  <si>
    <t>https://www.tenisdemesaparatodos.com/jugadores_ficha.asp?codigo=943</t>
  </si>
  <si>
    <r>
      <rPr>
        <sz val="9"/>
        <rFont val="Arial MT"/>
        <family val="2"/>
      </rPr>
      <t>Diaz Da Costa, Milton</t>
    </r>
  </si>
  <si>
    <t>https://www.tenisdemesaparatodos.com/jugadores_ficha.asp?codigo=24857</t>
  </si>
  <si>
    <r>
      <rPr>
        <sz val="9"/>
        <rFont val="Arial MT"/>
        <family val="2"/>
      </rPr>
      <t>Gomez, Diego J.</t>
    </r>
  </si>
  <si>
    <t>https://www.tenisdemesaparatodos.com/jugadores_ficha.asp?codigo=22432</t>
  </si>
  <si>
    <r>
      <rPr>
        <sz val="9"/>
        <rFont val="Arial MT"/>
        <family val="2"/>
      </rPr>
      <t>Ugas Marin, Adrian J.</t>
    </r>
  </si>
  <si>
    <t>https://www.tenisdemesaparatodos.com/jugadores_ficha.asp?codigo=7829</t>
  </si>
  <si>
    <r>
      <rPr>
        <sz val="9"/>
        <rFont val="Arial MT"/>
        <family val="2"/>
      </rPr>
      <t>Giustino, Lorenzo</t>
    </r>
  </si>
  <si>
    <t>https://www.tenisdemesaparatodos.com/jugadores_ficha.asp?codigo=23773</t>
  </si>
  <si>
    <r>
      <rPr>
        <sz val="9"/>
        <rFont val="Arial MT"/>
        <family val="2"/>
      </rPr>
      <t>Agra, Ariel</t>
    </r>
  </si>
  <si>
    <t>https://www.tenisdemesaparatodos.com/jugadores_ficha.asp?codigo=26335</t>
  </si>
  <si>
    <r>
      <rPr>
        <sz val="9"/>
        <rFont val="Arial MT"/>
        <family val="2"/>
      </rPr>
      <t>Banco Nacion B</t>
    </r>
  </si>
  <si>
    <r>
      <rPr>
        <sz val="9"/>
        <rFont val="Arial MT"/>
        <family val="2"/>
      </rPr>
      <t>Gomez, Javier Alberto</t>
    </r>
  </si>
  <si>
    <t>https://www.tenisdemesaparatodos.com/jugadores_ficha.asp?codigo=9435</t>
  </si>
  <si>
    <r>
      <rPr>
        <sz val="9"/>
        <rFont val="Arial MT"/>
        <family val="2"/>
      </rPr>
      <t>Curi, Miguel Angel</t>
    </r>
  </si>
  <si>
    <t>https://www.tenisdemesaparatodos.com/jugadores_ficha.asp?codigo=15325</t>
  </si>
  <si>
    <r>
      <rPr>
        <sz val="9"/>
        <rFont val="Arial MT"/>
        <family val="2"/>
      </rPr>
      <t>Schulklapper, Alejandro</t>
    </r>
  </si>
  <si>
    <t>https://www.tenisdemesaparatodos.com/jugadores_ficha.asp?codigo=466</t>
  </si>
  <si>
    <r>
      <rPr>
        <sz val="9"/>
        <rFont val="Arial MT"/>
        <family val="2"/>
      </rPr>
      <t>Jan, Juan Maria</t>
    </r>
  </si>
  <si>
    <t>https://www.tenisdemesaparatodos.com/jugadores_ficha.asp?codigo=20635</t>
  </si>
  <si>
    <r>
      <rPr>
        <sz val="9"/>
        <rFont val="Arial MT"/>
        <family val="2"/>
      </rPr>
      <t>Barak, Norberto</t>
    </r>
  </si>
  <si>
    <t>https://www.tenisdemesaparatodos.com/jugadores_ficha.asp?codigo=27841</t>
  </si>
  <si>
    <r>
      <rPr>
        <sz val="9"/>
        <rFont val="Arial MT"/>
        <family val="2"/>
      </rPr>
      <t>Trost, Brian</t>
    </r>
  </si>
  <si>
    <t>https://www.tenisdemesaparatodos.com/jugadores_ficha.asp?codigo=24256</t>
  </si>
  <si>
    <r>
      <rPr>
        <sz val="9"/>
        <rFont val="Arial MT"/>
        <family val="2"/>
      </rPr>
      <t>Bernasconi, Tomas</t>
    </r>
  </si>
  <si>
    <t>https://www.tenisdemesaparatodos.com/jugadores_ficha.asp?codigo=16142</t>
  </si>
  <si>
    <r>
      <rPr>
        <sz val="9"/>
        <rFont val="Arial MT"/>
        <family val="2"/>
      </rPr>
      <t>Petell, Francisco</t>
    </r>
  </si>
  <si>
    <t>https://www.tenisdemesaparatodos.com/jugadores_ficha.asp?codigo=27894</t>
  </si>
  <si>
    <r>
      <rPr>
        <sz val="9"/>
        <rFont val="Arial MT"/>
        <family val="2"/>
      </rPr>
      <t>Rey, Julian</t>
    </r>
  </si>
  <si>
    <t>https://www.tenisdemesaparatodos.com/jugadores_ficha.asp?codigo=26396</t>
  </si>
  <si>
    <r>
      <rPr>
        <sz val="9"/>
        <rFont val="Arial MT"/>
        <family val="2"/>
      </rPr>
      <t>Valbuena, Andy</t>
    </r>
  </si>
  <si>
    <t>https://www.tenisdemesaparatodos.com/jugadores_ficha.asp?codigo=25113</t>
  </si>
  <si>
    <r>
      <rPr>
        <sz val="9"/>
        <rFont val="Arial MT"/>
        <family val="2"/>
      </rPr>
      <t>Petell, Rafael</t>
    </r>
  </si>
  <si>
    <t>https://www.tenisdemesaparatodos.com/jugadores_ficha.asp?codigo=27895</t>
  </si>
  <si>
    <r>
      <rPr>
        <sz val="9"/>
        <rFont val="Arial MT"/>
        <family val="2"/>
      </rPr>
      <t>Vivo, Ramiro</t>
    </r>
  </si>
  <si>
    <t>https://www.tenisdemesaparatodos.com/jugadores_ficha.asp?codigo=20987</t>
  </si>
  <si>
    <r>
      <rPr>
        <sz val="9"/>
        <rFont val="Arial MT"/>
        <family val="2"/>
      </rPr>
      <t>Lancheros, Bernardo</t>
    </r>
  </si>
  <si>
    <t>https://www.tenisdemesaparatodos.com/jugadores_ficha.asp?codigo=20713</t>
  </si>
  <si>
    <r>
      <rPr>
        <sz val="9"/>
        <rFont val="Arial MT"/>
        <family val="2"/>
      </rPr>
      <t>Arisi, Matias</t>
    </r>
  </si>
  <si>
    <t>https://www.tenisdemesaparatodos.com/jugadores_ficha.asp?codigo=5773</t>
  </si>
  <si>
    <r>
      <rPr>
        <sz val="9"/>
        <rFont val="Arial MT"/>
        <family val="2"/>
      </rPr>
      <t>Kishimoto, Gabriel A.</t>
    </r>
  </si>
  <si>
    <t>https://www.tenisdemesaparatodos.com/jugadores_ficha.asp?codigo=9386</t>
  </si>
  <si>
    <r>
      <rPr>
        <sz val="9"/>
        <rFont val="Arial MT"/>
        <family val="2"/>
      </rPr>
      <t>Paryszewski, Hernan</t>
    </r>
  </si>
  <si>
    <t>https://www.tenisdemesaparatodos.com/jugadores_ficha.asp?codigo=21941</t>
  </si>
  <si>
    <r>
      <rPr>
        <sz val="9"/>
        <rFont val="Arial MT"/>
        <family val="2"/>
      </rPr>
      <t>Polenta Barbarisi, Gustavo F.</t>
    </r>
  </si>
  <si>
    <t>https://www.tenisdemesaparatodos.com/jugadores_ficha.asp?codigo=29463</t>
  </si>
  <si>
    <r>
      <rPr>
        <sz val="9"/>
        <rFont val="Arial MT"/>
        <family val="2"/>
      </rPr>
      <t>Grufi, Santiago</t>
    </r>
  </si>
  <si>
    <t>https://www.tenisdemesaparatodos.com/jugadores_ficha.asp?codigo=23777</t>
  </si>
  <si>
    <r>
      <rPr>
        <sz val="9"/>
        <rFont val="Arial MT"/>
        <family val="2"/>
      </rPr>
      <t>Mittica, Cecilia P.</t>
    </r>
  </si>
  <si>
    <t>https://www.tenisdemesaparatodos.com/jugadores_ficha.asp?codigo=22871</t>
  </si>
  <si>
    <r>
      <rPr>
        <sz val="9"/>
        <rFont val="Arial MT"/>
        <family val="2"/>
      </rPr>
      <t>Cabrera, Gabriel</t>
    </r>
  </si>
  <si>
    <t>https://www.tenisdemesaparatodos.com/jugadores_ficha.asp?codigo=23589</t>
  </si>
  <si>
    <r>
      <rPr>
        <sz val="9"/>
        <rFont val="Arial MT"/>
        <family val="2"/>
      </rPr>
      <t>Galarza, Ignacio</t>
    </r>
  </si>
  <si>
    <t>https://www.tenisdemesaparatodos.com/jugadores_ficha.asp?codigo=18102</t>
  </si>
  <si>
    <r>
      <rPr>
        <sz val="9"/>
        <rFont val="Arial MT"/>
        <family val="2"/>
      </rPr>
      <t>Exeni Royo, Omar</t>
    </r>
  </si>
  <si>
    <t>https://www.tenisdemesaparatodos.com/jugadores_ficha.asp?codigo=23905</t>
  </si>
  <si>
    <r>
      <rPr>
        <sz val="9"/>
        <rFont val="Arial MT"/>
        <family val="2"/>
      </rPr>
      <t>Zini Carrasco, Leonel</t>
    </r>
  </si>
  <si>
    <t>https://www.tenisdemesaparatodos.com/jugadores_ficha.asp?codigo=27765</t>
  </si>
  <si>
    <r>
      <rPr>
        <sz val="9"/>
        <rFont val="Arial MT"/>
        <family val="2"/>
      </rPr>
      <t>Perez Sisay, Santiago</t>
    </r>
  </si>
  <si>
    <t>https://www.tenisdemesaparatodos.com/jugadores_ficha.asp?codigo=22568</t>
  </si>
  <si>
    <r>
      <rPr>
        <sz val="9"/>
        <rFont val="Arial MT"/>
        <family val="2"/>
      </rPr>
      <t>Banco Nacion C</t>
    </r>
  </si>
  <si>
    <r>
      <rPr>
        <sz val="9"/>
        <rFont val="Arial MT"/>
        <family val="2"/>
      </rPr>
      <t>Castellano, Pablo</t>
    </r>
  </si>
  <si>
    <t>https://www.tenisdemesaparatodos.com/jugadores_ficha.asp?codigo=26504</t>
  </si>
  <si>
    <r>
      <rPr>
        <sz val="9"/>
        <rFont val="Arial MT"/>
        <family val="2"/>
      </rPr>
      <t>Petell, Santiago</t>
    </r>
  </si>
  <si>
    <t>https://www.tenisdemesaparatodos.com/jugadores_ficha.asp?codigo=27212</t>
  </si>
  <si>
    <r>
      <rPr>
        <sz val="9"/>
        <rFont val="Arial MT"/>
        <family val="2"/>
      </rPr>
      <t>Portnoy, Fabian</t>
    </r>
  </si>
  <si>
    <t>https://www.tenisdemesaparatodos.com/jugadores_ficha.asp?codigo=26518</t>
  </si>
  <si>
    <r>
      <rPr>
        <sz val="9"/>
        <rFont val="Arial MT"/>
        <family val="2"/>
      </rPr>
      <t>Belio, Alejandro</t>
    </r>
  </si>
  <si>
    <t>https://www.tenisdemesaparatodos.com/jugadores_ficha.asp?codigo=25568</t>
  </si>
  <si>
    <r>
      <rPr>
        <sz val="9"/>
        <rFont val="Arial MT"/>
        <family val="2"/>
      </rPr>
      <t>Polenta, Santino</t>
    </r>
  </si>
  <si>
    <t>https://www.tenisdemesaparatodos.com/jugadores_ficha.asp?codigo=29464</t>
  </si>
  <si>
    <r>
      <rPr>
        <sz val="9"/>
        <rFont val="Arial MT"/>
        <family val="2"/>
      </rPr>
      <t>Leibiusky, Julian</t>
    </r>
  </si>
  <si>
    <t>https://www.tenisdemesaparatodos.com/jugadores_ficha.asp?codigo=28645</t>
  </si>
  <si>
    <r>
      <rPr>
        <sz val="9"/>
        <rFont val="Arial MT"/>
        <family val="2"/>
      </rPr>
      <t>Bar Ping Pong NTE</t>
    </r>
  </si>
  <si>
    <r>
      <rPr>
        <sz val="9"/>
        <rFont val="Arial MT"/>
        <family val="2"/>
      </rPr>
      <t>Bayona, Rodrigo</t>
    </r>
  </si>
  <si>
    <t>https://www.tenisdemesaparatodos.com/jugadores_ficha.asp?codigo=4263</t>
  </si>
  <si>
    <r>
      <rPr>
        <sz val="9"/>
        <rFont val="Arial MT"/>
        <family val="2"/>
      </rPr>
      <t>Timbal Carvalho, Sebastian</t>
    </r>
  </si>
  <si>
    <t>https://www.tenisdemesaparatodos.com/jugadores_ficha.asp?codigo=24674</t>
  </si>
  <si>
    <r>
      <rPr>
        <sz val="9"/>
        <rFont val="Arial MT"/>
        <family val="2"/>
      </rPr>
      <t>Bronstein, Facundo</t>
    </r>
  </si>
  <si>
    <t>https://www.tenisdemesaparatodos.com/jugadores_ficha.asp?codigo=19197</t>
  </si>
  <si>
    <r>
      <rPr>
        <sz val="9"/>
        <rFont val="Arial MT"/>
        <family val="2"/>
      </rPr>
      <t>Samczuk, Ciro</t>
    </r>
  </si>
  <si>
    <t>https://www.tenisdemesaparatodos.com/jugadores_ficha.asp?codigo=18116</t>
  </si>
  <si>
    <r>
      <rPr>
        <sz val="9"/>
        <rFont val="Arial MT"/>
        <family val="2"/>
      </rPr>
      <t>Marcial, Luca Valentino</t>
    </r>
  </si>
  <si>
    <t>https://www.tenisdemesaparatodos.com/jugadores_ficha.asp?codigo=20523</t>
  </si>
  <si>
    <r>
      <rPr>
        <sz val="9"/>
        <rFont val="Arial MT"/>
        <family val="2"/>
      </rPr>
      <t>Marcial, Alma G.</t>
    </r>
  </si>
  <si>
    <t>https://www.tenisdemesaparatodos.com/jugadores_ficha.asp?codigo=18024</t>
  </si>
  <si>
    <r>
      <rPr>
        <sz val="9"/>
        <rFont val="Arial MT"/>
        <family val="2"/>
      </rPr>
      <t>Frias Paz, Luciana G.</t>
    </r>
  </si>
  <si>
    <r>
      <rPr>
        <sz val="9"/>
        <rFont val="Arial MT"/>
        <family val="2"/>
      </rPr>
      <t>Pokorny, Solange</t>
    </r>
  </si>
  <si>
    <t>https://www.tenisdemesaparatodos.com/jugadores_ficha.asp?codigo=16485</t>
  </si>
  <si>
    <r>
      <rPr>
        <sz val="9"/>
        <rFont val="Arial MT"/>
        <family val="2"/>
      </rPr>
      <t>Guardia, Santiago R.</t>
    </r>
  </si>
  <si>
    <t>https://www.tenisdemesaparatodos.com/jugadores_ficha.asp?codigo=1856</t>
  </si>
  <si>
    <r>
      <rPr>
        <sz val="9"/>
        <rFont val="Arial MT"/>
        <family val="2"/>
      </rPr>
      <t>Guardia, Maria Victoria</t>
    </r>
  </si>
  <si>
    <t>https://www.tenisdemesaparatodos.com/jugadores_ficha.asp?codigo=24663</t>
  </si>
  <si>
    <r>
      <rPr>
        <sz val="9"/>
        <rFont val="Arial MT"/>
        <family val="2"/>
      </rPr>
      <t>Pinato Castagnaro, Fausto</t>
    </r>
  </si>
  <si>
    <t>https://www.tenisdemesaparatodos.com/jugadores_ficha.asp?codigo=26685</t>
  </si>
  <si>
    <r>
      <rPr>
        <sz val="9"/>
        <rFont val="Arial MT"/>
        <family val="2"/>
      </rPr>
      <t>Gass, Julian</t>
    </r>
  </si>
  <si>
    <t>https://www.tenisdemesaparatodos.com/jugadores_ficha.asp?codigo=25172</t>
  </si>
  <si>
    <r>
      <rPr>
        <sz val="9"/>
        <rFont val="Arial MT"/>
        <family val="2"/>
      </rPr>
      <t>Timbal Carvalho, Gonzalo</t>
    </r>
  </si>
  <si>
    <t>https://www.tenisdemesaparatodos.com/jugadores_ficha.asp?codigo=4219</t>
  </si>
  <si>
    <r>
      <rPr>
        <sz val="9"/>
        <rFont val="Arial MT"/>
        <family val="2"/>
      </rPr>
      <t>De Bonis, Ignacio</t>
    </r>
  </si>
  <si>
    <t>https://www.tenisdemesaparatodos.com/jugadores_ficha.asp?codigo=3005</t>
  </si>
  <si>
    <r>
      <rPr>
        <sz val="9"/>
        <rFont val="Arial MT"/>
        <family val="2"/>
      </rPr>
      <t>Buk, Manuel</t>
    </r>
  </si>
  <si>
    <t>https://www.tenisdemesaparatodos.com/jugadores_ficha.asp?codigo=24869</t>
  </si>
  <si>
    <r>
      <rPr>
        <sz val="9"/>
        <rFont val="Arial MT"/>
        <family val="2"/>
      </rPr>
      <t>Chamorro, Leonel</t>
    </r>
  </si>
  <si>
    <t>https://www.tenisdemesaparatodos.com/jugadores_ficha.asp?codigo=773</t>
  </si>
  <si>
    <r>
      <rPr>
        <sz val="9"/>
        <rFont val="Arial MT"/>
        <family val="2"/>
      </rPr>
      <t>Saracco, Julian</t>
    </r>
  </si>
  <si>
    <t>https://www.tenisdemesaparatodos.com/jugadores_ficha.asp?codigo=8529</t>
  </si>
  <si>
    <r>
      <rPr>
        <sz val="9"/>
        <rFont val="Arial MT"/>
        <family val="2"/>
      </rPr>
      <t>Aguilar Solis, Francisco</t>
    </r>
  </si>
  <si>
    <t>https://www.tenisdemesaparatodos.com/jugadores_ficha.asp?codigo=18187</t>
  </si>
  <si>
    <r>
      <rPr>
        <sz val="9"/>
        <rFont val="Arial MT"/>
        <family val="2"/>
      </rPr>
      <t>Sasso, Mauro</t>
    </r>
  </si>
  <si>
    <t>https://www.tenisdemesaparatodos.com/jugadores_ficha.asp?codigo=8641</t>
  </si>
  <si>
    <r>
      <rPr>
        <sz val="9"/>
        <rFont val="Arial MT"/>
        <family val="2"/>
      </rPr>
      <t>Epelde, Federico</t>
    </r>
  </si>
  <si>
    <t>https://www.tenisdemesaparatodos.com/jugadores_ficha.asp?codigo=29088</t>
  </si>
  <si>
    <r>
      <rPr>
        <sz val="9"/>
        <rFont val="Arial MT"/>
        <family val="2"/>
      </rPr>
      <t>Paz, Agustin L.</t>
    </r>
  </si>
  <si>
    <t>https://www.tenisdemesaparatodos.com/jugadores_ficha.asp?codigo=23648</t>
  </si>
  <si>
    <r>
      <rPr>
        <sz val="9"/>
        <rFont val="Arial MT"/>
        <family val="2"/>
      </rPr>
      <t>Perec, Benjamin</t>
    </r>
  </si>
  <si>
    <t>https://www.tenisdemesaparatodos.com/jugadores_ficha.asp?codigo=29513</t>
  </si>
  <si>
    <r>
      <rPr>
        <sz val="9"/>
        <rFont val="Arial MT"/>
        <family val="2"/>
      </rPr>
      <t>Pancallo, Daiana</t>
    </r>
  </si>
  <si>
    <t>https://www.tenisdemesaparatodos.com/jugadores_ficha.asp?codigo=24820</t>
  </si>
  <si>
    <r>
      <rPr>
        <sz val="9"/>
        <rFont val="Arial MT"/>
        <family val="2"/>
      </rPr>
      <t>Rey, Nicolas F.</t>
    </r>
  </si>
  <si>
    <t>https://www.tenisdemesaparatodos.com/jugadores_ficha.asp?codigo=504</t>
  </si>
  <si>
    <r>
      <rPr>
        <sz val="9"/>
        <rFont val="Arial MT"/>
        <family val="2"/>
      </rPr>
      <t>Olarieta, Paula</t>
    </r>
  </si>
  <si>
    <t>https://www.tenisdemesaparatodos.com/jugadores_ficha.asp?codigo=25691</t>
  </si>
  <si>
    <r>
      <rPr>
        <sz val="9"/>
        <rFont val="Arial MT"/>
        <family val="2"/>
      </rPr>
      <t>Bar Ping Pong NTE A</t>
    </r>
  </si>
  <si>
    <r>
      <rPr>
        <sz val="9"/>
        <rFont val="Arial MT"/>
        <family val="2"/>
      </rPr>
      <t>Gavalda, Juan Pablo</t>
    </r>
  </si>
  <si>
    <t>https://www.tenisdemesaparatodos.com/jugadores_ficha.asp?codigo=11298</t>
  </si>
  <si>
    <r>
      <rPr>
        <sz val="9"/>
        <rFont val="Arial MT"/>
        <family val="2"/>
      </rPr>
      <t>Cala, Santiago</t>
    </r>
  </si>
  <si>
    <t>https://www.tenisdemesaparatodos.com/jugadores_ficha.asp?codigo=7804</t>
  </si>
  <si>
    <r>
      <rPr>
        <sz val="9"/>
        <rFont val="Arial MT"/>
        <family val="2"/>
      </rPr>
      <t>Topp Knudsen, Jonatan</t>
    </r>
  </si>
  <si>
    <t>https://www.tenisdemesaparatodos.com/jugadores_ficha.asp?codigo=7944</t>
  </si>
  <si>
    <r>
      <rPr>
        <sz val="9"/>
        <rFont val="Arial MT"/>
        <family val="2"/>
      </rPr>
      <t>Bar Ping Pong NTE B</t>
    </r>
  </si>
  <si>
    <r>
      <rPr>
        <sz val="9"/>
        <rFont val="Arial MT"/>
        <family val="2"/>
      </rPr>
      <t>Masa, Jonas</t>
    </r>
  </si>
  <si>
    <t>https://www.tenisdemesaparatodos.com/jugadores_ficha.asp?codigo=20941</t>
  </si>
  <si>
    <r>
      <rPr>
        <sz val="9"/>
        <rFont val="Arial MT"/>
        <family val="2"/>
      </rPr>
      <t>Isaac Bonavena, Joaquin</t>
    </r>
  </si>
  <si>
    <t>https://www.tenisdemesaparatodos.com/jugadores_ficha.asp?codigo=24858</t>
  </si>
  <si>
    <r>
      <rPr>
        <sz val="9"/>
        <rFont val="Arial MT"/>
        <family val="2"/>
      </rPr>
      <t>Yair, Idan</t>
    </r>
  </si>
  <si>
    <t>https://www.tenisdemesaparatodos.com/jugadores_ficha.asp?codigo=18382</t>
  </si>
  <si>
    <r>
      <rPr>
        <sz val="9"/>
        <rFont val="Arial MT"/>
        <family val="2"/>
      </rPr>
      <t>Sarnagiotto, Valentino</t>
    </r>
  </si>
  <si>
    <t>https://www.tenisdemesaparatodos.com/jugadores_ficha.asp?codigo=14673</t>
  </si>
  <si>
    <r>
      <rPr>
        <sz val="9"/>
        <rFont val="Arial MT"/>
        <family val="2"/>
      </rPr>
      <t>Mosquera Gonzalez, Pedro</t>
    </r>
  </si>
  <si>
    <t>https://www.tenisdemesaparatodos.com/jugadores_ficha.asp?codigo=29099</t>
  </si>
  <si>
    <r>
      <rPr>
        <sz val="9"/>
        <rFont val="Arial MT"/>
        <family val="2"/>
      </rPr>
      <t>Bersie TDM</t>
    </r>
  </si>
  <si>
    <r>
      <rPr>
        <sz val="9"/>
        <rFont val="Arial MT"/>
        <family val="2"/>
      </rPr>
      <t>Lavallen Beltrando, Iñaqui</t>
    </r>
  </si>
  <si>
    <t>https://www.tenisdemesaparatodos.com/jugadores_ficha.asp?codigo=27026</t>
  </si>
  <si>
    <r>
      <rPr>
        <sz val="9"/>
        <rFont val="Arial MT"/>
        <family val="2"/>
      </rPr>
      <t>Artigas, Paula</t>
    </r>
  </si>
  <si>
    <t>https://www.tenisdemesaparatodos.com/jugadores_ficha.asp?codigo=21444</t>
  </si>
  <si>
    <r>
      <rPr>
        <sz val="9"/>
        <rFont val="Arial MT"/>
        <family val="2"/>
      </rPr>
      <t>Bernardez, Victor</t>
    </r>
  </si>
  <si>
    <t>https://www.tenisdemesaparatodos.com/jugadores_ficha.asp?codigo=196</t>
  </si>
  <si>
    <r>
      <rPr>
        <sz val="9"/>
        <rFont val="Arial MT"/>
        <family val="2"/>
      </rPr>
      <t>Walesberg, Julio</t>
    </r>
  </si>
  <si>
    <t>https://www.tenisdemesaparatodos.com/jugadores_ficha.asp?codigo=26393</t>
  </si>
  <si>
    <r>
      <rPr>
        <sz val="9"/>
        <rFont val="Arial MT"/>
        <family val="2"/>
      </rPr>
      <t>Masignani, Martin V.</t>
    </r>
  </si>
  <si>
    <t>https://www.tenisdemesaparatodos.com/jugadores_ficha.asp?codigo=22667</t>
  </si>
  <si>
    <r>
      <rPr>
        <sz val="9"/>
        <rFont val="Arial MT"/>
        <family val="2"/>
      </rPr>
      <t>Beltrando, Adrian A.</t>
    </r>
  </si>
  <si>
    <t>https://www.tenisdemesaparatodos.com/jugadores_ficha.asp?codigo=27025</t>
  </si>
  <si>
    <r>
      <rPr>
        <sz val="9"/>
        <rFont val="Arial MT"/>
        <family val="2"/>
      </rPr>
      <t>Masignani, Javier</t>
    </r>
  </si>
  <si>
    <t>https://www.tenisdemesaparatodos.com/jugadores_ficha.asp?codigo=22337</t>
  </si>
  <si>
    <r>
      <rPr>
        <sz val="9"/>
        <rFont val="Arial MT"/>
        <family val="2"/>
      </rPr>
      <t>Sirczuk, Ivan</t>
    </r>
  </si>
  <si>
    <t>https://www.tenisdemesaparatodos.com/jugadores_ficha.asp?codigo=25805</t>
  </si>
  <si>
    <r>
      <rPr>
        <sz val="9"/>
        <rFont val="Arial MT"/>
        <family val="2"/>
      </rPr>
      <t>Boca Juniors</t>
    </r>
  </si>
  <si>
    <r>
      <rPr>
        <sz val="9"/>
        <rFont val="Arial MT"/>
        <family val="2"/>
      </rPr>
      <t>Axon, Juan Cruz</t>
    </r>
  </si>
  <si>
    <t>https://www.tenisdemesaparatodos.com/jugadores_ficha.asp?codigo=25575</t>
  </si>
  <si>
    <r>
      <rPr>
        <sz val="9"/>
        <rFont val="Arial MT"/>
        <family val="2"/>
      </rPr>
      <t>Roldan, Jorge</t>
    </r>
  </si>
  <si>
    <t>https://www.tenisdemesaparatodos.com/jugadores_ficha.asp?codigo=18894</t>
  </si>
  <si>
    <r>
      <rPr>
        <sz val="9"/>
        <rFont val="Arial MT"/>
        <family val="2"/>
      </rPr>
      <t>Lescano, Ramiro</t>
    </r>
  </si>
  <si>
    <t>https://www.tenisdemesaparatodos.com/jugadores_ficha.asp?codigo=15489</t>
  </si>
  <si>
    <r>
      <rPr>
        <sz val="9"/>
        <rFont val="Arial MT"/>
        <family val="2"/>
      </rPr>
      <t>Parinelli, David</t>
    </r>
  </si>
  <si>
    <t>https://www.tenisdemesaparatodos.com/jugadores_ficha.asp?codigo=18334</t>
  </si>
  <si>
    <r>
      <rPr>
        <sz val="9"/>
        <rFont val="Arial MT"/>
        <family val="2"/>
      </rPr>
      <t>Arakaki, Daniel</t>
    </r>
  </si>
  <si>
    <t>https://www.tenisdemesaparatodos.com/jugadores_ficha.asp?codigo=2470</t>
  </si>
  <si>
    <r>
      <rPr>
        <sz val="9"/>
        <rFont val="Arial MT"/>
        <family val="2"/>
      </rPr>
      <t>Baez, Matias</t>
    </r>
  </si>
  <si>
    <t>https://www.tenisdemesaparatodos.com/jugadores_ficha.asp?codigo=6777</t>
  </si>
  <si>
    <r>
      <rPr>
        <sz val="9"/>
        <rFont val="Arial MT"/>
        <family val="2"/>
      </rPr>
      <t>Aguas, Lucas G.</t>
    </r>
  </si>
  <si>
    <t>https://www.tenisdemesaparatodos.com/jugadores_ficha.asp?codigo=27944</t>
  </si>
  <si>
    <r>
      <rPr>
        <sz val="9"/>
        <rFont val="Arial MT"/>
        <family val="2"/>
      </rPr>
      <t>Rios, Fabian R.</t>
    </r>
  </si>
  <si>
    <t>https://www.tenisdemesaparatodos.com/jugadores_ficha.asp?codigo=22543</t>
  </si>
  <si>
    <r>
      <rPr>
        <sz val="9"/>
        <rFont val="Arial MT"/>
        <family val="2"/>
      </rPr>
      <t>Sostegno, Fabricio</t>
    </r>
  </si>
  <si>
    <t>https://www.tenisdemesaparatodos.com/jugadores_ficha.asp?codigo=28085</t>
  </si>
  <si>
    <r>
      <rPr>
        <sz val="9"/>
        <rFont val="Arial MT"/>
        <family val="2"/>
      </rPr>
      <t>Alustiza, Pablo</t>
    </r>
  </si>
  <si>
    <t>https://www.tenisdemesaparatodos.com/jugadores_ficha.asp?codigo=24162</t>
  </si>
  <si>
    <r>
      <rPr>
        <sz val="9"/>
        <rFont val="Arial MT"/>
        <family val="2"/>
      </rPr>
      <t>Brisas Tenis de Mesa</t>
    </r>
  </si>
  <si>
    <r>
      <rPr>
        <sz val="9"/>
        <rFont val="Arial MT"/>
        <family val="2"/>
      </rPr>
      <t>Laurent, Lucas</t>
    </r>
  </si>
  <si>
    <t>https://www.tenisdemesaparatodos.com/jugadores_ficha.asp?codigo=14262</t>
  </si>
  <si>
    <r>
      <rPr>
        <sz val="9"/>
        <rFont val="Arial MT"/>
        <family val="2"/>
      </rPr>
      <t>Ibarra, Darío</t>
    </r>
  </si>
  <si>
    <t>https://www.tenisdemesaparatodos.com/jugadores_ficha.asp?codigo=5170</t>
  </si>
  <si>
    <r>
      <rPr>
        <sz val="9"/>
        <rFont val="Arial MT"/>
        <family val="2"/>
      </rPr>
      <t>Ramos, Christian E.</t>
    </r>
  </si>
  <si>
    <t>https://www.tenisdemesaparatodos.com/jugadores_ficha.asp?codigo=655</t>
  </si>
  <si>
    <r>
      <rPr>
        <sz val="9"/>
        <rFont val="Arial MT"/>
        <family val="2"/>
      </rPr>
      <t>Mesones, Santiago</t>
    </r>
  </si>
  <si>
    <t>https://www.tenisdemesaparatodos.com/jugadores_ficha.asp?codigo=26348</t>
  </si>
  <si>
    <r>
      <rPr>
        <sz val="9"/>
        <rFont val="Arial MT"/>
        <family val="2"/>
      </rPr>
      <t>Alvarez, Ruben</t>
    </r>
  </si>
  <si>
    <t>https://www.tenisdemesaparatodos.com/jugadores_ficha.asp?codigo=28641</t>
  </si>
  <si>
    <r>
      <rPr>
        <sz val="9"/>
        <rFont val="Arial MT"/>
        <family val="2"/>
      </rPr>
      <t>Di Carlo, Sandro</t>
    </r>
  </si>
  <si>
    <t>https://www.tenisdemesaparatodos.com/jugadores_ficha.asp?codigo=27707</t>
  </si>
  <si>
    <r>
      <rPr>
        <sz val="9"/>
        <rFont val="Arial MT"/>
        <family val="2"/>
      </rPr>
      <t>C.A.S.A. de Padua</t>
    </r>
  </si>
  <si>
    <r>
      <rPr>
        <sz val="9"/>
        <rFont val="Arial MT"/>
        <family val="2"/>
      </rPr>
      <t>Astellano, Tomas</t>
    </r>
  </si>
  <si>
    <t>https://www.tenisdemesaparatodos.com/jugadores_ficha.asp?codigo=23673</t>
  </si>
  <si>
    <r>
      <rPr>
        <sz val="9"/>
        <rFont val="Arial MT"/>
        <family val="2"/>
      </rPr>
      <t>Garcia, Nicolas H.</t>
    </r>
  </si>
  <si>
    <t>https://www.tenisdemesaparatodos.com/jugadores_ficha.asp?codigo=5113</t>
  </si>
  <si>
    <r>
      <rPr>
        <sz val="9"/>
        <rFont val="Arial MT"/>
        <family val="2"/>
      </rPr>
      <t>Gerpe, Santiago D.</t>
    </r>
  </si>
  <si>
    <t>https://www.tenisdemesaparatodos.com/jugadores_ficha.asp?codigo=15673</t>
  </si>
  <si>
    <r>
      <rPr>
        <sz val="9"/>
        <rFont val="Arial MT"/>
        <family val="2"/>
      </rPr>
      <t>Gimenez, Fernando</t>
    </r>
  </si>
  <si>
    <t>https://www.tenisdemesaparatodos.com/jugadores_ficha.asp?codigo=15947</t>
  </si>
  <si>
    <r>
      <rPr>
        <sz val="9"/>
        <rFont val="Arial MT"/>
        <family val="2"/>
      </rPr>
      <t>Rienda, Javier</t>
    </r>
  </si>
  <si>
    <t>https://www.tenisdemesaparatodos.com/jugadores_ficha.asp?codigo=16118</t>
  </si>
  <si>
    <r>
      <rPr>
        <sz val="9"/>
        <rFont val="Arial MT"/>
        <family val="2"/>
      </rPr>
      <t>Flama, Cristian R.</t>
    </r>
  </si>
  <si>
    <t>https://www.tenisdemesaparatodos.com/jugadores_ficha.asp?codigo=12062</t>
  </si>
  <si>
    <r>
      <rPr>
        <sz val="9"/>
        <rFont val="Arial MT"/>
        <family val="2"/>
      </rPr>
      <t>Gimenez Castillo, Bianca D.</t>
    </r>
  </si>
  <si>
    <t>https://www.tenisdemesaparatodos.com/jugadores_ficha.asp?codigo=23769</t>
  </si>
  <si>
    <r>
      <rPr>
        <sz val="9"/>
        <rFont val="Arial MT"/>
        <family val="2"/>
      </rPr>
      <t>Torrellas, Jordi A</t>
    </r>
  </si>
  <si>
    <t>https://www.tenisdemesaparatodos.com/jugadores_ficha.asp?codigo=15151</t>
  </si>
  <si>
    <r>
      <rPr>
        <sz val="9"/>
        <rFont val="Arial MT"/>
        <family val="2"/>
      </rPr>
      <t>Marenzi, Diego</t>
    </r>
  </si>
  <si>
    <t>https://www.tenisdemesaparatodos.com/jugadores_ficha.asp?codigo=12252</t>
  </si>
  <si>
    <r>
      <rPr>
        <sz val="9"/>
        <rFont val="Arial MT"/>
        <family val="2"/>
      </rPr>
      <t>Petkovsek, Mario</t>
    </r>
  </si>
  <si>
    <t>https://www.tenisdemesaparatodos.com/jugadores_ficha.asp?codigo=24024</t>
  </si>
  <si>
    <r>
      <rPr>
        <sz val="9"/>
        <rFont val="Arial MT"/>
        <family val="2"/>
      </rPr>
      <t>Bonavita, Fernando D.</t>
    </r>
  </si>
  <si>
    <t>https://www.tenisdemesaparatodos.com/jugadores_ficha.asp?codigo=25786</t>
  </si>
  <si>
    <r>
      <rPr>
        <sz val="9"/>
        <rFont val="Arial MT"/>
        <family val="2"/>
      </rPr>
      <t>Vence, Martin</t>
    </r>
  </si>
  <si>
    <t>https://www.tenisdemesaparatodos.com/jugadores_ficha.asp?codigo=22451</t>
  </si>
  <si>
    <r>
      <rPr>
        <sz val="9"/>
        <rFont val="Arial MT"/>
        <family val="2"/>
      </rPr>
      <t>Fernandez, Lionel</t>
    </r>
  </si>
  <si>
    <t>https://www.tenisdemesaparatodos.com/jugadores_ficha.asp?codigo=15558</t>
  </si>
  <si>
    <r>
      <rPr>
        <sz val="9"/>
        <rFont val="Arial MT"/>
        <family val="2"/>
      </rPr>
      <t>Cazal Rivera, Victor</t>
    </r>
  </si>
  <si>
    <t>https://www.tenisdemesaparatodos.com/jugadores_ficha.asp?codigo=20706</t>
  </si>
  <si>
    <r>
      <rPr>
        <sz val="9"/>
        <rFont val="Arial MT"/>
        <family val="2"/>
      </rPr>
      <t>C.A.S.A. de Padua A</t>
    </r>
  </si>
  <si>
    <r>
      <rPr>
        <sz val="9"/>
        <rFont val="Arial MT"/>
        <family val="2"/>
      </rPr>
      <t>Fernandez Bonus, Agustin</t>
    </r>
  </si>
  <si>
    <t>https://www.tenisdemesaparatodos.com/jugadores_ficha.asp?codigo=24729</t>
  </si>
  <si>
    <r>
      <rPr>
        <sz val="9"/>
        <rFont val="Arial MT"/>
        <family val="2"/>
      </rPr>
      <t>Fernandez Bonus, Manuel</t>
    </r>
  </si>
  <si>
    <t>https://www.tenisdemesaparatodos.com/jugadores_ficha.asp?codigo=24730</t>
  </si>
  <si>
    <r>
      <rPr>
        <sz val="9"/>
        <rFont val="Arial MT"/>
        <family val="2"/>
      </rPr>
      <t>Rojo, Renzo G.</t>
    </r>
  </si>
  <si>
    <t>https://www.tenisdemesaparatodos.com/jugadores_ficha.asp?codigo=27736</t>
  </si>
  <si>
    <r>
      <rPr>
        <sz val="9"/>
        <rFont val="Arial MT"/>
        <family val="2"/>
      </rPr>
      <t>Vega Lavergne, Felipe</t>
    </r>
  </si>
  <si>
    <t>https://www.tenisdemesaparatodos.com/jugadores_ficha.asp?codigo=29224</t>
  </si>
  <si>
    <r>
      <rPr>
        <sz val="9"/>
        <rFont val="Arial MT"/>
        <family val="2"/>
      </rPr>
      <t>Valldosera Broffoni, Thiago</t>
    </r>
  </si>
  <si>
    <t>https://www.tenisdemesaparatodos.com/jugadores_ficha.asp?codigo=29090</t>
  </si>
  <si>
    <r>
      <rPr>
        <sz val="9"/>
        <rFont val="Arial MT"/>
        <family val="2"/>
      </rPr>
      <t>Manrique, Lautaro</t>
    </r>
  </si>
  <si>
    <t>https://www.tenisdemesaparatodos.com/jugadores_ficha.asp?codigo=7029</t>
  </si>
  <si>
    <r>
      <rPr>
        <sz val="9"/>
        <rFont val="Arial MT"/>
        <family val="2"/>
      </rPr>
      <t>Martinez, Roman</t>
    </r>
  </si>
  <si>
    <t>https://www.tenisdemesaparatodos.com/jugadores_ficha.asp?codigo=29252</t>
  </si>
  <si>
    <r>
      <rPr>
        <sz val="9"/>
        <rFont val="Arial MT"/>
        <family val="2"/>
      </rPr>
      <t>Colasurdo, Macarena</t>
    </r>
  </si>
  <si>
    <t>https://www.tenisdemesaparatodos.com/jugadores_ficha.asp?codigo=29593</t>
  </si>
  <si>
    <r>
      <rPr>
        <sz val="9"/>
        <rFont val="Arial MT"/>
        <family val="2"/>
      </rPr>
      <t>C.A.S.A. de Padua B</t>
    </r>
  </si>
  <si>
    <r>
      <rPr>
        <sz val="9"/>
        <rFont val="Arial MT"/>
        <family val="2"/>
      </rPr>
      <t>Masso, Fernando</t>
    </r>
  </si>
  <si>
    <t>https://www.tenisdemesaparatodos.com/jugadores_ficha.asp?codigo=3592</t>
  </si>
  <si>
    <r>
      <rPr>
        <sz val="9"/>
        <rFont val="Arial MT"/>
        <family val="2"/>
      </rPr>
      <t>Vega Lavergne, Martin</t>
    </r>
  </si>
  <si>
    <t>https://www.tenisdemesaparatodos.com/jugadores_ficha.asp?codigo=27731</t>
  </si>
  <si>
    <r>
      <rPr>
        <sz val="9"/>
        <rFont val="Arial MT"/>
        <family val="2"/>
      </rPr>
      <t>Borges, Leandro</t>
    </r>
  </si>
  <si>
    <t>https://www.tenisdemesaparatodos.com/jugadores_ficha.asp?codigo=5451</t>
  </si>
  <si>
    <r>
      <rPr>
        <sz val="9"/>
        <rFont val="Arial MT"/>
        <family val="2"/>
      </rPr>
      <t>Teijeiro Bourse, Christian</t>
    </r>
  </si>
  <si>
    <t>https://www.tenisdemesaparatodos.com/jugadores_ficha.asp?codigo=20942</t>
  </si>
  <si>
    <r>
      <rPr>
        <sz val="9"/>
        <rFont val="Arial MT"/>
        <family val="2"/>
      </rPr>
      <t>Bassi, Guillermo M.</t>
    </r>
  </si>
  <si>
    <t>https://www.tenisdemesaparatodos.com/jugadores_ficha.asp?codigo=26909</t>
  </si>
  <si>
    <r>
      <rPr>
        <sz val="9"/>
        <rFont val="Arial MT"/>
        <family val="2"/>
      </rPr>
      <t>Migliore, Hugo S.</t>
    </r>
  </si>
  <si>
    <t>https://www.tenisdemesaparatodos.com/jugadores_ficha.asp?codigo=28589</t>
  </si>
  <si>
    <r>
      <rPr>
        <sz val="9"/>
        <rFont val="Arial MT"/>
        <family val="2"/>
      </rPr>
      <t>Suarez, Marcos</t>
    </r>
  </si>
  <si>
    <t>https://www.tenisdemesaparatodos.com/jugadores_ficha.asp?codigo=29467</t>
  </si>
  <si>
    <r>
      <rPr>
        <sz val="9"/>
        <rFont val="Arial MT"/>
        <family val="2"/>
      </rPr>
      <t>Puzone, Fabio M.</t>
    </r>
  </si>
  <si>
    <t>https://www.tenisdemesaparatodos.com/jugadores_ficha.asp?codigo=29257</t>
  </si>
  <si>
    <r>
      <rPr>
        <sz val="9"/>
        <rFont val="Arial MT"/>
        <family val="2"/>
      </rPr>
      <t>CEDIMA</t>
    </r>
  </si>
  <si>
    <r>
      <rPr>
        <sz val="9"/>
        <rFont val="Arial MT"/>
        <family val="2"/>
      </rPr>
      <t>Velazquez, Bruno</t>
    </r>
  </si>
  <si>
    <t>https://www.tenisdemesaparatodos.com/jugadores_ficha.asp?codigo=14750</t>
  </si>
  <si>
    <r>
      <rPr>
        <sz val="9"/>
        <rFont val="Arial MT"/>
        <family val="2"/>
      </rPr>
      <t>Perez, Alejandro</t>
    </r>
  </si>
  <si>
    <t>https://www.tenisdemesaparatodos.com/jugadores_ficha.asp?codigo=7497</t>
  </si>
  <si>
    <r>
      <rPr>
        <sz val="9"/>
        <rFont val="Arial MT"/>
        <family val="2"/>
      </rPr>
      <t>Mariño, Naomí</t>
    </r>
  </si>
  <si>
    <t>https://www.tenisdemesaparatodos.com/jugadores_ficha.asp?codigo=14848</t>
  </si>
  <si>
    <r>
      <rPr>
        <sz val="9"/>
        <rFont val="Arial MT"/>
        <family val="2"/>
      </rPr>
      <t>Paz, Facundo J.</t>
    </r>
  </si>
  <si>
    <t>https://www.tenisdemesaparatodos.com/jugadores_ficha.asp?codigo=24926</t>
  </si>
  <si>
    <r>
      <rPr>
        <sz val="9"/>
        <rFont val="Arial MT"/>
        <family val="2"/>
      </rPr>
      <t>Romero, Thiago M.</t>
    </r>
  </si>
  <si>
    <t>https://www.tenisdemesaparatodos.com/jugadores_ficha.asp?codigo=20761</t>
  </si>
  <si>
    <r>
      <rPr>
        <sz val="9"/>
        <rFont val="Arial MT"/>
        <family val="2"/>
      </rPr>
      <t>Muzachiodi, Matias</t>
    </r>
  </si>
  <si>
    <t>https://www.tenisdemesaparatodos.com/jugadores_ficha.asp?codigo=18001</t>
  </si>
  <si>
    <r>
      <rPr>
        <sz val="9"/>
        <rFont val="Arial MT"/>
        <family val="2"/>
      </rPr>
      <t>Romero, Brandon</t>
    </r>
  </si>
  <si>
    <t>https://www.tenisdemesaparatodos.com/jugadores_ficha.asp?codigo=22253</t>
  </si>
  <si>
    <r>
      <rPr>
        <sz val="9"/>
        <rFont val="Arial MT"/>
        <family val="2"/>
      </rPr>
      <t>Iturriza, Ramiro</t>
    </r>
  </si>
  <si>
    <t>https://www.tenisdemesaparatodos.com/jugadores_ficha.asp?codigo=28680</t>
  </si>
  <si>
    <r>
      <rPr>
        <sz val="9"/>
        <rFont val="Arial MT"/>
        <family val="2"/>
      </rPr>
      <t>Maciel, Ruben Mariano</t>
    </r>
  </si>
  <si>
    <t>https://www.tenisdemesaparatodos.com/jugadores_ficha.asp?codigo=15633</t>
  </si>
  <si>
    <r>
      <rPr>
        <sz val="9"/>
        <rFont val="Arial MT"/>
        <family val="2"/>
      </rPr>
      <t>Gonzalez, Gabriel A.</t>
    </r>
  </si>
  <si>
    <t>https://www.tenisdemesaparatodos.com/jugadores_ficha.asp?codigo=2160</t>
  </si>
  <si>
    <r>
      <rPr>
        <sz val="9"/>
        <rFont val="Arial MT"/>
        <family val="2"/>
      </rPr>
      <t>Uzcategui, Hector R.</t>
    </r>
  </si>
  <si>
    <t>https://www.tenisdemesaparatodos.com/jugadores_ficha.asp?codigo=28702</t>
  </si>
  <si>
    <r>
      <rPr>
        <sz val="9"/>
        <rFont val="Arial MT"/>
        <family val="2"/>
      </rPr>
      <t>Rivas, Fabrizio</t>
    </r>
  </si>
  <si>
    <t>https://www.tenisdemesaparatodos.com/jugadores_ficha.asp?codigo=22484</t>
  </si>
  <si>
    <r>
      <rPr>
        <sz val="9"/>
        <rFont val="Arial MT"/>
        <family val="2"/>
      </rPr>
      <t>Circulo Campano</t>
    </r>
  </si>
  <si>
    <r>
      <rPr>
        <sz val="9"/>
        <rFont val="Arial MT"/>
        <family val="2"/>
      </rPr>
      <t>Circulo Campano A</t>
    </r>
  </si>
  <si>
    <r>
      <rPr>
        <sz val="9"/>
        <rFont val="Arial MT"/>
        <family val="2"/>
      </rPr>
      <t>Corral, Ignacio S.</t>
    </r>
  </si>
  <si>
    <t>https://www.tenisdemesaparatodos.com/jugadores_ficha.asp?codigo=13009</t>
  </si>
  <si>
    <r>
      <rPr>
        <sz val="9"/>
        <rFont val="Arial MT"/>
        <family val="2"/>
      </rPr>
      <t>Cipollone, Juan Manuel</t>
    </r>
  </si>
  <si>
    <t>https://www.tenisdemesaparatodos.com/jugadores_ficha.asp?codigo=5439</t>
  </si>
  <si>
    <r>
      <rPr>
        <sz val="9"/>
        <rFont val="Arial MT"/>
        <family val="2"/>
      </rPr>
      <t>Areco, Santiago</t>
    </r>
  </si>
  <si>
    <t>https://www.tenisdemesaparatodos.com/jugadores_ficha.asp?codigo=28837</t>
  </si>
  <si>
    <r>
      <rPr>
        <sz val="9"/>
        <rFont val="Arial MT"/>
        <family val="2"/>
      </rPr>
      <t>Peralta, Leonardo E.</t>
    </r>
  </si>
  <si>
    <t>https://www.tenisdemesaparatodos.com/jugadores_ficha.asp?codigo=11675</t>
  </si>
  <si>
    <r>
      <rPr>
        <sz val="9"/>
        <rFont val="Arial MT"/>
        <family val="2"/>
      </rPr>
      <t>Bof, Leandro P.</t>
    </r>
  </si>
  <si>
    <t>https://www.tenisdemesaparatodos.com/jugadores_ficha.asp?codigo=21355</t>
  </si>
  <si>
    <r>
      <rPr>
        <sz val="9"/>
        <rFont val="Arial MT"/>
        <family val="2"/>
      </rPr>
      <t>Meckievi, Lautaro</t>
    </r>
  </si>
  <si>
    <t>https://www.tenisdemesaparatodos.com/jugadores_ficha.asp?codigo=3410</t>
  </si>
  <si>
    <r>
      <rPr>
        <sz val="9"/>
        <rFont val="Arial MT"/>
        <family val="2"/>
      </rPr>
      <t>Casco, Juan Pablo</t>
    </r>
  </si>
  <si>
    <t>https://www.tenisdemesaparatodos.com/jugadores_ficha.asp?codigo=13166</t>
  </si>
  <si>
    <r>
      <rPr>
        <sz val="9"/>
        <rFont val="Arial MT"/>
        <family val="2"/>
      </rPr>
      <t>Curcio, Horacio</t>
    </r>
  </si>
  <si>
    <t>https://www.tenisdemesaparatodos.com/jugadores_ficha.asp?codigo=7491</t>
  </si>
  <si>
    <r>
      <rPr>
        <sz val="9"/>
        <rFont val="Arial MT"/>
        <family val="2"/>
      </rPr>
      <t>Circulo Campano B</t>
    </r>
  </si>
  <si>
    <r>
      <rPr>
        <sz val="9"/>
        <rFont val="Arial MT"/>
        <family val="2"/>
      </rPr>
      <t>Zic, Juan</t>
    </r>
  </si>
  <si>
    <t>https://www.tenisdemesaparatodos.com/jugadores_ficha.asp?codigo=24666</t>
  </si>
  <si>
    <r>
      <rPr>
        <sz val="9"/>
        <rFont val="Arial MT"/>
        <family val="2"/>
      </rPr>
      <t>Ramirez, Martin G.</t>
    </r>
  </si>
  <si>
    <t>https://www.tenisdemesaparatodos.com/jugadores_ficha.asp?codigo=18418</t>
  </si>
  <si>
    <r>
      <rPr>
        <sz val="9"/>
        <rFont val="Arial MT"/>
        <family val="2"/>
      </rPr>
      <t>Otero, Francisco</t>
    </r>
  </si>
  <si>
    <t>https://www.tenisdemesaparatodos.com/jugadores_ficha.asp?codigo=21049</t>
  </si>
  <si>
    <r>
      <rPr>
        <sz val="9"/>
        <rFont val="Arial MT"/>
        <family val="2"/>
      </rPr>
      <t>Correa, Maximo</t>
    </r>
  </si>
  <si>
    <t>https://www.tenisdemesaparatodos.com/jugadores_ficha.asp?codigo=27271</t>
  </si>
  <si>
    <r>
      <rPr>
        <sz val="9"/>
        <rFont val="Arial MT"/>
        <family val="2"/>
      </rPr>
      <t>Casal, Mateo Leon</t>
    </r>
  </si>
  <si>
    <t>https://www.tenisdemesaparatodos.com/jugadores_ficha.asp?codigo=20581</t>
  </si>
  <si>
    <r>
      <rPr>
        <sz val="9"/>
        <rFont val="Arial MT"/>
        <family val="2"/>
      </rPr>
      <t>Carrizo, Rafael J.</t>
    </r>
  </si>
  <si>
    <t>https://www.tenisdemesaparatodos.com/jugadores_ficha.asp?codigo=21416</t>
  </si>
  <si>
    <r>
      <rPr>
        <sz val="9"/>
        <rFont val="Arial MT"/>
        <family val="2"/>
      </rPr>
      <t>Martire, Daniel A</t>
    </r>
  </si>
  <si>
    <t>https://www.tenisdemesaparatodos.com/jugadores_ficha.asp?codigo=13911</t>
  </si>
  <si>
    <r>
      <rPr>
        <sz val="9"/>
        <rFont val="Arial MT"/>
        <family val="2"/>
      </rPr>
      <t>Chen, Brian Valentin</t>
    </r>
  </si>
  <si>
    <t>https://www.tenisdemesaparatodos.com/jugadores_ficha.asp?codigo=20607</t>
  </si>
  <si>
    <r>
      <rPr>
        <sz val="9"/>
        <rFont val="Arial MT"/>
        <family val="2"/>
      </rPr>
      <t>Círculo Michelangelo</t>
    </r>
  </si>
  <si>
    <r>
      <rPr>
        <sz val="9"/>
        <rFont val="Arial MT"/>
        <family val="2"/>
      </rPr>
      <t>Casal, Octavio</t>
    </r>
  </si>
  <si>
    <t>https://www.tenisdemesaparatodos.com/jugadores_ficha.asp?codigo=593</t>
  </si>
  <si>
    <r>
      <rPr>
        <sz val="9"/>
        <rFont val="Arial MT"/>
        <family val="2"/>
      </rPr>
      <t>Sanchez, Ariel H.</t>
    </r>
  </si>
  <si>
    <t>https://www.tenisdemesaparatodos.com/jugadores_ficha.asp?codigo=10896</t>
  </si>
  <si>
    <r>
      <rPr>
        <sz val="9"/>
        <rFont val="Arial MT"/>
        <family val="2"/>
      </rPr>
      <t>Storni, Gino</t>
    </r>
  </si>
  <si>
    <t>https://www.tenisdemesaparatodos.com/jugadores_ficha.asp?codigo=8981</t>
  </si>
  <si>
    <r>
      <rPr>
        <sz val="9"/>
        <rFont val="Arial MT"/>
        <family val="2"/>
      </rPr>
      <t>Salazar, Ramón</t>
    </r>
  </si>
  <si>
    <t>https://www.tenisdemesaparatodos.com/jugadores_ficha.asp?codigo=1609</t>
  </si>
  <si>
    <r>
      <rPr>
        <sz val="9"/>
        <rFont val="Arial MT"/>
        <family val="2"/>
      </rPr>
      <t>Quiroga, Edgardo Mariano</t>
    </r>
  </si>
  <si>
    <t>https://www.tenisdemesaparatodos.com/jugadores_ficha.asp?codigo=20020</t>
  </si>
  <si>
    <r>
      <rPr>
        <sz val="9"/>
        <rFont val="Arial MT"/>
        <family val="2"/>
      </rPr>
      <t>Altamirano, Ian L.</t>
    </r>
  </si>
  <si>
    <t>https://www.tenisdemesaparatodos.com/jugadores_ficha.asp?codigo=28218</t>
  </si>
  <si>
    <r>
      <rPr>
        <sz val="9"/>
        <rFont val="Arial MT"/>
        <family val="2"/>
      </rPr>
      <t>Sansegundo, Federico</t>
    </r>
  </si>
  <si>
    <t>https://www.tenisdemesaparatodos.com/jugadores_ficha.asp?codigo=2548</t>
  </si>
  <si>
    <r>
      <rPr>
        <sz val="9"/>
        <rFont val="Arial MT"/>
        <family val="2"/>
      </rPr>
      <t>Guadano, Alejandro</t>
    </r>
  </si>
  <si>
    <t>https://www.tenisdemesaparatodos.com/jugadores_ficha.asp?codigo=14062</t>
  </si>
  <si>
    <r>
      <rPr>
        <sz val="9"/>
        <rFont val="Arial MT"/>
        <family val="2"/>
      </rPr>
      <t>Piris, Leandro</t>
    </r>
  </si>
  <si>
    <t>https://www.tenisdemesaparatodos.com/jugadores_ficha.asp?codigo=24945</t>
  </si>
  <si>
    <r>
      <rPr>
        <sz val="9"/>
        <rFont val="Arial MT"/>
        <family val="2"/>
      </rPr>
      <t>Loustric, Rolando</t>
    </r>
  </si>
  <si>
    <t>https://www.tenisdemesaparatodos.com/jugadores_ficha.asp?codigo=553</t>
  </si>
  <si>
    <r>
      <rPr>
        <sz val="9"/>
        <rFont val="Arial MT"/>
        <family val="2"/>
      </rPr>
      <t>Lukacs, Hernan</t>
    </r>
  </si>
  <si>
    <t>https://www.tenisdemesaparatodos.com/jugadores_ficha.asp?codigo=25776</t>
  </si>
  <si>
    <r>
      <rPr>
        <sz val="9"/>
        <rFont val="Arial MT"/>
        <family val="2"/>
      </rPr>
      <t>Garcia, Bautista</t>
    </r>
  </si>
  <si>
    <t>https://www.tenisdemesaparatodos.com/jugadores_ficha.asp?codigo=19044</t>
  </si>
  <si>
    <r>
      <rPr>
        <sz val="9"/>
        <rFont val="Arial MT"/>
        <family val="2"/>
      </rPr>
      <t>Padin, Lucas</t>
    </r>
  </si>
  <si>
    <t>https://www.tenisdemesaparatodos.com/jugadores_ficha.asp?codigo=28636</t>
  </si>
  <si>
    <r>
      <rPr>
        <sz val="9"/>
        <rFont val="Arial MT"/>
        <family val="2"/>
      </rPr>
      <t>Caruso, Juan</t>
    </r>
  </si>
  <si>
    <t>https://www.tenisdemesaparatodos.com/jugadores_ficha.asp?codigo=25342</t>
  </si>
  <si>
    <r>
      <rPr>
        <sz val="9"/>
        <rFont val="Arial MT"/>
        <family val="2"/>
      </rPr>
      <t>Mattos, Walter</t>
    </r>
  </si>
  <si>
    <t>https://www.tenisdemesaparatodos.com/jugadores_ficha.asp?codigo=13243</t>
  </si>
  <si>
    <r>
      <rPr>
        <sz val="9"/>
        <rFont val="Arial MT"/>
        <family val="2"/>
      </rPr>
      <t>Padin, Santiago</t>
    </r>
  </si>
  <si>
    <t>https://www.tenisdemesaparatodos.com/jugadores_ficha.asp?codigo=4207</t>
  </si>
  <si>
    <r>
      <rPr>
        <sz val="9"/>
        <rFont val="Arial MT"/>
        <family val="2"/>
      </rPr>
      <t>Duperre, Franco</t>
    </r>
  </si>
  <si>
    <t>https://www.tenisdemesaparatodos.com/jugadores_ficha.asp?codigo=28639</t>
  </si>
  <si>
    <r>
      <rPr>
        <sz val="9"/>
        <rFont val="Arial MT"/>
        <family val="2"/>
      </rPr>
      <t>Lukacs, German</t>
    </r>
  </si>
  <si>
    <r>
      <rPr>
        <sz val="9"/>
        <rFont val="Arial MT"/>
        <family val="2"/>
      </rPr>
      <t>Mouriño, Matias</t>
    </r>
  </si>
  <si>
    <t>https://www.tenisdemesaparatodos.com/jugadores_ficha.asp?codigo=4477</t>
  </si>
  <si>
    <r>
      <rPr>
        <sz val="9"/>
        <rFont val="Arial MT"/>
        <family val="2"/>
      </rPr>
      <t>Padin, Gustavo</t>
    </r>
  </si>
  <si>
    <t>https://www.tenisdemesaparatodos.com/jugadores_ficha.asp?codigo=2854</t>
  </si>
  <si>
    <r>
      <rPr>
        <sz val="9"/>
        <rFont val="Arial MT"/>
        <family val="2"/>
      </rPr>
      <t>Padin, Norberto</t>
    </r>
  </si>
  <si>
    <r>
      <rPr>
        <sz val="9"/>
        <rFont val="Arial MT"/>
        <family val="2"/>
      </rPr>
      <t>Campi, Rodolfo</t>
    </r>
  </si>
  <si>
    <t>https://www.tenisdemesaparatodos.com/jugadores_ficha.asp?codigo=27878</t>
  </si>
  <si>
    <r>
      <rPr>
        <sz val="9"/>
        <rFont val="Arial MT"/>
        <family val="2"/>
      </rPr>
      <t>Circulo SyD del Once</t>
    </r>
  </si>
  <si>
    <r>
      <rPr>
        <sz val="9"/>
        <rFont val="Arial MT"/>
        <family val="2"/>
      </rPr>
      <t>Ciancio, Nicolás</t>
    </r>
  </si>
  <si>
    <t>https://www.tenisdemesaparatodos.com/jugadores_ficha.asp?codigo=4520</t>
  </si>
  <si>
    <r>
      <rPr>
        <sz val="9"/>
        <rFont val="Arial MT"/>
        <family val="2"/>
      </rPr>
      <t>Alvarez, Felipe</t>
    </r>
  </si>
  <si>
    <t>https://www.tenisdemesaparatodos.com/jugadores_ficha.asp?codigo=18063</t>
  </si>
  <si>
    <r>
      <rPr>
        <sz val="9"/>
        <rFont val="Arial MT"/>
        <family val="2"/>
      </rPr>
      <t>Guillen Ramirez, Jose A.</t>
    </r>
  </si>
  <si>
    <t>https://www.tenisdemesaparatodos.com/jugadores_ficha.asp?codigo=21666</t>
  </si>
  <si>
    <r>
      <rPr>
        <sz val="9"/>
        <rFont val="Arial MT"/>
        <family val="2"/>
      </rPr>
      <t>Caro Ruiz, Benjamin</t>
    </r>
  </si>
  <si>
    <t>https://www.tenisdemesaparatodos.com/jugadores_ficha.asp?codigo=18911</t>
  </si>
  <si>
    <r>
      <rPr>
        <sz val="9"/>
        <rFont val="Arial MT"/>
        <family val="2"/>
      </rPr>
      <t>Crovara, Alberto</t>
    </r>
  </si>
  <si>
    <t>https://www.tenisdemesaparatodos.com/jugadores_ficha.asp?codigo=22718</t>
  </si>
  <si>
    <r>
      <rPr>
        <sz val="9"/>
        <rFont val="Arial MT"/>
        <family val="2"/>
      </rPr>
      <t>Selvaggi, Fabián</t>
    </r>
  </si>
  <si>
    <t>https://www.tenisdemesaparatodos.com/jugadores_ficha.asp?codigo=2513</t>
  </si>
  <si>
    <r>
      <rPr>
        <sz val="9"/>
        <rFont val="Arial MT"/>
        <family val="2"/>
      </rPr>
      <t>Persico, Axel</t>
    </r>
  </si>
  <si>
    <t>https://www.tenisdemesaparatodos.com/jugadores_ficha.asp?codigo=6736</t>
  </si>
  <si>
    <r>
      <rPr>
        <sz val="9"/>
        <rFont val="Arial MT"/>
        <family val="2"/>
      </rPr>
      <t>Perez Villalba, Benjamin</t>
    </r>
  </si>
  <si>
    <t>https://www.tenisdemesaparatodos.com/jugadores_ficha.asp?codigo=22300</t>
  </si>
  <si>
    <r>
      <rPr>
        <sz val="9"/>
        <rFont val="Arial MT"/>
        <family val="2"/>
      </rPr>
      <t>Taira, Alan</t>
    </r>
  </si>
  <si>
    <t>https://www.tenisdemesaparatodos.com/jugadores_ficha.asp?codigo=4682</t>
  </si>
  <si>
    <r>
      <rPr>
        <sz val="9"/>
        <rFont val="Arial MT"/>
        <family val="2"/>
      </rPr>
      <t>Rosciano, Mario D.</t>
    </r>
  </si>
  <si>
    <t>https://www.tenisdemesaparatodos.com/jugadores_ficha.asp?codigo=25484</t>
  </si>
  <si>
    <r>
      <rPr>
        <sz val="9"/>
        <rFont val="Arial MT"/>
        <family val="2"/>
      </rPr>
      <t>Dominguez, Norberto</t>
    </r>
  </si>
  <si>
    <t>https://www.tenisdemesaparatodos.com/jugadores_ficha.asp?codigo=11194</t>
  </si>
  <si>
    <r>
      <rPr>
        <sz val="9"/>
        <rFont val="Arial MT"/>
        <family val="2"/>
      </rPr>
      <t>Dominguez, Luis A.</t>
    </r>
  </si>
  <si>
    <t>https://www.tenisdemesaparatodos.com/jugadores_ficha.asp?codigo=15839</t>
  </si>
  <si>
    <r>
      <rPr>
        <sz val="9"/>
        <rFont val="Arial MT"/>
        <family val="2"/>
      </rPr>
      <t>Alvarez, Javier</t>
    </r>
  </si>
  <si>
    <t>https://www.tenisdemesaparatodos.com/jugadores_ficha.asp?codigo=5883</t>
  </si>
  <si>
    <r>
      <rPr>
        <sz val="9"/>
        <rFont val="Arial MT"/>
        <family val="2"/>
      </rPr>
      <t>Caro, Daniel A.</t>
    </r>
  </si>
  <si>
    <t>https://www.tenisdemesaparatodos.com/jugadores_ficha.asp?codigo=7788</t>
  </si>
  <si>
    <r>
      <rPr>
        <sz val="9"/>
        <rFont val="Arial MT"/>
        <family val="2"/>
      </rPr>
      <t>Pachon Hernandez, Juan Pablo</t>
    </r>
  </si>
  <si>
    <t>https://www.tenisdemesaparatodos.com/jugadores_ficha.asp?codigo=22214</t>
  </si>
  <si>
    <r>
      <rPr>
        <sz val="9"/>
        <rFont val="Arial MT"/>
        <family val="2"/>
      </rPr>
      <t>Da Rocha Domingues, Jose M.</t>
    </r>
  </si>
  <si>
    <t>https://www.tenisdemesaparatodos.com/jugadores_ficha.asp?codigo=20156</t>
  </si>
  <si>
    <r>
      <rPr>
        <sz val="9"/>
        <rFont val="Arial MT"/>
        <family val="2"/>
      </rPr>
      <t>Gracia, Roberto</t>
    </r>
  </si>
  <si>
    <t>https://www.tenisdemesaparatodos.com/jugadores_ficha.asp?codigo=14200</t>
  </si>
  <si>
    <r>
      <rPr>
        <sz val="9"/>
        <rFont val="Arial MT"/>
        <family val="2"/>
      </rPr>
      <t>Dalia, Pablo A.</t>
    </r>
  </si>
  <si>
    <t>https://www.tenisdemesaparatodos.com/jugadores_ficha.asp?codigo=24170</t>
  </si>
  <si>
    <r>
      <rPr>
        <sz val="9"/>
        <rFont val="Arial MT"/>
        <family val="2"/>
      </rPr>
      <t>Ayub, Malek</t>
    </r>
  </si>
  <si>
    <t>https://www.tenisdemesaparatodos.com/jugadores_ficha.asp?codigo=29139</t>
  </si>
  <si>
    <r>
      <rPr>
        <sz val="9"/>
        <rFont val="Arial MT"/>
        <family val="2"/>
      </rPr>
      <t>Club 4F</t>
    </r>
  </si>
  <si>
    <r>
      <rPr>
        <sz val="9"/>
        <rFont val="Arial MT"/>
        <family val="2"/>
      </rPr>
      <t>Arnalda, Alejandro</t>
    </r>
  </si>
  <si>
    <t>https://www.tenisdemesaparatodos.com/jugadores_ficha.asp?codigo=59</t>
  </si>
  <si>
    <r>
      <rPr>
        <sz val="9"/>
        <rFont val="Arial MT"/>
        <family val="2"/>
      </rPr>
      <t>Joniak, Diego A.</t>
    </r>
  </si>
  <si>
    <t>https://www.tenisdemesaparatodos.com/jugadores_ficha.asp?codigo=2179</t>
  </si>
  <si>
    <r>
      <rPr>
        <sz val="9"/>
        <rFont val="Arial MT"/>
        <family val="2"/>
      </rPr>
      <t>Silban, Cesar F.</t>
    </r>
  </si>
  <si>
    <t>https://www.tenisdemesaparatodos.com/jugadores_ficha.asp?codigo=25979</t>
  </si>
  <si>
    <r>
      <rPr>
        <sz val="9"/>
        <rFont val="Arial MT"/>
        <family val="2"/>
      </rPr>
      <t>Espinar, Agustin F.</t>
    </r>
  </si>
  <si>
    <t>https://www.tenisdemesaparatodos.com/jugadores_ficha.asp?codigo=14450</t>
  </si>
  <si>
    <r>
      <rPr>
        <sz val="9"/>
        <rFont val="Arial MT"/>
        <family val="2"/>
      </rPr>
      <t>Aguirre, Ricardo</t>
    </r>
  </si>
  <si>
    <t>https://www.tenisdemesaparatodos.com/jugadores_ficha.asp?codigo=23691</t>
  </si>
  <si>
    <r>
      <rPr>
        <sz val="9"/>
        <rFont val="Arial MT"/>
        <family val="2"/>
      </rPr>
      <t>Saavedra Rojas, Marvin</t>
    </r>
  </si>
  <si>
    <t>https://www.tenisdemesaparatodos.com/jugadores_ficha.asp?codigo=28457</t>
  </si>
  <si>
    <r>
      <rPr>
        <sz val="9"/>
        <rFont val="Arial MT"/>
        <family val="2"/>
      </rPr>
      <t>Espinar, Rodrigo M.</t>
    </r>
  </si>
  <si>
    <t>https://www.tenisdemesaparatodos.com/jugadores_ficha.asp?codigo=14451</t>
  </si>
  <si>
    <r>
      <rPr>
        <sz val="9"/>
        <rFont val="Arial MT"/>
        <family val="2"/>
      </rPr>
      <t>Ovelar Arismendi, Laura</t>
    </r>
  </si>
  <si>
    <t>https://www.tenisdemesaparatodos.com/jugadores_ficha.asp?codigo=24618</t>
  </si>
  <si>
    <r>
      <rPr>
        <sz val="9"/>
        <rFont val="Arial MT"/>
        <family val="2"/>
      </rPr>
      <t>Egües, Javier M.</t>
    </r>
  </si>
  <si>
    <t>https://www.tenisdemesaparatodos.com/jugadores_ficha.asp?codigo=24608</t>
  </si>
  <si>
    <r>
      <rPr>
        <sz val="9"/>
        <rFont val="Arial MT"/>
        <family val="2"/>
      </rPr>
      <t>Mancilla, Victor D.</t>
    </r>
  </si>
  <si>
    <t>https://www.tenisdemesaparatodos.com/jugadores_ficha.asp?codigo=15091</t>
  </si>
  <si>
    <r>
      <rPr>
        <sz val="9"/>
        <rFont val="Arial MT"/>
        <family val="2"/>
      </rPr>
      <t>Serrenho, Sergio</t>
    </r>
  </si>
  <si>
    <t>https://www.tenisdemesaparatodos.com/jugadores_ficha.asp?codigo=24548</t>
  </si>
  <si>
    <r>
      <rPr>
        <sz val="9"/>
        <rFont val="Arial MT"/>
        <family val="2"/>
      </rPr>
      <t>Pedro, Matias H.</t>
    </r>
  </si>
  <si>
    <t>https://www.tenisdemesaparatodos.com/jugadores_ficha.asp?codigo=11114</t>
  </si>
  <si>
    <r>
      <rPr>
        <sz val="9"/>
        <rFont val="Arial MT"/>
        <family val="2"/>
      </rPr>
      <t>CTDM Pato Nizetich</t>
    </r>
  </si>
  <si>
    <r>
      <rPr>
        <sz val="9"/>
        <rFont val="Arial MT"/>
        <family val="2"/>
      </rPr>
      <t>Medina, Nicolas</t>
    </r>
  </si>
  <si>
    <t>https://www.tenisdemesaparatodos.com/jugadores_ficha.asp?codigo=14764</t>
  </si>
  <si>
    <r>
      <rPr>
        <sz val="9"/>
        <rFont val="Arial MT"/>
        <family val="2"/>
      </rPr>
      <t>Werner, Fabian</t>
    </r>
  </si>
  <si>
    <t>https://www.tenisdemesaparatodos.com/jugadores_ficha.asp?codigo=8252</t>
  </si>
  <si>
    <r>
      <rPr>
        <sz val="9"/>
        <rFont val="Arial MT"/>
        <family val="2"/>
      </rPr>
      <t>Medina, Sebastian</t>
    </r>
  </si>
  <si>
    <t>https://www.tenisdemesaparatodos.com/jugadores_ficha.asp?codigo=14774</t>
  </si>
  <si>
    <r>
      <rPr>
        <sz val="9"/>
        <rFont val="Arial MT"/>
        <family val="2"/>
      </rPr>
      <t>Furones, Matías</t>
    </r>
  </si>
  <si>
    <t>https://www.tenisdemesaparatodos.com/jugadores_ficha.asp?codigo=948</t>
  </si>
  <si>
    <r>
      <rPr>
        <sz val="9"/>
        <rFont val="Arial MT"/>
        <family val="2"/>
      </rPr>
      <t>Slipak, Sergio D.</t>
    </r>
  </si>
  <si>
    <t>https://www.tenisdemesaparatodos.com/jugadores_ficha.asp?codigo=8123</t>
  </si>
  <si>
    <r>
      <rPr>
        <sz val="9"/>
        <rFont val="Arial MT"/>
        <family val="2"/>
      </rPr>
      <t>Carrizo, Gabriel O.</t>
    </r>
  </si>
  <si>
    <t>https://www.tenisdemesaparatodos.com/jugadores_ficha.asp?codigo=26166</t>
  </si>
  <si>
    <r>
      <rPr>
        <sz val="9"/>
        <rFont val="Arial MT"/>
        <family val="2"/>
      </rPr>
      <t>Bao, Santiago</t>
    </r>
  </si>
  <si>
    <t>https://www.tenisdemesaparatodos.com/jugadores_ficha.asp?codigo=26667</t>
  </si>
  <si>
    <r>
      <rPr>
        <sz val="9"/>
        <rFont val="Arial MT"/>
        <family val="2"/>
      </rPr>
      <t>Ponce De Leon, Fernando</t>
    </r>
  </si>
  <si>
    <t>https://www.tenisdemesaparatodos.com/jugadores_ficha.asp?codigo=10079</t>
  </si>
  <si>
    <r>
      <rPr>
        <sz val="9"/>
        <rFont val="Arial MT"/>
        <family val="2"/>
      </rPr>
      <t>Capria, Fernando</t>
    </r>
  </si>
  <si>
    <t>https://www.tenisdemesaparatodos.com/jugadores_ficha.asp?codigo=22241</t>
  </si>
  <si>
    <r>
      <rPr>
        <sz val="9"/>
        <rFont val="Arial MT"/>
        <family val="2"/>
      </rPr>
      <t>Defazio, Adrian</t>
    </r>
  </si>
  <si>
    <t>https://www.tenisdemesaparatodos.com/jugadores_ficha.asp?codigo=21872</t>
  </si>
  <si>
    <r>
      <rPr>
        <sz val="9"/>
        <rFont val="Arial MT"/>
        <family val="2"/>
      </rPr>
      <t>Perez Poletti, Joaquin</t>
    </r>
  </si>
  <si>
    <t>https://www.tenisdemesaparatodos.com/jugadores_ficha.asp?codigo=29240</t>
  </si>
  <si>
    <r>
      <rPr>
        <sz val="9"/>
        <rFont val="Arial MT"/>
        <family val="2"/>
      </rPr>
      <t>Zanet, Julian A.</t>
    </r>
  </si>
  <si>
    <t>https://www.tenisdemesaparatodos.com/jugadores_ficha.asp?codigo=24267</t>
  </si>
  <si>
    <r>
      <rPr>
        <sz val="9"/>
        <rFont val="Arial MT"/>
        <family val="2"/>
      </rPr>
      <t>CTDM Pato Nizetich A</t>
    </r>
  </si>
  <si>
    <r>
      <rPr>
        <sz val="9"/>
        <rFont val="Arial MT"/>
        <family val="2"/>
      </rPr>
      <t>Marti, Tomas M.</t>
    </r>
  </si>
  <si>
    <t>https://www.tenisdemesaparatodos.com/jugadores_ficha.asp?codigo=2417</t>
  </si>
  <si>
    <r>
      <rPr>
        <sz val="9"/>
        <rFont val="Arial MT"/>
        <family val="2"/>
      </rPr>
      <t>Tseng, Yi</t>
    </r>
  </si>
  <si>
    <t>https://www.tenisdemesaparatodos.com/jugadores_ficha.asp?codigo=27004</t>
  </si>
  <si>
    <r>
      <rPr>
        <sz val="9"/>
        <rFont val="Arial MT"/>
        <family val="2"/>
      </rPr>
      <t>Marti, Agustin I.</t>
    </r>
  </si>
  <si>
    <t>https://www.tenisdemesaparatodos.com/jugadores_ficha.asp?codigo=24309</t>
  </si>
  <si>
    <r>
      <rPr>
        <sz val="9"/>
        <rFont val="Arial MT"/>
        <family val="2"/>
      </rPr>
      <t>Jofre, Pablo</t>
    </r>
  </si>
  <si>
    <t>https://www.tenisdemesaparatodos.com/jugadores_ficha.asp?codigo=1108</t>
  </si>
  <si>
    <r>
      <rPr>
        <sz val="9"/>
        <rFont val="Arial MT"/>
        <family val="2"/>
      </rPr>
      <t>Stiegwardt, Alejandro</t>
    </r>
  </si>
  <si>
    <t>https://www.tenisdemesaparatodos.com/jugadores_ficha.asp?codigo=14887</t>
  </si>
  <si>
    <r>
      <rPr>
        <sz val="9"/>
        <rFont val="Arial MT"/>
        <family val="2"/>
      </rPr>
      <t>Baron, Edmundo H.</t>
    </r>
  </si>
  <si>
    <t>https://www.tenisdemesaparatodos.com/jugadores_ficha.asp?codigo=23805</t>
  </si>
  <si>
    <r>
      <rPr>
        <sz val="9"/>
        <rFont val="Arial MT"/>
        <family val="2"/>
      </rPr>
      <t>Lee, Wei</t>
    </r>
  </si>
  <si>
    <t>https://www.tenisdemesaparatodos.com/jugadores_ficha.asp?codigo=24312</t>
  </si>
  <si>
    <r>
      <rPr>
        <sz val="9"/>
        <rFont val="Arial MT"/>
        <family val="2"/>
      </rPr>
      <t>CTDM Pato Nizetich B</t>
    </r>
  </si>
  <si>
    <r>
      <rPr>
        <sz val="9"/>
        <rFont val="Arial MT"/>
        <family val="2"/>
      </rPr>
      <t>Riwilis, Mateo</t>
    </r>
  </si>
  <si>
    <t>https://www.tenisdemesaparatodos.com/jugadores_ficha.asp?codigo=27103</t>
  </si>
  <si>
    <r>
      <rPr>
        <sz val="9"/>
        <rFont val="Arial MT"/>
        <family val="2"/>
      </rPr>
      <t>Bianco, Facundo</t>
    </r>
  </si>
  <si>
    <t>https://www.tenisdemesaparatodos.com/jugadores_ficha.asp?codigo=27104</t>
  </si>
  <si>
    <r>
      <rPr>
        <sz val="9"/>
        <rFont val="Arial MT"/>
        <family val="2"/>
      </rPr>
      <t>Basavilbaso, Facundo</t>
    </r>
  </si>
  <si>
    <t>https://www.tenisdemesaparatodos.com/jugadores_ficha.asp?codigo=26747</t>
  </si>
  <si>
    <r>
      <rPr>
        <sz val="9"/>
        <rFont val="Arial MT"/>
        <family val="2"/>
      </rPr>
      <t>Fondello, Luca</t>
    </r>
  </si>
  <si>
    <t>https://www.tenisdemesaparatodos.com/jugadores_ficha.asp?codigo=24154</t>
  </si>
  <si>
    <r>
      <rPr>
        <sz val="9"/>
        <rFont val="Arial MT"/>
        <family val="2"/>
      </rPr>
      <t>La Rosa, Nicolas</t>
    </r>
  </si>
  <si>
    <t>https://www.tenisdemesaparatodos.com/jugadores_ficha.asp?codigo=26927</t>
  </si>
  <si>
    <r>
      <rPr>
        <sz val="9"/>
        <rFont val="Arial MT"/>
        <family val="2"/>
      </rPr>
      <t>Gallo, Emiliano</t>
    </r>
  </si>
  <si>
    <t>https://www.tenisdemesaparatodos.com/jugadores_ficha.asp?codigo=26612</t>
  </si>
  <si>
    <r>
      <rPr>
        <sz val="9"/>
        <rFont val="Arial MT"/>
        <family val="2"/>
      </rPr>
      <t>Def. Santos Lugares</t>
    </r>
  </si>
  <si>
    <r>
      <rPr>
        <sz val="9"/>
        <rFont val="Arial MT"/>
        <family val="2"/>
      </rPr>
      <t>Rodriguez Montanari, Lucas</t>
    </r>
  </si>
  <si>
    <t>https://www.tenisdemesaparatodos.com/jugadores_ficha.asp?codigo=4017</t>
  </si>
  <si>
    <r>
      <rPr>
        <sz val="9"/>
        <rFont val="Arial MT"/>
        <family val="2"/>
      </rPr>
      <t>Perret, Danel I.</t>
    </r>
  </si>
  <si>
    <t>https://www.tenisdemesaparatodos.com/jugadores_ficha.asp?codigo=356</t>
  </si>
  <si>
    <r>
      <rPr>
        <sz val="9"/>
        <rFont val="Arial MT"/>
        <family val="2"/>
      </rPr>
      <t>Curotto, Patricia</t>
    </r>
  </si>
  <si>
    <t>https://www.tenisdemesaparatodos.com/jugadores_ficha.asp?codigo=14537</t>
  </si>
  <si>
    <r>
      <rPr>
        <sz val="9"/>
        <rFont val="Arial MT"/>
        <family val="2"/>
      </rPr>
      <t>Santucho, Alexis</t>
    </r>
  </si>
  <si>
    <t>https://www.tenisdemesaparatodos.com/jugadores_ficha.asp?codigo=22377</t>
  </si>
  <si>
    <r>
      <rPr>
        <sz val="9"/>
        <rFont val="Arial MT"/>
        <family val="2"/>
      </rPr>
      <t>Digifico, Rodrigo E.</t>
    </r>
  </si>
  <si>
    <t>https://www.tenisdemesaparatodos.com/jugadores_ficha.asp?codigo=22116</t>
  </si>
  <si>
    <r>
      <rPr>
        <sz val="9"/>
        <rFont val="Arial MT"/>
        <family val="2"/>
      </rPr>
      <t>Schmit, Horacio N.</t>
    </r>
  </si>
  <si>
    <t>https://www.tenisdemesaparatodos.com/jugadores_ficha.asp?codigo=2397</t>
  </si>
  <si>
    <r>
      <rPr>
        <sz val="9"/>
        <rFont val="Arial MT"/>
        <family val="2"/>
      </rPr>
      <t>Carnevale, Gabriel</t>
    </r>
  </si>
  <si>
    <t>https://www.tenisdemesaparatodos.com/jugadores_ficha.asp?codigo=289</t>
  </si>
  <si>
    <r>
      <rPr>
        <sz val="9"/>
        <rFont val="Arial MT"/>
        <family val="2"/>
      </rPr>
      <t>Gomez, Fernando D.</t>
    </r>
  </si>
  <si>
    <t>https://www.tenisdemesaparatodos.com/jugadores_ficha.asp?codigo=23251</t>
  </si>
  <si>
    <r>
      <rPr>
        <sz val="9"/>
        <rFont val="Arial MT"/>
        <family val="2"/>
      </rPr>
      <t>Loyola Piña, Henry</t>
    </r>
  </si>
  <si>
    <t>https://www.tenisdemesaparatodos.com/jugadores_ficha.asp?codigo=27128</t>
  </si>
  <si>
    <r>
      <rPr>
        <sz val="9"/>
        <rFont val="Arial MT"/>
        <family val="2"/>
      </rPr>
      <t>Lasry, Nicolas</t>
    </r>
  </si>
  <si>
    <t>https://www.tenisdemesaparatodos.com/jugadores_ficha.asp?codigo=26584</t>
  </si>
  <si>
    <r>
      <rPr>
        <sz val="9"/>
        <rFont val="Arial MT"/>
        <family val="2"/>
      </rPr>
      <t>Adad, Walter R.</t>
    </r>
  </si>
  <si>
    <t>https://www.tenisdemesaparatodos.com/jugadores_ficha.asp?codigo=21417</t>
  </si>
  <si>
    <r>
      <rPr>
        <sz val="9"/>
        <rFont val="Arial MT"/>
        <family val="2"/>
      </rPr>
      <t>Valerio, Santiago</t>
    </r>
  </si>
  <si>
    <t>https://www.tenisdemesaparatodos.com/jugadores_ficha.asp?codigo=28072</t>
  </si>
  <si>
    <r>
      <rPr>
        <sz val="9"/>
        <rFont val="Arial MT"/>
        <family val="2"/>
      </rPr>
      <t>Reymundi, Jose Luis</t>
    </r>
  </si>
  <si>
    <t>https://www.tenisdemesaparatodos.com/jugadores_ficha.asp?codigo=21743</t>
  </si>
  <si>
    <r>
      <rPr>
        <sz val="9"/>
        <rFont val="Arial MT"/>
        <family val="2"/>
      </rPr>
      <t>Mellera, Arnaldo M.</t>
    </r>
  </si>
  <si>
    <t>https://www.tenisdemesaparatodos.com/jugadores_ficha.asp?codigo=26017</t>
  </si>
  <si>
    <r>
      <rPr>
        <sz val="9"/>
        <rFont val="Arial MT"/>
        <family val="2"/>
      </rPr>
      <t>Bovone, Fernando</t>
    </r>
  </si>
  <si>
    <t>https://www.tenisdemesaparatodos.com/jugadores_ficha.asp?codigo=23194</t>
  </si>
  <si>
    <r>
      <rPr>
        <sz val="9"/>
        <rFont val="Arial MT"/>
        <family val="2"/>
      </rPr>
      <t>Jimenez, Facundo L.</t>
    </r>
  </si>
  <si>
    <t>https://www.tenisdemesaparatodos.com/jugadores_ficha.asp?codigo=6914</t>
  </si>
  <si>
    <r>
      <rPr>
        <sz val="9"/>
        <rFont val="Arial MT"/>
        <family val="2"/>
      </rPr>
      <t>Amoedo, Hugo</t>
    </r>
  </si>
  <si>
    <t>https://www.tenisdemesaparatodos.com/jugadores_ficha.asp?codigo=8705</t>
  </si>
  <si>
    <r>
      <rPr>
        <sz val="9"/>
        <rFont val="Arial MT"/>
        <family val="2"/>
      </rPr>
      <t>Barreto, Reynaldo</t>
    </r>
  </si>
  <si>
    <t>https://www.tenisdemesaparatodos.com/jugadores_ficha.asp?codigo=16038</t>
  </si>
  <si>
    <r>
      <rPr>
        <sz val="9"/>
        <rFont val="Arial MT"/>
        <family val="2"/>
      </rPr>
      <t>Moraga Ortega, Cecilia</t>
    </r>
  </si>
  <si>
    <t>https://www.tenisdemesaparatodos.com/jugadores_ficha.asp?codigo=9082</t>
  </si>
  <si>
    <r>
      <rPr>
        <sz val="9"/>
        <rFont val="Arial MT"/>
        <family val="2"/>
      </rPr>
      <t>Rollhaiser, Hector</t>
    </r>
  </si>
  <si>
    <t>https://www.tenisdemesaparatodos.com/jugadores_ficha.asp?codigo=28892</t>
  </si>
  <si>
    <r>
      <rPr>
        <sz val="9"/>
        <rFont val="Arial MT"/>
        <family val="2"/>
      </rPr>
      <t>Pagliuca, Agustin</t>
    </r>
  </si>
  <si>
    <t>https://www.tenisdemesaparatodos.com/jugadores_ficha.asp?codigo=28018</t>
  </si>
  <si>
    <r>
      <rPr>
        <sz val="9"/>
        <rFont val="Arial MT"/>
        <family val="2"/>
      </rPr>
      <t>Deangeli, Alejandro</t>
    </r>
  </si>
  <si>
    <t>https://www.tenisdemesaparatodos.com/jugadores_ficha.asp?codigo=26051</t>
  </si>
  <si>
    <r>
      <rPr>
        <sz val="9"/>
        <rFont val="Arial MT"/>
        <family val="2"/>
      </rPr>
      <t>De la Vega, Francisco</t>
    </r>
  </si>
  <si>
    <t>https://www.tenisdemesaparatodos.com/jugadores_ficha.asp?codigo=27098</t>
  </si>
  <si>
    <r>
      <rPr>
        <sz val="9"/>
        <rFont val="Arial MT"/>
        <family val="2"/>
      </rPr>
      <t>Vian, Maria Jimena</t>
    </r>
  </si>
  <si>
    <t>https://www.tenisdemesaparatodos.com/jugadores_ficha.asp?codigo=26028</t>
  </si>
  <si>
    <r>
      <rPr>
        <sz val="9"/>
        <rFont val="Arial MT"/>
        <family val="2"/>
      </rPr>
      <t>Aguirre, Diego J.</t>
    </r>
  </si>
  <si>
    <t>https://www.tenisdemesaparatodos.com/jugadores_ficha.asp?codigo=28260</t>
  </si>
  <si>
    <r>
      <rPr>
        <sz val="9"/>
        <rFont val="Arial MT"/>
        <family val="2"/>
      </rPr>
      <t>El Galpong</t>
    </r>
  </si>
  <si>
    <r>
      <rPr>
        <sz val="9"/>
        <rFont val="Arial MT"/>
        <family val="2"/>
      </rPr>
      <t>Sato, Maximiliano</t>
    </r>
  </si>
  <si>
    <t>https://www.tenisdemesaparatodos.com/jugadores_ficha.asp?codigo=4832</t>
  </si>
  <si>
    <r>
      <rPr>
        <sz val="9"/>
        <rFont val="Arial MT"/>
        <family val="2"/>
      </rPr>
      <t>Samaja, Facundo</t>
    </r>
  </si>
  <si>
    <t>https://www.tenisdemesaparatodos.com/jugadores_ficha.asp?codigo=13632</t>
  </si>
  <si>
    <r>
      <rPr>
        <sz val="9"/>
        <rFont val="Arial MT"/>
        <family val="2"/>
      </rPr>
      <t>Loiseau, Alain</t>
    </r>
  </si>
  <si>
    <t>https://www.tenisdemesaparatodos.com/jugadores_ficha.asp?codigo=2586</t>
  </si>
  <si>
    <r>
      <rPr>
        <sz val="9"/>
        <rFont val="Arial MT"/>
        <family val="2"/>
      </rPr>
      <t>Ovejero, Fernando</t>
    </r>
  </si>
  <si>
    <t>https://www.tenisdemesaparatodos.com/jugadores_ficha.asp?codigo=1904</t>
  </si>
  <si>
    <r>
      <rPr>
        <sz val="9"/>
        <rFont val="Arial MT"/>
        <family val="2"/>
      </rPr>
      <t>Almiron, Esteban</t>
    </r>
  </si>
  <si>
    <t>https://www.tenisdemesaparatodos.com/jugadores_ficha.asp?codigo=8493</t>
  </si>
  <si>
    <r>
      <rPr>
        <sz val="9"/>
        <rFont val="Arial MT"/>
        <family val="2"/>
      </rPr>
      <t>Correas Espeche, Ezequiel</t>
    </r>
  </si>
  <si>
    <t>https://www.tenisdemesaparatodos.com/jugadores_ficha.asp?codigo=652</t>
  </si>
  <si>
    <r>
      <rPr>
        <sz val="9"/>
        <rFont val="Arial MT"/>
        <family val="2"/>
      </rPr>
      <t>Buquete, Luis Mariano</t>
    </r>
  </si>
  <si>
    <t>https://www.tenisdemesaparatodos.com/jugadores_ficha.asp?codigo=16762</t>
  </si>
  <si>
    <r>
      <rPr>
        <sz val="9"/>
        <rFont val="Arial MT"/>
        <family val="2"/>
      </rPr>
      <t>Docampo, Alejandro</t>
    </r>
  </si>
  <si>
    <t>https://www.tenisdemesaparatodos.com/jugadores_ficha.asp?codigo=7955</t>
  </si>
  <si>
    <r>
      <rPr>
        <sz val="9"/>
        <rFont val="Arial MT"/>
        <family val="2"/>
      </rPr>
      <t>Rodriguez, Diego</t>
    </r>
  </si>
  <si>
    <t>https://www.tenisdemesaparatodos.com/jugadores_ficha.asp?codigo=342</t>
  </si>
  <si>
    <r>
      <rPr>
        <sz val="9"/>
        <rFont val="Arial MT"/>
        <family val="2"/>
      </rPr>
      <t>Lucia, Nicolas</t>
    </r>
  </si>
  <si>
    <t>https://www.tenisdemesaparatodos.com/jugadores_ficha.asp?codigo=24200</t>
  </si>
  <si>
    <r>
      <rPr>
        <sz val="9"/>
        <rFont val="Arial MT"/>
        <family val="2"/>
      </rPr>
      <t>Caraffa, Gervasio</t>
    </r>
  </si>
  <si>
    <t>https://www.tenisdemesaparatodos.com/jugadores_ficha.asp?codigo=8094</t>
  </si>
  <si>
    <r>
      <rPr>
        <sz val="9"/>
        <rFont val="Arial MT"/>
        <family val="2"/>
      </rPr>
      <t>Lorca, William</t>
    </r>
  </si>
  <si>
    <t>https://www.tenisdemesaparatodos.com/jugadores_ficha.asp?codigo=359</t>
  </si>
  <si>
    <r>
      <rPr>
        <sz val="9"/>
        <rFont val="Arial MT"/>
        <family val="2"/>
      </rPr>
      <t>Ojeda, Martín</t>
    </r>
  </si>
  <si>
    <t>https://www.tenisdemesaparatodos.com/jugadores_ficha.asp?codigo=1348</t>
  </si>
  <si>
    <r>
      <rPr>
        <sz val="9"/>
        <rFont val="Arial MT"/>
        <family val="2"/>
      </rPr>
      <t>Vernillo, Agustin</t>
    </r>
  </si>
  <si>
    <t>https://www.tenisdemesaparatodos.com/jugadores_ficha.asp?codigo=26178</t>
  </si>
  <si>
    <r>
      <rPr>
        <sz val="9"/>
        <rFont val="Arial MT"/>
        <family val="2"/>
      </rPr>
      <t>Galindez, Oscar</t>
    </r>
  </si>
  <si>
    <t>https://www.tenisdemesaparatodos.com/jugadores_ficha.asp?codigo=25506</t>
  </si>
  <si>
    <r>
      <rPr>
        <sz val="9"/>
        <rFont val="Arial MT"/>
        <family val="2"/>
      </rPr>
      <t>Vespoli, Guillermo</t>
    </r>
  </si>
  <si>
    <t>https://www.tenisdemesaparatodos.com/jugadores_ficha.asp?codigo=10710</t>
  </si>
  <si>
    <r>
      <rPr>
        <sz val="9"/>
        <rFont val="Arial MT"/>
        <family val="2"/>
      </rPr>
      <t>Vernillo, Sergio</t>
    </r>
  </si>
  <si>
    <t>https://www.tenisdemesaparatodos.com/jugadores_ficha.asp?codigo=9114</t>
  </si>
  <si>
    <r>
      <rPr>
        <sz val="9"/>
        <rFont val="Arial MT"/>
        <family val="2"/>
      </rPr>
      <t>Zapatero, Carina A.</t>
    </r>
  </si>
  <si>
    <t>https://www.tenisdemesaparatodos.com/jugadores_ficha.asp?codigo=26475</t>
  </si>
  <si>
    <r>
      <rPr>
        <sz val="9"/>
        <rFont val="Arial MT"/>
        <family val="2"/>
      </rPr>
      <t>Juri, Edgardo</t>
    </r>
  </si>
  <si>
    <t>https://www.tenisdemesaparatodos.com/jugadores_ficha.asp?codigo=24792</t>
  </si>
  <si>
    <r>
      <rPr>
        <sz val="9"/>
        <rFont val="Arial MT"/>
        <family val="2"/>
      </rPr>
      <t>Ortiz, Hugo Alberto</t>
    </r>
  </si>
  <si>
    <t>https://www.tenisdemesaparatodos.com/jugadores_ficha.asp?codigo=4667</t>
  </si>
  <si>
    <r>
      <rPr>
        <sz val="9"/>
        <rFont val="Arial MT"/>
        <family val="2"/>
      </rPr>
      <t>Lietz, Ruben D.</t>
    </r>
  </si>
  <si>
    <t>https://www.tenisdemesaparatodos.com/jugadores_ficha.asp?codigo=10145</t>
  </si>
  <si>
    <r>
      <rPr>
        <sz val="9"/>
        <rFont val="Arial MT"/>
        <family val="2"/>
      </rPr>
      <t>Nuñez, Paihuen</t>
    </r>
  </si>
  <si>
    <t>https://www.tenisdemesaparatodos.com/jugadores_ficha.asp?codigo=13426</t>
  </si>
  <si>
    <r>
      <rPr>
        <sz val="9"/>
        <rFont val="Arial MT"/>
        <family val="2"/>
      </rPr>
      <t>Fitz Maurice, Octavio</t>
    </r>
  </si>
  <si>
    <t>https://www.tenisdemesaparatodos.com/jugadores_ficha.asp?codigo=28586</t>
  </si>
  <si>
    <r>
      <rPr>
        <sz val="9"/>
        <rFont val="Arial MT"/>
        <family val="2"/>
      </rPr>
      <t>Barrios, Juan Francisco</t>
    </r>
  </si>
  <si>
    <t>https://www.tenisdemesaparatodos.com/jugadores_ficha.asp?codigo=17878</t>
  </si>
  <si>
    <r>
      <rPr>
        <sz val="9"/>
        <rFont val="Arial MT"/>
        <family val="2"/>
      </rPr>
      <t>Vecchio, Juan Ignacio</t>
    </r>
  </si>
  <si>
    <t>https://www.tenisdemesaparatodos.com/jugadores_ficha.asp?codigo=28383</t>
  </si>
  <si>
    <r>
      <rPr>
        <sz val="9"/>
        <rFont val="Arial MT"/>
        <family val="2"/>
      </rPr>
      <t>Estacion Ping Pong</t>
    </r>
  </si>
  <si>
    <r>
      <rPr>
        <sz val="9"/>
        <rFont val="Arial MT"/>
        <family val="2"/>
      </rPr>
      <t>Queipo, Guido</t>
    </r>
  </si>
  <si>
    <t>https://www.tenisdemesaparatodos.com/jugadores_ficha.asp?codigo=1264</t>
  </si>
  <si>
    <r>
      <rPr>
        <sz val="9"/>
        <rFont val="Arial MT"/>
        <family val="2"/>
      </rPr>
      <t>Dorrego, Javier</t>
    </r>
  </si>
  <si>
    <t>https://www.tenisdemesaparatodos.com/jugadores_ficha.asp?codigo=10409</t>
  </si>
  <si>
    <r>
      <rPr>
        <sz val="9"/>
        <rFont val="Arial MT"/>
        <family val="2"/>
      </rPr>
      <t>Cheong Cutrera, Agustín</t>
    </r>
  </si>
  <si>
    <t>https://www.tenisdemesaparatodos.com/jugadores_ficha.asp?codigo=6896</t>
  </si>
  <si>
    <r>
      <rPr>
        <sz val="9"/>
        <rFont val="Arial MT"/>
        <family val="2"/>
      </rPr>
      <t>Chattah, Jose C</t>
    </r>
  </si>
  <si>
    <t>https://www.tenisdemesaparatodos.com/jugadores_ficha.asp?codigo=19288</t>
  </si>
  <si>
    <r>
      <rPr>
        <sz val="9"/>
        <rFont val="Arial MT"/>
        <family val="2"/>
      </rPr>
      <t>Juffar, Sebastian</t>
    </r>
  </si>
  <si>
    <t>https://www.tenisdemesaparatodos.com/jugadores_ficha.asp?codigo=15168</t>
  </si>
  <si>
    <r>
      <rPr>
        <sz val="9"/>
        <rFont val="Arial MT"/>
        <family val="2"/>
      </rPr>
      <t>Gonzalez, Darío</t>
    </r>
  </si>
  <si>
    <t>https://www.tenisdemesaparatodos.com/jugadores_ficha.asp?codigo=19449</t>
  </si>
  <si>
    <r>
      <rPr>
        <sz val="9"/>
        <rFont val="Arial MT"/>
        <family val="2"/>
      </rPr>
      <t>Fernandez, Joaquin A.</t>
    </r>
  </si>
  <si>
    <t>https://www.tenisdemesaparatodos.com/jugadores_ficha.asp?codigo=20668</t>
  </si>
  <si>
    <r>
      <rPr>
        <sz val="9"/>
        <rFont val="Arial MT"/>
        <family val="2"/>
      </rPr>
      <t>Morel Galeano, Andres</t>
    </r>
  </si>
  <si>
    <t>https://www.tenisdemesaparatodos.com/jugadores_ficha.asp?codigo=25486</t>
  </si>
  <si>
    <r>
      <rPr>
        <sz val="9"/>
        <rFont val="Arial MT"/>
        <family val="2"/>
      </rPr>
      <t>Ventura, Alejandro</t>
    </r>
  </si>
  <si>
    <t>https://www.tenisdemesaparatodos.com/jugadores_ficha.asp?codigo=17867</t>
  </si>
  <si>
    <r>
      <rPr>
        <sz val="9"/>
        <rFont val="Arial MT"/>
        <family val="2"/>
      </rPr>
      <t>Salomon, Luciano</t>
    </r>
  </si>
  <si>
    <t>https://www.tenisdemesaparatodos.com/jugadores_ficha.asp?codigo=25485</t>
  </si>
  <si>
    <r>
      <rPr>
        <sz val="9"/>
        <rFont val="Arial MT"/>
        <family val="2"/>
      </rPr>
      <t>Romano Karra, Federico</t>
    </r>
  </si>
  <si>
    <t>https://www.tenisdemesaparatodos.com/jugadores_ficha.asp?codigo=4482</t>
  </si>
  <si>
    <r>
      <rPr>
        <sz val="9"/>
        <rFont val="Arial MT"/>
        <family val="2"/>
      </rPr>
      <t>Gutierrez, Fernando</t>
    </r>
  </si>
  <si>
    <t>https://www.tenisdemesaparatodos.com/jugadores_ficha.asp?codigo=27355</t>
  </si>
  <si>
    <r>
      <rPr>
        <sz val="9"/>
        <rFont val="Arial MT"/>
        <family val="2"/>
      </rPr>
      <t>De la Mota, Leandro</t>
    </r>
  </si>
  <si>
    <t>https://www.tenisdemesaparatodos.com/jugadores_ficha.asp?codigo=15079</t>
  </si>
  <si>
    <r>
      <rPr>
        <sz val="9"/>
        <rFont val="Arial MT"/>
        <family val="2"/>
      </rPr>
      <t>Blanc, Eric</t>
    </r>
  </si>
  <si>
    <t>https://www.tenisdemesaparatodos.com/jugadores_ficha.asp?codigo=25122</t>
  </si>
  <si>
    <r>
      <rPr>
        <sz val="9"/>
        <rFont val="Arial MT"/>
        <family val="2"/>
      </rPr>
      <t>Fernandez, Walter A.</t>
    </r>
  </si>
  <si>
    <t>https://www.tenisdemesaparatodos.com/jugadores_ficha.asp?codigo=5947</t>
  </si>
  <si>
    <r>
      <rPr>
        <sz val="9"/>
        <rFont val="Arial MT"/>
        <family val="2"/>
      </rPr>
      <t>Aufieri, Ignacio Ariel</t>
    </r>
  </si>
  <si>
    <t>https://www.tenisdemesaparatodos.com/jugadores_ficha.asp?codigo=22853</t>
  </si>
  <si>
    <r>
      <rPr>
        <sz val="9"/>
        <rFont val="Arial MT"/>
        <family val="2"/>
      </rPr>
      <t>Lopez, Roberto J.</t>
    </r>
  </si>
  <si>
    <t>https://www.tenisdemesaparatodos.com/jugadores_ficha.asp?codigo=23489</t>
  </si>
  <si>
    <r>
      <rPr>
        <sz val="9"/>
        <rFont val="Arial MT"/>
        <family val="2"/>
      </rPr>
      <t>Descalzi, Santiago</t>
    </r>
  </si>
  <si>
    <t>https://www.tenisdemesaparatodos.com/jugadores_ficha.asp?codigo=28272</t>
  </si>
  <si>
    <r>
      <rPr>
        <sz val="9"/>
        <rFont val="Arial MT"/>
        <family val="2"/>
      </rPr>
      <t>Suarez Sosa, Diego</t>
    </r>
  </si>
  <si>
    <t>https://www.tenisdemesaparatodos.com/jugadores_ficha.asp?codigo=15276</t>
  </si>
  <si>
    <r>
      <rPr>
        <sz val="9"/>
        <rFont val="Arial MT"/>
        <family val="2"/>
      </rPr>
      <t>Bianchi Kelly, Hernan</t>
    </r>
  </si>
  <si>
    <t>https://www.tenisdemesaparatodos.com/jugadores_ficha.asp?codigo=23514</t>
  </si>
  <si>
    <r>
      <rPr>
        <sz val="9"/>
        <rFont val="Arial MT"/>
        <family val="2"/>
      </rPr>
      <t>Tsolis, Alejandro</t>
    </r>
  </si>
  <si>
    <t>https://www.tenisdemesaparatodos.com/jugadores_ficha.asp?codigo=28744</t>
  </si>
  <si>
    <r>
      <rPr>
        <sz val="9"/>
        <rFont val="Arial MT"/>
        <family val="2"/>
      </rPr>
      <t>Balbi, Lionel</t>
    </r>
  </si>
  <si>
    <t>https://www.tenisdemesaparatodos.com/jugadores_ficha.asp?codigo=27174</t>
  </si>
  <si>
    <r>
      <rPr>
        <sz val="9"/>
        <rFont val="Arial MT"/>
        <family val="2"/>
      </rPr>
      <t>Kalik, Marcelo A.</t>
    </r>
  </si>
  <si>
    <t>https://www.tenisdemesaparatodos.com/jugadores_ficha.asp?codigo=25862</t>
  </si>
  <si>
    <r>
      <rPr>
        <sz val="9"/>
        <rFont val="Arial MT"/>
        <family val="2"/>
      </rPr>
      <t>Fenix</t>
    </r>
  </si>
  <si>
    <r>
      <rPr>
        <sz val="9"/>
        <rFont val="Arial MT"/>
        <family val="2"/>
      </rPr>
      <t>Tresca, Gastón</t>
    </r>
  </si>
  <si>
    <t>https://www.tenisdemesaparatodos.com/jugadores_ficha.asp?codigo=13182</t>
  </si>
  <si>
    <r>
      <rPr>
        <sz val="9"/>
        <rFont val="Arial MT"/>
        <family val="2"/>
      </rPr>
      <t>Zaffaroni Velazquez, Luca N.</t>
    </r>
  </si>
  <si>
    <t>https://www.tenisdemesaparatodos.com/jugadores_ficha.asp?codigo=16903</t>
  </si>
  <si>
    <r>
      <rPr>
        <sz val="9"/>
        <rFont val="Arial MT"/>
        <family val="2"/>
      </rPr>
      <t>Ramos, Mauro</t>
    </r>
  </si>
  <si>
    <t>https://www.tenisdemesaparatodos.com/jugadores_ficha.asp?codigo=5208</t>
  </si>
  <si>
    <r>
      <rPr>
        <sz val="9"/>
        <rFont val="Arial MT"/>
        <family val="2"/>
      </rPr>
      <t>Molina, Juan Martin</t>
    </r>
  </si>
  <si>
    <t>https://www.tenisdemesaparatodos.com/jugadores_ficha.asp?codigo=20119</t>
  </si>
  <si>
    <r>
      <rPr>
        <sz val="9"/>
        <rFont val="Arial MT"/>
        <family val="2"/>
      </rPr>
      <t>Di Girolamo, Bruno</t>
    </r>
  </si>
  <si>
    <t>https://www.tenisdemesaparatodos.com/jugadores_ficha.asp?codigo=21519</t>
  </si>
  <si>
    <r>
      <rPr>
        <sz val="9"/>
        <rFont val="Arial MT"/>
        <family val="2"/>
      </rPr>
      <t>Perlov, Lucas</t>
    </r>
  </si>
  <si>
    <t>https://www.tenisdemesaparatodos.com/jugadores_ficha.asp?codigo=20105</t>
  </si>
  <si>
    <r>
      <rPr>
        <sz val="9"/>
        <rFont val="Arial MT"/>
        <family val="2"/>
      </rPr>
      <t>Candela, Juan</t>
    </r>
  </si>
  <si>
    <t>https://www.tenisdemesaparatodos.com/jugadores_ficha.asp?codigo=17113</t>
  </si>
  <si>
    <r>
      <rPr>
        <sz val="9"/>
        <rFont val="Arial MT"/>
        <family val="2"/>
      </rPr>
      <t>Etayo, Alejandro</t>
    </r>
  </si>
  <si>
    <t>https://www.tenisdemesaparatodos.com/jugadores_ficha.asp?codigo=1418</t>
  </si>
  <si>
    <r>
      <rPr>
        <sz val="9"/>
        <rFont val="Arial MT"/>
        <family val="2"/>
      </rPr>
      <t>Friedlander, Brian</t>
    </r>
  </si>
  <si>
    <t>https://www.tenisdemesaparatodos.com/jugadores_ficha.asp?codigo=22329</t>
  </si>
  <si>
    <r>
      <rPr>
        <sz val="9"/>
        <rFont val="Arial MT"/>
        <family val="2"/>
      </rPr>
      <t>Triplef, Dante</t>
    </r>
  </si>
  <si>
    <t>https://www.tenisdemesaparatodos.com/jugadores_ficha.asp?codigo=27122</t>
  </si>
  <si>
    <r>
      <rPr>
        <sz val="9"/>
        <rFont val="Arial MT"/>
        <family val="2"/>
      </rPr>
      <t>Fenix A</t>
    </r>
  </si>
  <si>
    <r>
      <rPr>
        <sz val="9"/>
        <rFont val="Arial MT"/>
        <family val="2"/>
      </rPr>
      <t>Collante, Axel</t>
    </r>
  </si>
  <si>
    <t>https://www.tenisdemesaparatodos.com/jugadores_ficha.asp?codigo=14549</t>
  </si>
  <si>
    <r>
      <rPr>
        <sz val="9"/>
        <rFont val="Arial MT"/>
        <family val="2"/>
      </rPr>
      <t>Rebelles, Gabriel</t>
    </r>
  </si>
  <si>
    <t>https://www.tenisdemesaparatodos.com/jugadores_ficha.asp?codigo=18013</t>
  </si>
  <si>
    <r>
      <rPr>
        <sz val="9"/>
        <rFont val="Arial MT"/>
        <family val="2"/>
      </rPr>
      <t>Tula, Fabio</t>
    </r>
  </si>
  <si>
    <t>https://www.tenisdemesaparatodos.com/jugadores_ficha.asp?codigo=7842</t>
  </si>
  <si>
    <r>
      <rPr>
        <sz val="9"/>
        <rFont val="Arial MT"/>
        <family val="2"/>
      </rPr>
      <t>Perez Mazzarello, Malena</t>
    </r>
  </si>
  <si>
    <t>https://www.tenisdemesaparatodos.com/jugadores_ficha.asp?codigo=18373</t>
  </si>
  <si>
    <r>
      <rPr>
        <sz val="9"/>
        <rFont val="Arial MT"/>
        <family val="2"/>
      </rPr>
      <t>Fenix B</t>
    </r>
  </si>
  <si>
    <r>
      <rPr>
        <sz val="9"/>
        <rFont val="Arial MT"/>
        <family val="2"/>
      </rPr>
      <t>Jaimovich, David</t>
    </r>
  </si>
  <si>
    <t>https://www.tenisdemesaparatodos.com/jugadores_ficha.asp?codigo=3652</t>
  </si>
  <si>
    <r>
      <rPr>
        <sz val="9"/>
        <rFont val="Arial MT"/>
        <family val="2"/>
      </rPr>
      <t>Massare, Dante</t>
    </r>
  </si>
  <si>
    <t>https://www.tenisdemesaparatodos.com/jugadores_ficha.asp?codigo=23198</t>
  </si>
  <si>
    <r>
      <rPr>
        <sz val="9"/>
        <rFont val="Arial MT"/>
        <family val="2"/>
      </rPr>
      <t>Guglielmone, Gustavo</t>
    </r>
  </si>
  <si>
    <t>https://www.tenisdemesaparatodos.com/jugadores_ficha.asp?codigo=11721</t>
  </si>
  <si>
    <r>
      <rPr>
        <sz val="9"/>
        <rFont val="Arial MT"/>
        <family val="2"/>
      </rPr>
      <t>Castellano, Sophia Liz</t>
    </r>
  </si>
  <si>
    <t>https://www.tenisdemesaparatodos.com/jugadores_ficha.asp?codigo=22477</t>
  </si>
  <si>
    <r>
      <rPr>
        <sz val="9"/>
        <rFont val="Arial MT"/>
        <family val="2"/>
      </rPr>
      <t>Perez Mazzarello, Julia</t>
    </r>
  </si>
  <si>
    <t>https://www.tenisdemesaparatodos.com/jugadores_ficha.asp?codigo=18374</t>
  </si>
  <si>
    <r>
      <rPr>
        <sz val="9"/>
        <rFont val="Arial MT"/>
        <family val="2"/>
      </rPr>
      <t>Alvarez, Leonardo</t>
    </r>
  </si>
  <si>
    <t>https://www.tenisdemesaparatodos.com/jugadores_ficha.asp?codigo=762</t>
  </si>
  <si>
    <r>
      <rPr>
        <sz val="9"/>
        <rFont val="Arial MT"/>
        <family val="2"/>
      </rPr>
      <t>Ortiz, Santiago</t>
    </r>
  </si>
  <si>
    <t>https://www.tenisdemesaparatodos.com/jugadores_ficha.asp?codigo=638</t>
  </si>
  <si>
    <r>
      <rPr>
        <sz val="9"/>
        <rFont val="Arial MT"/>
        <family val="2"/>
      </rPr>
      <t>Müller, Luca</t>
    </r>
  </si>
  <si>
    <t>https://www.tenisdemesaparatodos.com/jugadores_ficha.asp?codigo=20049</t>
  </si>
  <si>
    <r>
      <rPr>
        <sz val="9"/>
        <rFont val="Arial MT"/>
        <family val="2"/>
      </rPr>
      <t>Aguirre, Martin</t>
    </r>
  </si>
  <si>
    <t>https://www.tenisdemesaparatodos.com/jugadores_ficha.asp?codigo=10948</t>
  </si>
  <si>
    <r>
      <rPr>
        <sz val="9"/>
        <rFont val="Arial MT"/>
        <family val="2"/>
      </rPr>
      <t>Petriz, Rodolfo</t>
    </r>
  </si>
  <si>
    <t>https://www.tenisdemesaparatodos.com/jugadores_ficha.asp?codigo=6494</t>
  </si>
  <si>
    <r>
      <rPr>
        <sz val="9"/>
        <rFont val="Arial MT"/>
        <family val="2"/>
      </rPr>
      <t>Girotti, Adrian</t>
    </r>
  </si>
  <si>
    <t>https://www.tenisdemesaparatodos.com/jugadores_ficha.asp?codigo=15968</t>
  </si>
  <si>
    <r>
      <rPr>
        <sz val="9"/>
        <rFont val="Arial MT"/>
        <family val="2"/>
      </rPr>
      <t>Vignolo, Matias Daniel</t>
    </r>
  </si>
  <si>
    <t>https://www.tenisdemesaparatodos.com/jugadores_ficha.asp?codigo=15892</t>
  </si>
  <si>
    <r>
      <rPr>
        <sz val="9"/>
        <rFont val="Arial MT"/>
        <family val="2"/>
      </rPr>
      <t>Di Girolamo, Ramón</t>
    </r>
  </si>
  <si>
    <t>https://www.tenisdemesaparatodos.com/jugadores_ficha.asp?codigo=12358</t>
  </si>
  <si>
    <r>
      <rPr>
        <sz val="9"/>
        <rFont val="Arial MT"/>
        <family val="2"/>
      </rPr>
      <t>Kern, German A.</t>
    </r>
  </si>
  <si>
    <t>https://www.tenisdemesaparatodos.com/jugadores_ficha.asp?codigo=25348</t>
  </si>
  <si>
    <r>
      <rPr>
        <sz val="9"/>
        <rFont val="Arial MT"/>
        <family val="2"/>
      </rPr>
      <t>Mautalen, Juan Ignacio</t>
    </r>
  </si>
  <si>
    <t>https://www.tenisdemesaparatodos.com/jugadores_ficha.asp?codigo=26371</t>
  </si>
  <si>
    <r>
      <rPr>
        <sz val="9"/>
        <rFont val="Arial MT"/>
        <family val="2"/>
      </rPr>
      <t>Bagnato, Alejandro</t>
    </r>
  </si>
  <si>
    <t>https://www.tenisdemesaparatodos.com/jugadores_ficha.asp?codigo=13763</t>
  </si>
  <si>
    <r>
      <rPr>
        <sz val="9"/>
        <rFont val="Arial MT"/>
        <family val="2"/>
      </rPr>
      <t>Milan, Tomas</t>
    </r>
  </si>
  <si>
    <t>https://www.tenisdemesaparatodos.com/jugadores_ficha.asp?codigo=23722</t>
  </si>
  <si>
    <r>
      <rPr>
        <sz val="9"/>
        <rFont val="Arial MT"/>
        <family val="2"/>
      </rPr>
      <t>Massare, Bruno</t>
    </r>
  </si>
  <si>
    <t>https://www.tenisdemesaparatodos.com/jugadores_ficha.asp?codigo=21323</t>
  </si>
  <si>
    <r>
      <rPr>
        <sz val="9"/>
        <rFont val="Arial MT"/>
        <family val="2"/>
      </rPr>
      <t>Anarella, Vicente</t>
    </r>
  </si>
  <si>
    <t>https://www.tenisdemesaparatodos.com/jugadores_ficha.asp?codigo=25707</t>
  </si>
  <si>
    <r>
      <rPr>
        <sz val="9"/>
        <rFont val="Arial MT"/>
        <family val="2"/>
      </rPr>
      <t>Rodriguez, Facundo</t>
    </r>
  </si>
  <si>
    <t>https://www.tenisdemesaparatodos.com/jugadores_ficha.asp?codigo=14530</t>
  </si>
  <si>
    <r>
      <rPr>
        <sz val="9"/>
        <rFont val="Arial MT"/>
        <family val="2"/>
      </rPr>
      <t>Maleplate, Juan Pablo</t>
    </r>
  </si>
  <si>
    <t>https://www.tenisdemesaparatodos.com/jugadores_ficha.asp?codigo=13615</t>
  </si>
  <si>
    <r>
      <rPr>
        <sz val="9"/>
        <rFont val="Arial MT"/>
        <family val="2"/>
      </rPr>
      <t>Ishikawa, Micaela</t>
    </r>
  </si>
  <si>
    <t>https://www.tenisdemesaparatodos.com/jugadores_ficha.asp?codigo=807</t>
  </si>
  <si>
    <r>
      <rPr>
        <sz val="9"/>
        <rFont val="Arial MT"/>
        <family val="2"/>
      </rPr>
      <t>Weber, Omar</t>
    </r>
  </si>
  <si>
    <t>https://www.tenisdemesaparatodos.com/jugadores_ficha.asp?codigo=7785</t>
  </si>
  <si>
    <r>
      <rPr>
        <sz val="9"/>
        <rFont val="Arial MT"/>
        <family val="2"/>
      </rPr>
      <t>Borgani, Esteban</t>
    </r>
  </si>
  <si>
    <t>https://www.tenisdemesaparatodos.com/jugadores_ficha.asp?codigo=2312</t>
  </si>
  <si>
    <r>
      <rPr>
        <sz val="9"/>
        <rFont val="Arial MT"/>
        <family val="2"/>
      </rPr>
      <t>Garcia Agüero, Rodrigo</t>
    </r>
  </si>
  <si>
    <t>https://www.tenisdemesaparatodos.com/jugadores_ficha.asp?codigo=2022</t>
  </si>
  <si>
    <r>
      <rPr>
        <sz val="9"/>
        <rFont val="Arial MT"/>
        <family val="2"/>
      </rPr>
      <t>Lin Ji, Matias</t>
    </r>
  </si>
  <si>
    <t>https://www.tenisdemesaparatodos.com/jugadores_ficha.asp?codigo=19726</t>
  </si>
  <si>
    <r>
      <rPr>
        <sz val="9"/>
        <rFont val="Arial MT"/>
        <family val="2"/>
      </rPr>
      <t>Terrazas, Sebastian</t>
    </r>
  </si>
  <si>
    <t>https://www.tenisdemesaparatodos.com/jugadores_ficha.asp?codigo=26788</t>
  </si>
  <si>
    <r>
      <rPr>
        <sz val="9"/>
        <rFont val="Arial MT"/>
        <family val="2"/>
      </rPr>
      <t>Sidelsky, Bruno</t>
    </r>
  </si>
  <si>
    <t>https://www.tenisdemesaparatodos.com/jugadores_ficha.asp?codigo=28038</t>
  </si>
  <si>
    <r>
      <rPr>
        <sz val="9"/>
        <rFont val="Arial MT"/>
        <family val="2"/>
      </rPr>
      <t>Taira, Fernando</t>
    </r>
  </si>
  <si>
    <t>https://www.tenisdemesaparatodos.com/jugadores_ficha.asp?codigo=827</t>
  </si>
  <si>
    <r>
      <rPr>
        <sz val="9"/>
        <rFont val="Arial MT"/>
        <family val="2"/>
      </rPr>
      <t>Di Biase, Lorenzo</t>
    </r>
  </si>
  <si>
    <t>https://www.tenisdemesaparatodos.com/jugadores_ficha.asp?codigo=27831</t>
  </si>
  <si>
    <r>
      <rPr>
        <sz val="9"/>
        <rFont val="Arial MT"/>
        <family val="2"/>
      </rPr>
      <t>Marini, Alejandro</t>
    </r>
  </si>
  <si>
    <t>https://www.tenisdemesaparatodos.com/jugadores_ficha.asp?codigo=12236</t>
  </si>
  <si>
    <r>
      <rPr>
        <sz val="9"/>
        <rFont val="Arial MT"/>
        <family val="2"/>
      </rPr>
      <t>Melo, Sebastian</t>
    </r>
  </si>
  <si>
    <t>https://www.tenisdemesaparatodos.com/jugadores_ficha.asp?codigo=27190</t>
  </si>
  <si>
    <r>
      <rPr>
        <sz val="9"/>
        <rFont val="Arial MT"/>
        <family val="2"/>
      </rPr>
      <t>Bais, Lucas E</t>
    </r>
  </si>
  <si>
    <t>https://www.tenisdemesaparatodos.com/jugadores_ficha.asp?codigo=26209</t>
  </si>
  <si>
    <r>
      <rPr>
        <sz val="9"/>
        <rFont val="Arial MT"/>
        <family val="2"/>
      </rPr>
      <t>Heuchert, Iván</t>
    </r>
  </si>
  <si>
    <t>https://www.tenisdemesaparatodos.com/jugadores_ficha.asp?codigo=19263</t>
  </si>
  <si>
    <r>
      <rPr>
        <sz val="9"/>
        <rFont val="Arial MT"/>
        <family val="2"/>
      </rPr>
      <t>Prediletto, Humberto</t>
    </r>
  </si>
  <si>
    <t>https://www.tenisdemesaparatodos.com/jugadores_ficha.asp?codigo=5867</t>
  </si>
  <si>
    <r>
      <rPr>
        <sz val="9"/>
        <rFont val="Arial MT"/>
        <family val="2"/>
      </rPr>
      <t>Prima, Emanuel</t>
    </r>
  </si>
  <si>
    <t>https://www.tenisdemesaparatodos.com/jugadores_ficha.asp?codigo=28648</t>
  </si>
  <si>
    <r>
      <rPr>
        <sz val="9"/>
        <rFont val="Arial MT"/>
        <family val="2"/>
      </rPr>
      <t>Chaneton, Horacio</t>
    </r>
  </si>
  <si>
    <t>https://www.tenisdemesaparatodos.com/jugadores_ficha.asp?codigo=27415</t>
  </si>
  <si>
    <r>
      <rPr>
        <sz val="9"/>
        <rFont val="Arial MT"/>
        <family val="2"/>
      </rPr>
      <t>Ferrocarril Oeste</t>
    </r>
  </si>
  <si>
    <r>
      <rPr>
        <sz val="9"/>
        <rFont val="Arial MT"/>
        <family val="2"/>
      </rPr>
      <t>Jang, Luciano</t>
    </r>
  </si>
  <si>
    <t>https://www.tenisdemesaparatodos.com/jugadores_ficha.asp?codigo=7185</t>
  </si>
  <si>
    <r>
      <rPr>
        <sz val="9"/>
        <rFont val="Arial MT"/>
        <family val="2"/>
      </rPr>
      <t>Marini, Santiago</t>
    </r>
  </si>
  <si>
    <t>https://www.tenisdemesaparatodos.com/jugadores_ficha.asp?codigo=13249</t>
  </si>
  <si>
    <r>
      <rPr>
        <sz val="9"/>
        <rFont val="Arial MT"/>
        <family val="2"/>
      </rPr>
      <t>Marini, Joaquín</t>
    </r>
  </si>
  <si>
    <t>https://www.tenisdemesaparatodos.com/jugadores_ficha.asp?codigo=13250</t>
  </si>
  <si>
    <r>
      <rPr>
        <sz val="9"/>
        <rFont val="Arial MT"/>
        <family val="2"/>
      </rPr>
      <t>Spinelli, Franco</t>
    </r>
  </si>
  <si>
    <t>https://www.tenisdemesaparatodos.com/jugadores_ficha.asp?codigo=14827</t>
  </si>
  <si>
    <r>
      <rPr>
        <sz val="9"/>
        <rFont val="Arial MT"/>
        <family val="2"/>
      </rPr>
      <t>Cabrera, Tomas</t>
    </r>
  </si>
  <si>
    <t>https://www.tenisdemesaparatodos.com/jugadores_ficha.asp?codigo=10846</t>
  </si>
  <si>
    <r>
      <rPr>
        <sz val="9"/>
        <rFont val="Arial MT"/>
        <family val="2"/>
      </rPr>
      <t>Joszpe, Santiago</t>
    </r>
  </si>
  <si>
    <t>https://www.tenisdemesaparatodos.com/jugadores_ficha.asp?codigo=12830</t>
  </si>
  <si>
    <r>
      <rPr>
        <sz val="9"/>
        <rFont val="Arial MT"/>
        <family val="2"/>
      </rPr>
      <t>Skliarsky, Eithan</t>
    </r>
  </si>
  <si>
    <t>https://www.tenisdemesaparatodos.com/jugadores_ficha.asp?codigo=22480</t>
  </si>
  <si>
    <r>
      <rPr>
        <sz val="9"/>
        <rFont val="Arial MT"/>
        <family val="2"/>
      </rPr>
      <t>Khazandjian, Luciano</t>
    </r>
  </si>
  <si>
    <t>https://www.tenisdemesaparatodos.com/jugadores_ficha.asp?codigo=21673</t>
  </si>
  <si>
    <r>
      <rPr>
        <sz val="9"/>
        <rFont val="Arial MT"/>
        <family val="2"/>
      </rPr>
      <t>Turchin, Eros</t>
    </r>
  </si>
  <si>
    <t>https://www.tenisdemesaparatodos.com/jugadores_ficha.asp?codigo=17456</t>
  </si>
  <si>
    <r>
      <rPr>
        <sz val="9"/>
        <rFont val="Arial MT"/>
        <family val="2"/>
      </rPr>
      <t>Kaniuka, Aleksy</t>
    </r>
  </si>
  <si>
    <t>https://www.tenisdemesaparatodos.com/jugadores_ficha.asp?codigo=9235</t>
  </si>
  <si>
    <r>
      <rPr>
        <sz val="9"/>
        <rFont val="Arial MT"/>
        <family val="2"/>
      </rPr>
      <t>Arnaudo, Facundo E.</t>
    </r>
  </si>
  <si>
    <t>https://www.tenisdemesaparatodos.com/jugadores_ficha.asp?codigo=17400</t>
  </si>
  <si>
    <r>
      <rPr>
        <sz val="9"/>
        <rFont val="Arial MT"/>
        <family val="2"/>
      </rPr>
      <t>Rack, Vicentino</t>
    </r>
  </si>
  <si>
    <t>https://www.tenisdemesaparatodos.com/jugadores_ficha.asp?codigo=13423</t>
  </si>
  <si>
    <r>
      <rPr>
        <sz val="9"/>
        <rFont val="Arial MT"/>
        <family val="2"/>
      </rPr>
      <t>Tomasello, Lucio</t>
    </r>
  </si>
  <si>
    <t>https://www.tenisdemesaparatodos.com/jugadores_ficha.asp?codigo=15332</t>
  </si>
  <si>
    <r>
      <rPr>
        <sz val="9"/>
        <rFont val="Arial MT"/>
        <family val="2"/>
      </rPr>
      <t>Lussenhoff, Patricio</t>
    </r>
  </si>
  <si>
    <t>https://www.tenisdemesaparatodos.com/jugadores_ficha.asp?codigo=2229</t>
  </si>
  <si>
    <r>
      <rPr>
        <sz val="9"/>
        <rFont val="Arial MT"/>
        <family val="2"/>
      </rPr>
      <t>Carlevarino, Pablo</t>
    </r>
  </si>
  <si>
    <t>https://www.tenisdemesaparatodos.com/jugadores_ficha.asp?codigo=10764</t>
  </si>
  <si>
    <r>
      <rPr>
        <sz val="9"/>
        <rFont val="Arial MT"/>
        <family val="2"/>
      </rPr>
      <t>Perdicchia, Julio</t>
    </r>
  </si>
  <si>
    <t>https://www.tenisdemesaparatodos.com/jugadores_ficha.asp?codigo=3982</t>
  </si>
  <si>
    <r>
      <rPr>
        <sz val="9"/>
        <rFont val="Arial MT"/>
        <family val="2"/>
      </rPr>
      <t>Mujica, Natali</t>
    </r>
  </si>
  <si>
    <t>https://www.tenisdemesaparatodos.com/jugadores_ficha.asp?codigo=21963</t>
  </si>
  <si>
    <r>
      <rPr>
        <sz val="9"/>
        <rFont val="Arial MT"/>
        <family val="2"/>
      </rPr>
      <t>Martino, Franco</t>
    </r>
  </si>
  <si>
    <t>https://www.tenisdemesaparatodos.com/jugadores_ficha.asp?codigo=24472</t>
  </si>
  <si>
    <r>
      <rPr>
        <sz val="9"/>
        <rFont val="Arial MT"/>
        <family val="2"/>
      </rPr>
      <t>Digestani, Lautaro</t>
    </r>
  </si>
  <si>
    <t>https://www.tenisdemesaparatodos.com/jugadores_ficha.asp?codigo=2039</t>
  </si>
  <si>
    <r>
      <rPr>
        <sz val="9"/>
        <rFont val="Arial MT"/>
        <family val="2"/>
      </rPr>
      <t>Saloña Ugone, Nahuel</t>
    </r>
  </si>
  <si>
    <t>https://www.tenisdemesaparatodos.com/jugadores_ficha.asp?codigo=24368</t>
  </si>
  <si>
    <r>
      <rPr>
        <sz val="9"/>
        <rFont val="Arial MT"/>
        <family val="2"/>
      </rPr>
      <t>Molteno, Juan Andres</t>
    </r>
  </si>
  <si>
    <t>https://www.tenisdemesaparatodos.com/jugadores_ficha.asp?codigo=22530</t>
  </si>
  <si>
    <r>
      <rPr>
        <sz val="9"/>
        <rFont val="Arial MT"/>
        <family val="2"/>
      </rPr>
      <t>Antman, Facundo</t>
    </r>
  </si>
  <si>
    <t>https://www.tenisdemesaparatodos.com/jugadores_ficha.asp?codigo=25536</t>
  </si>
  <si>
    <r>
      <rPr>
        <sz val="9"/>
        <rFont val="Arial MT"/>
        <family val="2"/>
      </rPr>
      <t>Lomovasky, Andrés</t>
    </r>
  </si>
  <si>
    <t>https://www.tenisdemesaparatodos.com/jugadores_ficha.asp?codigo=11062</t>
  </si>
  <si>
    <r>
      <rPr>
        <sz val="9"/>
        <rFont val="Arial MT"/>
        <family val="2"/>
      </rPr>
      <t>Banegas, Francisco</t>
    </r>
  </si>
  <si>
    <t>https://www.tenisdemesaparatodos.com/jugadores_ficha.asp?codigo=19706</t>
  </si>
  <si>
    <r>
      <rPr>
        <sz val="9"/>
        <rFont val="Arial MT"/>
        <family val="2"/>
      </rPr>
      <t>Ducau, Lucas</t>
    </r>
  </si>
  <si>
    <t>https://www.tenisdemesaparatodos.com/jugadores_ficha.asp?codigo=22472</t>
  </si>
  <si>
    <r>
      <rPr>
        <sz val="9"/>
        <rFont val="Arial MT"/>
        <family val="2"/>
      </rPr>
      <t>PaolinI Barroeta, Jose Luis</t>
    </r>
  </si>
  <si>
    <t>https://www.tenisdemesaparatodos.com/jugadores_ficha.asp?codigo=22550</t>
  </si>
  <si>
    <r>
      <rPr>
        <sz val="9"/>
        <rFont val="Arial MT"/>
        <family val="2"/>
      </rPr>
      <t>Geronimo, Ismael Alejandro</t>
    </r>
  </si>
  <si>
    <t>https://www.tenisdemesaparatodos.com/jugadores_ficha.asp?codigo=5275</t>
  </si>
  <si>
    <r>
      <rPr>
        <sz val="9"/>
        <rFont val="Arial MT"/>
        <family val="2"/>
      </rPr>
      <t>Da Rosa Rivero, Marcelo</t>
    </r>
  </si>
  <si>
    <t>https://www.tenisdemesaparatodos.com/jugadores_ficha.asp?codigo=4635</t>
  </si>
  <si>
    <r>
      <rPr>
        <sz val="9"/>
        <rFont val="Arial MT"/>
        <family val="2"/>
      </rPr>
      <t>Chen, Timothy</t>
    </r>
  </si>
  <si>
    <t>https://www.tenisdemesaparatodos.com/jugadores_ficha.asp?codigo=19802</t>
  </si>
  <si>
    <r>
      <rPr>
        <sz val="9"/>
        <rFont val="Arial MT"/>
        <family val="2"/>
      </rPr>
      <t>Canteros, Cristian</t>
    </r>
  </si>
  <si>
    <t>https://www.tenisdemesaparatodos.com/jugadores_ficha.asp?codigo=7539</t>
  </si>
  <si>
    <r>
      <rPr>
        <sz val="9"/>
        <rFont val="Arial MT"/>
        <family val="2"/>
      </rPr>
      <t>Grynszpan, Mariano</t>
    </r>
  </si>
  <si>
    <t>https://www.tenisdemesaparatodos.com/jugadores_ficha.asp?codigo=11602</t>
  </si>
  <si>
    <r>
      <rPr>
        <sz val="9"/>
        <rFont val="Arial MT"/>
        <family val="2"/>
      </rPr>
      <t>Rodriguez Palencia, Carlos M.</t>
    </r>
  </si>
  <si>
    <t>https://www.tenisdemesaparatodos.com/jugadores_ficha.asp?codigo=18414</t>
  </si>
  <si>
    <r>
      <rPr>
        <sz val="9"/>
        <rFont val="Arial MT"/>
        <family val="2"/>
      </rPr>
      <t>Lin, Antonio</t>
    </r>
  </si>
  <si>
    <t>https://www.tenisdemesaparatodos.com/jugadores_ficha.asp?codigo=23799</t>
  </si>
  <si>
    <r>
      <rPr>
        <sz val="9"/>
        <rFont val="Arial MT"/>
        <family val="2"/>
      </rPr>
      <t>Lopez Raya, Santiago</t>
    </r>
  </si>
  <si>
    <t>https://www.tenisdemesaparatodos.com/jugadores_ficha.asp?codigo=26673</t>
  </si>
  <si>
    <r>
      <rPr>
        <sz val="9"/>
        <rFont val="Arial MT"/>
        <family val="2"/>
      </rPr>
      <t>Rostovsky, Luca</t>
    </r>
  </si>
  <si>
    <t>https://www.tenisdemesaparatodos.com/jugadores_ficha.asp?codigo=24108</t>
  </si>
  <si>
    <r>
      <rPr>
        <sz val="9"/>
        <rFont val="Arial MT"/>
        <family val="2"/>
      </rPr>
      <t>Messina, Federico</t>
    </r>
  </si>
  <si>
    <t>https://www.tenisdemesaparatodos.com/jugadores_ficha.asp?codigo=6784</t>
  </si>
  <si>
    <r>
      <rPr>
        <sz val="9"/>
        <rFont val="Arial MT"/>
        <family val="2"/>
      </rPr>
      <t>Madias, Benjamin</t>
    </r>
  </si>
  <si>
    <t>https://www.tenisdemesaparatodos.com/jugadores_ficha.asp?codigo=26169</t>
  </si>
  <si>
    <r>
      <rPr>
        <sz val="9"/>
        <rFont val="Arial MT"/>
        <family val="2"/>
      </rPr>
      <t>Litvak, Raúl</t>
    </r>
  </si>
  <si>
    <t>https://www.tenisdemesaparatodos.com/jugadores_ficha.asp?codigo=1368</t>
  </si>
  <si>
    <r>
      <rPr>
        <sz val="9"/>
        <rFont val="Arial MT"/>
        <family val="2"/>
      </rPr>
      <t>Gomez, Virginia</t>
    </r>
  </si>
  <si>
    <t>https://www.tenisdemesaparatodos.com/jugadores_ficha.asp?codigo=28674</t>
  </si>
  <si>
    <r>
      <rPr>
        <sz val="9"/>
        <rFont val="Arial MT"/>
        <family val="2"/>
      </rPr>
      <t>Rojas Zalba, Daniel</t>
    </r>
  </si>
  <si>
    <t>https://www.tenisdemesaparatodos.com/jugadores_ficha.asp?codigo=26162</t>
  </si>
  <si>
    <r>
      <rPr>
        <sz val="9"/>
        <rFont val="Arial MT"/>
        <family val="2"/>
      </rPr>
      <t>Zabaljauregui, Julian</t>
    </r>
  </si>
  <si>
    <t>https://www.tenisdemesaparatodos.com/jugadores_ficha.asp?codigo=26173</t>
  </si>
  <si>
    <r>
      <rPr>
        <sz val="9"/>
        <rFont val="Arial MT"/>
        <family val="2"/>
      </rPr>
      <t>Rojas Zalba, Lucas</t>
    </r>
  </si>
  <si>
    <t>https://www.tenisdemesaparatodos.com/jugadores_ficha.asp?codigo=26163</t>
  </si>
  <si>
    <r>
      <rPr>
        <sz val="9"/>
        <rFont val="Arial MT"/>
        <family val="2"/>
      </rPr>
      <t>Cabral, Bruno S.</t>
    </r>
  </si>
  <si>
    <t>https://www.tenisdemesaparatodos.com/jugadores_ficha.asp?codigo=17455</t>
  </si>
  <si>
    <r>
      <rPr>
        <sz val="9"/>
        <rFont val="Arial MT"/>
        <family val="2"/>
      </rPr>
      <t>Capella, Genghis</t>
    </r>
  </si>
  <si>
    <t>https://www.tenisdemesaparatodos.com/jugadores_ficha.asp?codigo=26412</t>
  </si>
  <si>
    <r>
      <rPr>
        <sz val="9"/>
        <rFont val="Arial MT"/>
        <family val="2"/>
      </rPr>
      <t>Gimnasty</t>
    </r>
  </si>
  <si>
    <r>
      <rPr>
        <sz val="9"/>
        <rFont val="Arial MT"/>
        <family val="2"/>
      </rPr>
      <t>Guevara Figueroa, Baltazar</t>
    </r>
  </si>
  <si>
    <t>https://www.tenisdemesaparatodos.com/jugadores_ficha.asp?codigo=25889</t>
  </si>
  <si>
    <r>
      <rPr>
        <sz val="9"/>
        <rFont val="Arial MT"/>
        <family val="2"/>
      </rPr>
      <t>Soldi, Juan Andres</t>
    </r>
  </si>
  <si>
    <t>https://www.tenisdemesaparatodos.com/jugadores_ficha.asp?codigo=17665</t>
  </si>
  <si>
    <r>
      <rPr>
        <sz val="9"/>
        <rFont val="Arial MT"/>
        <family val="2"/>
      </rPr>
      <t>Sato, L. Ezequiel</t>
    </r>
  </si>
  <si>
    <t>https://www.tenisdemesaparatodos.com/jugadores_ficha.asp?codigo=24469</t>
  </si>
  <si>
    <r>
      <rPr>
        <sz val="9"/>
        <rFont val="Arial MT"/>
        <family val="2"/>
      </rPr>
      <t>Arano, Yaco</t>
    </r>
  </si>
  <si>
    <t>https://www.tenisdemesaparatodos.com/jugadores_ficha.asp?codigo=24832</t>
  </si>
  <si>
    <r>
      <rPr>
        <sz val="9"/>
        <rFont val="Arial MT"/>
        <family val="2"/>
      </rPr>
      <t>Sato, Mia Hirommi</t>
    </r>
  </si>
  <si>
    <t>https://www.tenisdemesaparatodos.com/jugadores_ficha.asp?codigo=24470</t>
  </si>
  <si>
    <r>
      <rPr>
        <sz val="9"/>
        <rFont val="Arial MT"/>
        <family val="2"/>
      </rPr>
      <t>Godoy, Lucio</t>
    </r>
  </si>
  <si>
    <t>https://www.tenisdemesaparatodos.com/jugadores_ficha.asp?codigo=15244</t>
  </si>
  <si>
    <r>
      <rPr>
        <sz val="9"/>
        <rFont val="Arial MT"/>
        <family val="2"/>
      </rPr>
      <t>Soto, Aldo H.</t>
    </r>
  </si>
  <si>
    <t>https://www.tenisdemesaparatodos.com/jugadores_ficha.asp?codigo=22052</t>
  </si>
  <si>
    <r>
      <rPr>
        <sz val="9"/>
        <rFont val="Arial MT"/>
        <family val="2"/>
      </rPr>
      <t>Soto, Martina</t>
    </r>
  </si>
  <si>
    <t>https://www.tenisdemesaparatodos.com/jugadores_ficha.asp?codigo=22041</t>
  </si>
  <si>
    <r>
      <rPr>
        <sz val="9"/>
        <rFont val="Arial MT"/>
        <family val="2"/>
      </rPr>
      <t>Mayahara, Mayra</t>
    </r>
  </si>
  <si>
    <t>https://www.tenisdemesaparatodos.com/jugadores_ficha.asp?codigo=28292</t>
  </si>
  <si>
    <r>
      <rPr>
        <sz val="9"/>
        <rFont val="Arial MT"/>
        <family val="2"/>
      </rPr>
      <t>Czimbalos, Simon</t>
    </r>
  </si>
  <si>
    <t>https://www.tenisdemesaparatodos.com/jugadores_ficha.asp?codigo=26222</t>
  </si>
  <si>
    <r>
      <rPr>
        <sz val="9"/>
        <rFont val="Arial MT"/>
        <family val="2"/>
      </rPr>
      <t>Benitez Oroz, Victoria</t>
    </r>
  </si>
  <si>
    <t>https://www.tenisdemesaparatodos.com/jugadores_ficha.asp?codigo=23373</t>
  </si>
  <si>
    <r>
      <rPr>
        <sz val="9"/>
        <rFont val="Arial MT"/>
        <family val="2"/>
      </rPr>
      <t>Czimbalos, Nicolas Osvaldo</t>
    </r>
  </si>
  <si>
    <t>https://www.tenisdemesaparatodos.com/jugadores_ficha.asp?codigo=6557</t>
  </si>
  <si>
    <r>
      <rPr>
        <sz val="9"/>
        <rFont val="Arial MT"/>
        <family val="2"/>
      </rPr>
      <t>Oviedo, Feliciano</t>
    </r>
  </si>
  <si>
    <t>https://www.tenisdemesaparatodos.com/jugadores_ficha.asp?codigo=24698</t>
  </si>
  <si>
    <r>
      <rPr>
        <sz val="9"/>
        <rFont val="Arial MT"/>
        <family val="2"/>
      </rPr>
      <t>GTM</t>
    </r>
  </si>
  <si>
    <r>
      <rPr>
        <sz val="9"/>
        <rFont val="Arial MT"/>
        <family val="2"/>
      </rPr>
      <t>Bayona, Lucas</t>
    </r>
  </si>
  <si>
    <t>https://www.tenisdemesaparatodos.com/jugadores_ficha.asp?codigo=4262</t>
  </si>
  <si>
    <r>
      <rPr>
        <sz val="9"/>
        <rFont val="Arial MT"/>
        <family val="2"/>
      </rPr>
      <t>Bentancor, Martín</t>
    </r>
  </si>
  <si>
    <t>https://www.tenisdemesaparatodos.com/jugadores_ficha.asp?codigo=7347</t>
  </si>
  <si>
    <r>
      <rPr>
        <sz val="9"/>
        <rFont val="Arial MT"/>
        <family val="2"/>
      </rPr>
      <t>Carranza, Mateo</t>
    </r>
  </si>
  <si>
    <t>https://www.tenisdemesaparatodos.com/jugadores_ficha.asp?codigo=19937</t>
  </si>
  <si>
    <r>
      <rPr>
        <sz val="9"/>
        <rFont val="Arial MT"/>
        <family val="2"/>
      </rPr>
      <t>Martinez, Tobias</t>
    </r>
  </si>
  <si>
    <t>https://www.tenisdemesaparatodos.com/jugadores_ficha.asp?codigo=25054</t>
  </si>
  <si>
    <r>
      <rPr>
        <sz val="9"/>
        <rFont val="Arial MT"/>
        <family val="2"/>
      </rPr>
      <t>Bentancourt, Luciano</t>
    </r>
  </si>
  <si>
    <t>https://www.tenisdemesaparatodos.com/jugadores_ficha.asp?codigo=3457</t>
  </si>
  <si>
    <r>
      <rPr>
        <sz val="9"/>
        <rFont val="Arial MT"/>
        <family val="2"/>
      </rPr>
      <t>Dominguez, Agustin A.</t>
    </r>
  </si>
  <si>
    <t>https://www.tenisdemesaparatodos.com/jugadores_ficha.asp?codigo=14188</t>
  </si>
  <si>
    <r>
      <rPr>
        <sz val="9"/>
        <rFont val="Arial MT"/>
        <family val="2"/>
      </rPr>
      <t>Agüero, Renzo Gaspar</t>
    </r>
  </si>
  <si>
    <t>https://www.tenisdemesaparatodos.com/jugadores_ficha.asp?codigo=28433</t>
  </si>
  <si>
    <r>
      <rPr>
        <sz val="9"/>
        <rFont val="Arial MT"/>
        <family val="2"/>
      </rPr>
      <t>Lori, Hikaru</t>
    </r>
  </si>
  <si>
    <t>https://www.tenisdemesaparatodos.com/jugadores_ficha.asp?codigo=19172</t>
  </si>
  <si>
    <r>
      <rPr>
        <sz val="9"/>
        <rFont val="Arial MT"/>
        <family val="2"/>
      </rPr>
      <t>Marginet Campos, Alejandro</t>
    </r>
  </si>
  <si>
    <t>https://www.tenisdemesaparatodos.com/jugadores_ficha.asp?codigo=29508</t>
  </si>
  <si>
    <r>
      <rPr>
        <sz val="9"/>
        <rFont val="Arial MT"/>
        <family val="2"/>
      </rPr>
      <t>Maldonado, Agustin</t>
    </r>
  </si>
  <si>
    <t>https://www.tenisdemesaparatodos.com/jugadores_ficha.asp?codigo=21954</t>
  </si>
  <si>
    <r>
      <rPr>
        <sz val="9"/>
        <rFont val="Arial MT"/>
        <family val="2"/>
      </rPr>
      <t>Carrizo Jozami, Benjamin</t>
    </r>
  </si>
  <si>
    <t>https://www.tenisdemesaparatodos.com/jugadores_ficha.asp?codigo=26692</t>
  </si>
  <si>
    <r>
      <rPr>
        <sz val="9"/>
        <rFont val="Arial MT"/>
        <family val="2"/>
      </rPr>
      <t>GTM A</t>
    </r>
  </si>
  <si>
    <r>
      <rPr>
        <sz val="9"/>
        <rFont val="Arial MT"/>
        <family val="2"/>
      </rPr>
      <t>Huici, Julián</t>
    </r>
  </si>
  <si>
    <t>https://www.tenisdemesaparatodos.com/jugadores_ficha.asp?codigo=8138</t>
  </si>
  <si>
    <r>
      <rPr>
        <sz val="9"/>
        <rFont val="Arial MT"/>
        <family val="2"/>
      </rPr>
      <t>Sosa, Emiliano</t>
    </r>
  </si>
  <si>
    <t>https://www.tenisdemesaparatodos.com/jugadores_ficha.asp?codigo=17695</t>
  </si>
  <si>
    <r>
      <rPr>
        <sz val="9"/>
        <rFont val="Arial MT"/>
        <family val="2"/>
      </rPr>
      <t>Bertran, Ezequiel</t>
    </r>
  </si>
  <si>
    <t>https://www.tenisdemesaparatodos.com/jugadores_ficha.asp?codigo=2775</t>
  </si>
  <si>
    <r>
      <rPr>
        <sz val="9"/>
        <rFont val="Arial MT"/>
        <family val="2"/>
      </rPr>
      <t>Lapalma, Dylan</t>
    </r>
  </si>
  <si>
    <t>https://www.tenisdemesaparatodos.com/jugadores_ficha.asp?codigo=21620</t>
  </si>
  <si>
    <r>
      <rPr>
        <sz val="9"/>
        <rFont val="Arial MT"/>
        <family val="2"/>
      </rPr>
      <t>Maza, Diego Hernán</t>
    </r>
  </si>
  <si>
    <t>https://www.tenisdemesaparatodos.com/jugadores_ficha.asp?codigo=8469</t>
  </si>
  <si>
    <r>
      <rPr>
        <sz val="9"/>
        <rFont val="Arial MT"/>
        <family val="2"/>
      </rPr>
      <t>Santucho, Iván</t>
    </r>
  </si>
  <si>
    <t>https://www.tenisdemesaparatodos.com/jugadores_ficha.asp?codigo=469</t>
  </si>
  <si>
    <r>
      <rPr>
        <sz val="9"/>
        <rFont val="Arial MT"/>
        <family val="2"/>
      </rPr>
      <t>GTM B</t>
    </r>
  </si>
  <si>
    <r>
      <rPr>
        <sz val="9"/>
        <rFont val="Arial MT"/>
        <family val="2"/>
      </rPr>
      <t>Quagliardi, Hugo Franco</t>
    </r>
  </si>
  <si>
    <t>https://www.tenisdemesaparatodos.com/jugadores_ficha.asp?codigo=2607</t>
  </si>
  <si>
    <r>
      <rPr>
        <sz val="9"/>
        <rFont val="Arial MT"/>
        <family val="2"/>
      </rPr>
      <t>Delgado, Gastón</t>
    </r>
  </si>
  <si>
    <t>https://www.tenisdemesaparatodos.com/jugadores_ficha.asp?codigo=8265</t>
  </si>
  <si>
    <r>
      <rPr>
        <sz val="9"/>
        <rFont val="Arial MT"/>
        <family val="2"/>
      </rPr>
      <t>Otero Saumell, Juan</t>
    </r>
  </si>
  <si>
    <t>https://www.tenisdemesaparatodos.com/jugadores_ficha.asp?codigo=1250</t>
  </si>
  <si>
    <r>
      <rPr>
        <sz val="9"/>
        <rFont val="Arial MT"/>
        <family val="2"/>
      </rPr>
      <t>Gonzalez, Alan J.</t>
    </r>
  </si>
  <si>
    <t>https://www.tenisdemesaparatodos.com/jugadores_ficha.asp?codigo=20707</t>
  </si>
  <si>
    <r>
      <rPr>
        <sz val="9"/>
        <rFont val="Arial MT"/>
        <family val="2"/>
      </rPr>
      <t>Kalbermatter, Roberto</t>
    </r>
  </si>
  <si>
    <t>https://www.tenisdemesaparatodos.com/jugadores_ficha.asp?codigo=9381</t>
  </si>
  <si>
    <r>
      <rPr>
        <sz val="9"/>
        <rFont val="Arial MT"/>
        <family val="2"/>
      </rPr>
      <t>Sarzynksi, Enzo</t>
    </r>
  </si>
  <si>
    <t>https://www.tenisdemesaparatodos.com/jugadores_ficha.asp?codigo=21464</t>
  </si>
  <si>
    <r>
      <rPr>
        <sz val="9"/>
        <rFont val="Arial MT"/>
        <family val="2"/>
      </rPr>
      <t>Cericola, Dante</t>
    </r>
  </si>
  <si>
    <t>https://www.tenisdemesaparatodos.com/jugadores_ficha.asp?codigo=21977</t>
  </si>
  <si>
    <r>
      <rPr>
        <sz val="9"/>
        <rFont val="Arial MT"/>
        <family val="2"/>
      </rPr>
      <t>Rosental, Pablo Damian</t>
    </r>
  </si>
  <si>
    <t>https://www.tenisdemesaparatodos.com/jugadores_ficha.asp?codigo=22747</t>
  </si>
  <si>
    <r>
      <rPr>
        <sz val="9"/>
        <rFont val="Arial MT"/>
        <family val="2"/>
      </rPr>
      <t>Piruzi, Gianni</t>
    </r>
  </si>
  <si>
    <t>https://www.tenisdemesaparatodos.com/jugadores_ficha.asp?codigo=16651</t>
  </si>
  <si>
    <r>
      <rPr>
        <sz val="9"/>
        <rFont val="Arial MT"/>
        <family val="2"/>
      </rPr>
      <t>Von Eckstein, Juan Jose</t>
    </r>
  </si>
  <si>
    <t>https://www.tenisdemesaparatodos.com/jugadores_ficha.asp?codigo=14656</t>
  </si>
  <si>
    <r>
      <rPr>
        <sz val="9"/>
        <rFont val="Arial MT"/>
        <family val="2"/>
      </rPr>
      <t>Lori, David</t>
    </r>
  </si>
  <si>
    <t>https://www.tenisdemesaparatodos.com/jugadores_ficha.asp?codigo=12098</t>
  </si>
  <si>
    <r>
      <rPr>
        <sz val="9"/>
        <rFont val="Arial MT"/>
        <family val="2"/>
      </rPr>
      <t>Barreiro, Bernardo T.</t>
    </r>
  </si>
  <si>
    <t>https://www.tenisdemesaparatodos.com/jugadores_ficha.asp?codigo=22613</t>
  </si>
  <si>
    <r>
      <rPr>
        <sz val="9"/>
        <rFont val="Arial MT"/>
        <family val="2"/>
      </rPr>
      <t>Vallejos, Javier</t>
    </r>
  </si>
  <si>
    <t>https://www.tenisdemesaparatodos.com/jugadores_ficha.asp?codigo=21587</t>
  </si>
  <si>
    <r>
      <rPr>
        <sz val="9"/>
        <rFont val="Arial MT"/>
        <family val="2"/>
      </rPr>
      <t>Linares, Jorge I.</t>
    </r>
  </si>
  <si>
    <t>https://www.tenisdemesaparatodos.com/jugadores_ficha.asp?codigo=23097</t>
  </si>
  <si>
    <r>
      <rPr>
        <sz val="9"/>
        <rFont val="Arial MT"/>
        <family val="2"/>
      </rPr>
      <t>Boada, Luis</t>
    </r>
  </si>
  <si>
    <t>https://www.tenisdemesaparatodos.com/jugadores_ficha.asp?codigo=22011</t>
  </si>
  <si>
    <r>
      <rPr>
        <sz val="9"/>
        <rFont val="Arial MT"/>
        <family val="2"/>
      </rPr>
      <t>Bentancourt, Rubén</t>
    </r>
  </si>
  <si>
    <t>https://www.tenisdemesaparatodos.com/jugadores_ficha.asp?codigo=3253</t>
  </si>
  <si>
    <r>
      <rPr>
        <sz val="9"/>
        <rFont val="Arial MT"/>
        <family val="2"/>
      </rPr>
      <t>Martinez, Saul R.</t>
    </r>
  </si>
  <si>
    <t>https://www.tenisdemesaparatodos.com/jugadores_ficha.asp?codigo=9355</t>
  </si>
  <si>
    <r>
      <rPr>
        <sz val="9"/>
        <rFont val="Arial MT"/>
        <family val="2"/>
      </rPr>
      <t>Akizawa, Clelia F</t>
    </r>
  </si>
  <si>
    <t>https://www.tenisdemesaparatodos.com/jugadores_ficha.asp?codigo=15724</t>
  </si>
  <si>
    <r>
      <rPr>
        <sz val="9"/>
        <rFont val="Arial MT"/>
        <family val="2"/>
      </rPr>
      <t>Vaisman Tello, Otto A.</t>
    </r>
  </si>
  <si>
    <t>https://www.tenisdemesaparatodos.com/jugadores_ficha.asp?codigo=13609</t>
  </si>
  <si>
    <r>
      <rPr>
        <sz val="9"/>
        <rFont val="Arial MT"/>
        <family val="2"/>
      </rPr>
      <t>Sarzynkski, Cristian</t>
    </r>
  </si>
  <si>
    <t>https://www.tenisdemesaparatodos.com/jugadores_ficha.asp?codigo=21465</t>
  </si>
  <si>
    <r>
      <rPr>
        <sz val="9"/>
        <rFont val="Arial MT"/>
        <family val="2"/>
      </rPr>
      <t>Maza, Juan Carlos</t>
    </r>
  </si>
  <si>
    <t>https://www.tenisdemesaparatodos.com/jugadores_ficha.asp?codigo=5577</t>
  </si>
  <si>
    <r>
      <rPr>
        <sz val="9"/>
        <rFont val="Arial MT"/>
        <family val="2"/>
      </rPr>
      <t>Aguirre, Julio Ricardo</t>
    </r>
  </si>
  <si>
    <t>https://www.tenisdemesaparatodos.com/jugadores_ficha.asp?codigo=19176</t>
  </si>
  <si>
    <r>
      <rPr>
        <sz val="9"/>
        <rFont val="Arial MT"/>
        <family val="2"/>
      </rPr>
      <t>Aquino, Manuel</t>
    </r>
  </si>
  <si>
    <t>https://www.tenisdemesaparatodos.com/jugadores_ficha.asp?codigo=14961</t>
  </si>
  <si>
    <r>
      <rPr>
        <sz val="9"/>
        <rFont val="Arial MT"/>
        <family val="2"/>
      </rPr>
      <t>Capria, Fernando Roberto</t>
    </r>
  </si>
  <si>
    <r>
      <rPr>
        <sz val="9"/>
        <rFont val="Arial MT"/>
        <family val="2"/>
      </rPr>
      <t>Orquera, Jeremias</t>
    </r>
  </si>
  <si>
    <t>https://www.tenisdemesaparatodos.com/jugadores_ficha.asp?codigo=12335</t>
  </si>
  <si>
    <r>
      <rPr>
        <sz val="9"/>
        <rFont val="Arial MT"/>
        <family val="2"/>
      </rPr>
      <t>Olivares, Isabella</t>
    </r>
  </si>
  <si>
    <t>https://www.tenisdemesaparatodos.com/jugadores_ficha.asp?codigo=1032</t>
  </si>
  <si>
    <r>
      <rPr>
        <sz val="9"/>
        <rFont val="Arial MT"/>
        <family val="2"/>
      </rPr>
      <t>Boada Sosa, Marco A.</t>
    </r>
  </si>
  <si>
    <t>https://www.tenisdemesaparatodos.com/jugadores_ficha.asp?codigo=23679</t>
  </si>
  <si>
    <r>
      <rPr>
        <sz val="9"/>
        <rFont val="Arial MT"/>
        <family val="2"/>
      </rPr>
      <t>Cericola, Ivan</t>
    </r>
  </si>
  <si>
    <t>https://www.tenisdemesaparatodos.com/jugadores_ficha.asp?codigo=21980</t>
  </si>
  <si>
    <r>
      <rPr>
        <sz val="9"/>
        <rFont val="Arial MT"/>
        <family val="2"/>
      </rPr>
      <t>Huang, Tsung Chin Juan</t>
    </r>
  </si>
  <si>
    <t>https://www.tenisdemesaparatodos.com/jugadores_ficha.asp?codigo=26499</t>
  </si>
  <si>
    <r>
      <rPr>
        <sz val="9"/>
        <rFont val="Arial MT"/>
        <family val="2"/>
      </rPr>
      <t>Yamauchi, Gaston</t>
    </r>
  </si>
  <si>
    <t>https://www.tenisdemesaparatodos.com/jugadores_ficha.asp?codigo=26848</t>
  </si>
  <si>
    <r>
      <rPr>
        <sz val="9"/>
        <rFont val="Arial MT"/>
        <family val="2"/>
      </rPr>
      <t>Garcia Giacchetta, Alejandro</t>
    </r>
  </si>
  <si>
    <t>https://www.tenisdemesaparatodos.com/jugadores_ficha.asp?codigo=17249</t>
  </si>
  <si>
    <r>
      <rPr>
        <sz val="9"/>
        <rFont val="Arial MT"/>
        <family val="2"/>
      </rPr>
      <t>Pacheco, Martin D.</t>
    </r>
  </si>
  <si>
    <t>https://www.tenisdemesaparatodos.com/jugadores_ficha.asp?codigo=28041</t>
  </si>
  <si>
    <r>
      <rPr>
        <sz val="9"/>
        <rFont val="Arial MT"/>
        <family val="2"/>
      </rPr>
      <t>Crocco, Benjamin A</t>
    </r>
  </si>
  <si>
    <t>https://www.tenisdemesaparatodos.com/jugadores_ficha.asp?codigo=25283</t>
  </si>
  <si>
    <r>
      <rPr>
        <sz val="9"/>
        <rFont val="Arial MT"/>
        <family val="2"/>
      </rPr>
      <t>Bulacio, Juan Alberto</t>
    </r>
  </si>
  <si>
    <t>https://www.tenisdemesaparatodos.com/jugadores_ficha.asp?codigo=22198</t>
  </si>
  <si>
    <r>
      <rPr>
        <sz val="9"/>
        <rFont val="Arial MT"/>
        <family val="2"/>
      </rPr>
      <t>Resua, Pablo</t>
    </r>
  </si>
  <si>
    <t>https://www.tenisdemesaparatodos.com/jugadores_ficha.asp?codigo=6009</t>
  </si>
  <si>
    <r>
      <rPr>
        <sz val="9"/>
        <rFont val="Arial MT"/>
        <family val="2"/>
      </rPr>
      <t>Martinez Olmedo, Luz</t>
    </r>
  </si>
  <si>
    <t>https://www.tenisdemesaparatodos.com/jugadores_ficha.asp?codigo=26259</t>
  </si>
  <si>
    <r>
      <rPr>
        <sz val="9"/>
        <rFont val="Arial MT"/>
        <family val="2"/>
      </rPr>
      <t>Daix, Bruno</t>
    </r>
  </si>
  <si>
    <t>https://www.tenisdemesaparatodos.com/jugadores_ficha.asp?codigo=27144</t>
  </si>
  <si>
    <r>
      <rPr>
        <sz val="9"/>
        <rFont val="Arial MT"/>
        <family val="2"/>
      </rPr>
      <t>Gurgone, Hector</t>
    </r>
  </si>
  <si>
    <t>https://www.tenisdemesaparatodos.com/jugadores_ficha.asp?codigo=5850</t>
  </si>
  <si>
    <r>
      <rPr>
        <sz val="9"/>
        <rFont val="Arial MT"/>
        <family val="2"/>
      </rPr>
      <t>Lori, Hanae</t>
    </r>
  </si>
  <si>
    <t>https://www.tenisdemesaparatodos.com/jugadores_ficha.asp?codigo=24340</t>
  </si>
  <si>
    <r>
      <rPr>
        <sz val="9"/>
        <rFont val="Arial MT"/>
        <family val="2"/>
      </rPr>
      <t>Ojeda, Gonzalo J.</t>
    </r>
  </si>
  <si>
    <t>https://www.tenisdemesaparatodos.com/jugadores_ficha.asp?codigo=26694</t>
  </si>
  <si>
    <r>
      <rPr>
        <sz val="9"/>
        <rFont val="Arial MT"/>
        <family val="2"/>
      </rPr>
      <t>Marginet Campos, Lucas</t>
    </r>
  </si>
  <si>
    <r>
      <rPr>
        <sz val="9"/>
        <rFont val="Arial MT"/>
        <family val="2"/>
      </rPr>
      <t>Calzolari, Federico</t>
    </r>
  </si>
  <si>
    <t>https://www.tenisdemesaparatodos.com/jugadores_ficha.asp?codigo=14746</t>
  </si>
  <si>
    <r>
      <rPr>
        <sz val="9"/>
        <rFont val="Arial MT"/>
        <family val="2"/>
      </rPr>
      <t>Hebraica</t>
    </r>
  </si>
  <si>
    <r>
      <rPr>
        <sz val="9"/>
        <rFont val="Arial MT"/>
        <family val="2"/>
      </rPr>
      <t>Wang, Dewey</t>
    </r>
  </si>
  <si>
    <t>https://www.tenisdemesaparatodos.com/jugadores_ficha.asp?codigo=23709</t>
  </si>
  <si>
    <r>
      <rPr>
        <sz val="9"/>
        <rFont val="Arial MT"/>
        <family val="2"/>
      </rPr>
      <t>Castro Granados, Mateo</t>
    </r>
  </si>
  <si>
    <r>
      <rPr>
        <sz val="9"/>
        <rFont val="Arial MT"/>
        <family val="2"/>
      </rPr>
      <t>Iseruk, Nicolas U.</t>
    </r>
  </si>
  <si>
    <t>https://www.tenisdemesaparatodos.com/jugadores_ficha.asp?codigo=24835</t>
  </si>
  <si>
    <r>
      <rPr>
        <sz val="9"/>
        <rFont val="Arial MT"/>
        <family val="2"/>
      </rPr>
      <t>Roth, Bruno</t>
    </r>
  </si>
  <si>
    <t>https://www.tenisdemesaparatodos.com/jugadores_ficha.asp?codigo=23676</t>
  </si>
  <si>
    <r>
      <rPr>
        <sz val="9"/>
        <rFont val="Arial MT"/>
        <family val="2"/>
      </rPr>
      <t>Wang, Lucia</t>
    </r>
  </si>
  <si>
    <t>https://www.tenisdemesaparatodos.com/jugadores_ficha.asp?codigo=23801</t>
  </si>
  <si>
    <r>
      <rPr>
        <sz val="9"/>
        <rFont val="Arial MT"/>
        <family val="2"/>
      </rPr>
      <t>Lifschitz, Yael</t>
    </r>
  </si>
  <si>
    <t>https://www.tenisdemesaparatodos.com/jugadores_ficha.asp?codigo=23273</t>
  </si>
  <si>
    <r>
      <rPr>
        <sz val="9"/>
        <rFont val="Arial MT"/>
        <family val="2"/>
      </rPr>
      <t>Davidovich, Hernan</t>
    </r>
  </si>
  <si>
    <t>https://www.tenisdemesaparatodos.com/jugadores_ficha.asp?codigo=18454</t>
  </si>
  <si>
    <r>
      <rPr>
        <sz val="9"/>
        <rFont val="Arial MT"/>
        <family val="2"/>
      </rPr>
      <t>Baranchuk, Martin</t>
    </r>
  </si>
  <si>
    <t>https://www.tenisdemesaparatodos.com/jugadores_ficha.asp?codigo=23295</t>
  </si>
  <si>
    <r>
      <rPr>
        <sz val="9"/>
        <rFont val="Arial MT"/>
        <family val="2"/>
      </rPr>
      <t>Rogovsky, Liliana</t>
    </r>
  </si>
  <si>
    <t>https://www.tenisdemesaparatodos.com/jugadores_ficha.asp?codigo=15418</t>
  </si>
  <si>
    <r>
      <rPr>
        <sz val="9"/>
        <rFont val="Arial MT"/>
        <family val="2"/>
      </rPr>
      <t>Wu, Yan</t>
    </r>
  </si>
  <si>
    <t>https://www.tenisdemesaparatodos.com/jugadores_ficha.asp?codigo=16780</t>
  </si>
  <si>
    <r>
      <rPr>
        <sz val="9"/>
        <rFont val="Arial MT"/>
        <family val="2"/>
      </rPr>
      <t>Chaiman, Matias</t>
    </r>
  </si>
  <si>
    <t>https://www.tenisdemesaparatodos.com/jugadores_ficha.asp?codigo=23965</t>
  </si>
  <si>
    <r>
      <rPr>
        <sz val="9"/>
        <rFont val="Arial MT"/>
        <family val="2"/>
      </rPr>
      <t>Ingeniero Acosta</t>
    </r>
  </si>
  <si>
    <r>
      <rPr>
        <sz val="9"/>
        <rFont val="Arial MT"/>
        <family val="2"/>
      </rPr>
      <t>Ingeniero Acosta A</t>
    </r>
  </si>
  <si>
    <r>
      <rPr>
        <sz val="9"/>
        <rFont val="Arial MT"/>
        <family val="2"/>
      </rPr>
      <t>Torra Diaz, Francisco</t>
    </r>
  </si>
  <si>
    <t>https://www.tenisdemesaparatodos.com/jugadores_ficha.asp?codigo=22175</t>
  </si>
  <si>
    <r>
      <rPr>
        <sz val="9"/>
        <rFont val="Arial MT"/>
        <family val="2"/>
      </rPr>
      <t>Acosta, Gonzalo</t>
    </r>
  </si>
  <si>
    <t>https://www.tenisdemesaparatodos.com/jugadores_ficha.asp?codigo=861</t>
  </si>
  <si>
    <r>
      <rPr>
        <sz val="9"/>
        <rFont val="Arial MT"/>
        <family val="2"/>
      </rPr>
      <t>Paic Perez, Tomas</t>
    </r>
  </si>
  <si>
    <t>https://www.tenisdemesaparatodos.com/jugadores_ficha.asp?codigo=19963</t>
  </si>
  <si>
    <r>
      <rPr>
        <sz val="9"/>
        <rFont val="Arial MT"/>
        <family val="2"/>
      </rPr>
      <t>Demoor, Rodrigo A.</t>
    </r>
  </si>
  <si>
    <t>https://www.tenisdemesaparatodos.com/jugadores_ficha.asp?codigo=3599</t>
  </si>
  <si>
    <r>
      <rPr>
        <sz val="9"/>
        <rFont val="Arial MT"/>
        <family val="2"/>
      </rPr>
      <t>Ingeniero Acosta B</t>
    </r>
  </si>
  <si>
    <r>
      <rPr>
        <sz val="9"/>
        <rFont val="Arial MT"/>
        <family val="2"/>
      </rPr>
      <t>Escude, Horacio</t>
    </r>
  </si>
  <si>
    <t>https://www.tenisdemesaparatodos.com/jugadores_ficha.asp?codigo=6797</t>
  </si>
  <si>
    <r>
      <rPr>
        <sz val="9"/>
        <rFont val="Arial MT"/>
        <family val="2"/>
      </rPr>
      <t>Costantini, Tomas</t>
    </r>
  </si>
  <si>
    <t>https://www.tenisdemesaparatodos.com/jugadores_ficha.asp?codigo=22319</t>
  </si>
  <si>
    <r>
      <rPr>
        <sz val="9"/>
        <rFont val="Arial MT"/>
        <family val="2"/>
      </rPr>
      <t>Ares, Juan Rodrigo</t>
    </r>
  </si>
  <si>
    <t>https://www.tenisdemesaparatodos.com/jugadores_ficha.asp?codigo=16829</t>
  </si>
  <si>
    <r>
      <rPr>
        <sz val="9"/>
        <rFont val="Arial MT"/>
        <family val="2"/>
      </rPr>
      <t>Jopia, Tomás Francis</t>
    </r>
  </si>
  <si>
    <t>https://www.tenisdemesaparatodos.com/jugadores_ficha.asp?codigo=17014</t>
  </si>
  <si>
    <r>
      <rPr>
        <sz val="9"/>
        <rFont val="Arial MT"/>
        <family val="2"/>
      </rPr>
      <t>Monni, Ruben Oscar</t>
    </r>
  </si>
  <si>
    <t>https://www.tenisdemesaparatodos.com/jugadores_ficha.asp?codigo=18744</t>
  </si>
  <si>
    <r>
      <rPr>
        <sz val="9"/>
        <rFont val="Arial MT"/>
        <family val="2"/>
      </rPr>
      <t>Torra, Osvaldo Antonio</t>
    </r>
  </si>
  <si>
    <t>https://www.tenisdemesaparatodos.com/jugadores_ficha.asp?codigo=8353</t>
  </si>
  <si>
    <r>
      <rPr>
        <sz val="9"/>
        <rFont val="Arial MT"/>
        <family val="2"/>
      </rPr>
      <t>Cervino, Federico</t>
    </r>
  </si>
  <si>
    <t>https://www.tenisdemesaparatodos.com/jugadores_ficha.asp?codigo=5238</t>
  </si>
  <si>
    <r>
      <rPr>
        <sz val="9"/>
        <rFont val="Arial MT"/>
        <family val="2"/>
      </rPr>
      <t>Rizzo, Pablo</t>
    </r>
  </si>
  <si>
    <t>https://www.tenisdemesaparatodos.com/jugadores_ficha.asp?codigo=8638</t>
  </si>
  <si>
    <r>
      <rPr>
        <sz val="9"/>
        <rFont val="Arial MT"/>
        <family val="2"/>
      </rPr>
      <t>Amorín Seelmann, Juan Ignacio</t>
    </r>
  </si>
  <si>
    <t>https://www.tenisdemesaparatodos.com/jugadores_ficha.asp?codigo=18144</t>
  </si>
  <si>
    <r>
      <rPr>
        <sz val="9"/>
        <rFont val="Arial MT"/>
        <family val="2"/>
      </rPr>
      <t>Valenzuela Eizaga, Valentin Manuel</t>
    </r>
  </si>
  <si>
    <t>https://www.tenisdemesaparatodos.com/jugadores_ficha.asp?codigo=26411</t>
  </si>
  <si>
    <r>
      <rPr>
        <sz val="9"/>
        <rFont val="Arial MT"/>
        <family val="2"/>
      </rPr>
      <t>Miranda, Iñaki</t>
    </r>
  </si>
  <si>
    <t>https://www.tenisdemesaparatodos.com/jugadores_ficha.asp?codigo=27553</t>
  </si>
  <si>
    <r>
      <rPr>
        <sz val="9"/>
        <rFont val="Arial MT"/>
        <family val="2"/>
      </rPr>
      <t>Di Nubila, Pablo Daniel</t>
    </r>
  </si>
  <si>
    <t>https://www.tenisdemesaparatodos.com/jugadores_ficha.asp?codigo=23285</t>
  </si>
  <si>
    <r>
      <rPr>
        <sz val="9"/>
        <rFont val="Arial MT"/>
        <family val="2"/>
      </rPr>
      <t>Rossi, Rodrigo</t>
    </r>
  </si>
  <si>
    <t>https://www.tenisdemesaparatodos.com/jugadores_ficha.asp?codigo=7566</t>
  </si>
  <si>
    <r>
      <rPr>
        <sz val="9"/>
        <rFont val="Arial MT"/>
        <family val="2"/>
      </rPr>
      <t>Lee, Agustin Leonardo</t>
    </r>
  </si>
  <si>
    <t>https://www.tenisdemesaparatodos.com/jugadores_ficha.asp?codigo=22535</t>
  </si>
  <si>
    <r>
      <rPr>
        <sz val="9"/>
        <rFont val="Arial MT"/>
        <family val="2"/>
      </rPr>
      <t>Intendente Agüero</t>
    </r>
  </si>
  <si>
    <r>
      <rPr>
        <sz val="9"/>
        <rFont val="Arial MT"/>
        <family val="2"/>
      </rPr>
      <t>Krowicki, Nahuel</t>
    </r>
  </si>
  <si>
    <t>https://www.tenisdemesaparatodos.com/jugadores_ficha.asp?codigo=5511</t>
  </si>
  <si>
    <r>
      <rPr>
        <sz val="9"/>
        <rFont val="Arial MT"/>
        <family val="2"/>
      </rPr>
      <t>Martinez Tapia, José Manuel</t>
    </r>
  </si>
  <si>
    <t>https://www.tenisdemesaparatodos.com/jugadores_ficha.asp?codigo=13788</t>
  </si>
  <si>
    <r>
      <rPr>
        <sz val="9"/>
        <rFont val="Arial MT"/>
        <family val="2"/>
      </rPr>
      <t>Crevecoeur, Jorge Nicolás</t>
    </r>
  </si>
  <si>
    <t>https://www.tenisdemesaparatodos.com/jugadores_ficha.asp?codigo=9823</t>
  </si>
  <si>
    <r>
      <rPr>
        <sz val="9"/>
        <rFont val="Arial MT"/>
        <family val="2"/>
      </rPr>
      <t>Geraci, Ezequiel</t>
    </r>
  </si>
  <si>
    <t>https://www.tenisdemesaparatodos.com/jugadores_ficha.asp?codigo=1025</t>
  </si>
  <si>
    <r>
      <rPr>
        <sz val="9"/>
        <rFont val="Arial MT"/>
        <family val="2"/>
      </rPr>
      <t>Siciliano, Thiago</t>
    </r>
  </si>
  <si>
    <t>https://www.tenisdemesaparatodos.com/jugadores_ficha.asp?codigo=24118</t>
  </si>
  <si>
    <r>
      <rPr>
        <sz val="9"/>
        <rFont val="Arial MT"/>
        <family val="2"/>
      </rPr>
      <t>Castañeda Jr., Hugo</t>
    </r>
  </si>
  <si>
    <t>https://www.tenisdemesaparatodos.com/jugadores_ficha.asp?codigo=22902</t>
  </si>
  <si>
    <r>
      <rPr>
        <sz val="9"/>
        <rFont val="Arial MT"/>
        <family val="2"/>
      </rPr>
      <t>Cobanera, Franco</t>
    </r>
  </si>
  <si>
    <t>https://www.tenisdemesaparatodos.com/jugadores_ficha.asp?codigo=16314</t>
  </si>
  <si>
    <r>
      <rPr>
        <sz val="9"/>
        <rFont val="Arial MT"/>
        <family val="2"/>
      </rPr>
      <t>Sainz, Leonardo</t>
    </r>
  </si>
  <si>
    <t>https://www.tenisdemesaparatodos.com/jugadores_ficha.asp?codigo=5481</t>
  </si>
  <si>
    <r>
      <rPr>
        <sz val="9"/>
        <rFont val="Arial MT"/>
        <family val="2"/>
      </rPr>
      <t>Bocca Di Fuocco, Gabriel</t>
    </r>
  </si>
  <si>
    <t>https://www.tenisdemesaparatodos.com/jugadores_ficha.asp?codigo=14657</t>
  </si>
  <si>
    <r>
      <rPr>
        <sz val="9"/>
        <rFont val="Arial MT"/>
        <family val="2"/>
      </rPr>
      <t>Tessitore, Rodrigo</t>
    </r>
  </si>
  <si>
    <t>https://www.tenisdemesaparatodos.com/jugadores_ficha.asp?codigo=26693</t>
  </si>
  <si>
    <r>
      <rPr>
        <sz val="9"/>
        <rFont val="Arial MT"/>
        <family val="2"/>
      </rPr>
      <t>Burguez Amentano, Andres</t>
    </r>
  </si>
  <si>
    <t>https://www.tenisdemesaparatodos.com/jugadores_ficha.asp?codigo=8979</t>
  </si>
  <si>
    <r>
      <rPr>
        <sz val="9"/>
        <rFont val="Arial MT"/>
        <family val="2"/>
      </rPr>
      <t>Zarauza, María Pía</t>
    </r>
  </si>
  <si>
    <t>https://www.tenisdemesaparatodos.com/jugadores_ficha.asp?codigo=5772</t>
  </si>
  <si>
    <r>
      <rPr>
        <sz val="9"/>
        <rFont val="Arial MT"/>
        <family val="2"/>
      </rPr>
      <t>Jorge Newbery TDM</t>
    </r>
  </si>
  <si>
    <r>
      <rPr>
        <sz val="9"/>
        <rFont val="Arial MT"/>
        <family val="2"/>
      </rPr>
      <t>Rosen, Franco</t>
    </r>
  </si>
  <si>
    <t>https://www.tenisdemesaparatodos.com/jugadores_ficha.asp?codigo=13308</t>
  </si>
  <si>
    <r>
      <rPr>
        <sz val="9"/>
        <rFont val="Arial MT"/>
        <family val="2"/>
      </rPr>
      <t>Villegas Castiñeiras, Maximo</t>
    </r>
  </si>
  <si>
    <t>https://www.tenisdemesaparatodos.com/jugadores_ficha.asp?codigo=19880</t>
  </si>
  <si>
    <r>
      <rPr>
        <sz val="9"/>
        <rFont val="Arial MT"/>
        <family val="2"/>
      </rPr>
      <t>Huarte, Thomas</t>
    </r>
  </si>
  <si>
    <t>https://www.tenisdemesaparatodos.com/jugadores_ficha.asp?codigo=22303</t>
  </si>
  <si>
    <r>
      <rPr>
        <sz val="9"/>
        <rFont val="Arial MT"/>
        <family val="2"/>
      </rPr>
      <t>Casela, Agustin</t>
    </r>
  </si>
  <si>
    <t>https://www.tenisdemesaparatodos.com/jugadores_ficha.asp?codigo=15852</t>
  </si>
  <si>
    <r>
      <rPr>
        <sz val="9"/>
        <rFont val="Arial MT"/>
        <family val="2"/>
      </rPr>
      <t>Eiroa, Mauro</t>
    </r>
  </si>
  <si>
    <t>https://www.tenisdemesaparatodos.com/jugadores_ficha.asp?codigo=3912</t>
  </si>
  <si>
    <r>
      <rPr>
        <sz val="9"/>
        <rFont val="Arial MT"/>
        <family val="2"/>
      </rPr>
      <t>Miño, Alan J.</t>
    </r>
  </si>
  <si>
    <t>https://www.tenisdemesaparatodos.com/jugadores_ficha.asp?codigo=22950</t>
  </si>
  <si>
    <r>
      <rPr>
        <sz val="9"/>
        <rFont val="Arial MT"/>
        <family val="2"/>
      </rPr>
      <t>Duarte, Elio</t>
    </r>
  </si>
  <si>
    <t>https://www.tenisdemesaparatodos.com/jugadores_ficha.asp?codigo=25952</t>
  </si>
  <si>
    <r>
      <rPr>
        <sz val="9"/>
        <rFont val="Arial MT"/>
        <family val="2"/>
      </rPr>
      <t>Charpentier, Sebastian</t>
    </r>
  </si>
  <si>
    <t>https://www.tenisdemesaparatodos.com/jugadores_ficha.asp?codigo=21740</t>
  </si>
  <si>
    <r>
      <rPr>
        <sz val="9"/>
        <rFont val="Arial MT"/>
        <family val="2"/>
      </rPr>
      <t>Carro, Nahuel A.</t>
    </r>
  </si>
  <si>
    <t>https://www.tenisdemesaparatodos.com/jugadores_ficha.asp?codigo=13931</t>
  </si>
  <si>
    <r>
      <rPr>
        <sz val="9"/>
        <rFont val="Arial MT"/>
        <family val="2"/>
      </rPr>
      <t>Etcheverry, Sebastián</t>
    </r>
  </si>
  <si>
    <t>https://www.tenisdemesaparatodos.com/jugadores_ficha.asp?codigo=884</t>
  </si>
  <si>
    <r>
      <rPr>
        <sz val="9"/>
        <rFont val="Arial MT"/>
        <family val="2"/>
      </rPr>
      <t>Palma, Maximiliano</t>
    </r>
  </si>
  <si>
    <t>https://www.tenisdemesaparatodos.com/jugadores_ficha.asp?codigo=4909</t>
  </si>
  <si>
    <r>
      <rPr>
        <sz val="9"/>
        <rFont val="Arial MT"/>
        <family val="2"/>
      </rPr>
      <t>Cuzzolino, Luciano</t>
    </r>
  </si>
  <si>
    <t>https://www.tenisdemesaparatodos.com/jugadores_ficha.asp?codigo=21721</t>
  </si>
  <si>
    <r>
      <rPr>
        <sz val="9"/>
        <rFont val="Arial MT"/>
        <family val="2"/>
      </rPr>
      <t>Ruf, Marcelo</t>
    </r>
  </si>
  <si>
    <t>https://www.tenisdemesaparatodos.com/jugadores_ficha.asp?codigo=5933</t>
  </si>
  <si>
    <r>
      <rPr>
        <sz val="9"/>
        <rFont val="Arial MT"/>
        <family val="2"/>
      </rPr>
      <t>Didio, Julian</t>
    </r>
  </si>
  <si>
    <t>https://www.tenisdemesaparatodos.com/jugadores_ficha.asp?codigo=25107</t>
  </si>
  <si>
    <r>
      <rPr>
        <sz val="9"/>
        <rFont val="Arial MT"/>
        <family val="2"/>
      </rPr>
      <t>Sarratea, Santiago</t>
    </r>
  </si>
  <si>
    <t>https://www.tenisdemesaparatodos.com/jugadores_ficha.asp?codigo=26403</t>
  </si>
  <si>
    <r>
      <rPr>
        <sz val="9"/>
        <rFont val="Arial MT"/>
        <family val="2"/>
      </rPr>
      <t>Martinez, Alan</t>
    </r>
  </si>
  <si>
    <t>https://www.tenisdemesaparatodos.com/jugadores_ficha.asp?codigo=7221</t>
  </si>
  <si>
    <r>
      <rPr>
        <sz val="9"/>
        <rFont val="Arial MT"/>
        <family val="2"/>
      </rPr>
      <t>Blasco, Claudio</t>
    </r>
  </si>
  <si>
    <t>https://www.tenisdemesaparatodos.com/jugadores_ficha.asp?codigo=9139</t>
  </si>
  <si>
    <r>
      <rPr>
        <sz val="9"/>
        <rFont val="Arial MT"/>
        <family val="2"/>
      </rPr>
      <t>Wibrat, Ezequiel</t>
    </r>
  </si>
  <si>
    <t>https://www.tenisdemesaparatodos.com/jugadores_ficha.asp?codigo=22108</t>
  </si>
  <si>
    <r>
      <rPr>
        <sz val="9"/>
        <rFont val="Arial MT"/>
        <family val="2"/>
      </rPr>
      <t>Santos, Gonzalo</t>
    </r>
  </si>
  <si>
    <t>https://www.tenisdemesaparatodos.com/jugadores_ficha.asp?codigo=25352</t>
  </si>
  <si>
    <r>
      <rPr>
        <sz val="9"/>
        <rFont val="Arial MT"/>
        <family val="2"/>
      </rPr>
      <t>Teves, Cristian</t>
    </r>
  </si>
  <si>
    <t>https://www.tenisdemesaparatodos.com/jugadores_ficha.asp?codigo=21031</t>
  </si>
  <si>
    <r>
      <rPr>
        <sz val="9"/>
        <rFont val="Arial MT"/>
        <family val="2"/>
      </rPr>
      <t>Silvero, Ricardo</t>
    </r>
  </si>
  <si>
    <t>https://www.tenisdemesaparatodos.com/jugadores_ficha.asp?codigo=28148</t>
  </si>
  <si>
    <r>
      <rPr>
        <sz val="9"/>
        <rFont val="Arial MT"/>
        <family val="2"/>
      </rPr>
      <t>Perozi, Facundo</t>
    </r>
  </si>
  <si>
    <t>https://www.tenisdemesaparatodos.com/jugadores_ficha.asp?codigo=25335</t>
  </si>
  <si>
    <r>
      <rPr>
        <sz val="9"/>
        <rFont val="Arial MT"/>
        <family val="2"/>
      </rPr>
      <t>Villegas, Carlos</t>
    </r>
  </si>
  <si>
    <t>https://www.tenisdemesaparatodos.com/jugadores_ficha.asp?codigo=19871</t>
  </si>
  <si>
    <r>
      <rPr>
        <sz val="9"/>
        <rFont val="Arial MT"/>
        <family val="2"/>
      </rPr>
      <t>Villanueva, Leandro E.</t>
    </r>
  </si>
  <si>
    <t>https://www.tenisdemesaparatodos.com/jugadores_ficha.asp?codigo=26651</t>
  </si>
  <si>
    <r>
      <rPr>
        <sz val="9"/>
        <rFont val="Arial MT"/>
        <family val="2"/>
      </rPr>
      <t>Baez, Jonathan E.</t>
    </r>
  </si>
  <si>
    <t>https://www.tenisdemesaparatodos.com/jugadores_ficha.asp?codigo=25145</t>
  </si>
  <si>
    <r>
      <rPr>
        <sz val="9"/>
        <rFont val="Arial MT"/>
        <family val="2"/>
      </rPr>
      <t>Dominguez, Juan Matias</t>
    </r>
  </si>
  <si>
    <t>https://www.tenisdemesaparatodos.com/jugadores_ficha.asp?codigo=12854</t>
  </si>
  <si>
    <r>
      <rPr>
        <sz val="9"/>
        <rFont val="Arial MT"/>
        <family val="2"/>
      </rPr>
      <t>King Pong</t>
    </r>
  </si>
  <si>
    <r>
      <rPr>
        <sz val="9"/>
        <rFont val="Arial MT"/>
        <family val="2"/>
      </rPr>
      <t>Ziuzikov, Petr</t>
    </r>
  </si>
  <si>
    <t>https://www.tenisdemesaparatodos.com/jugadores_ficha.asp?codigo=26168</t>
  </si>
  <si>
    <r>
      <rPr>
        <sz val="9"/>
        <rFont val="Arial MT"/>
        <family val="2"/>
      </rPr>
      <t>Rodgers, Matías</t>
    </r>
  </si>
  <si>
    <t>https://www.tenisdemesaparatodos.com/jugadores_ficha.asp?codigo=660</t>
  </si>
  <si>
    <r>
      <rPr>
        <sz val="9"/>
        <rFont val="Arial MT"/>
        <family val="2"/>
      </rPr>
      <t>Martignone, Tadeo</t>
    </r>
  </si>
  <si>
    <t>https://www.tenisdemesaparatodos.com/jugadores_ficha.asp?codigo=18508</t>
  </si>
  <si>
    <r>
      <rPr>
        <sz val="9"/>
        <rFont val="Arial MT"/>
        <family val="2"/>
      </rPr>
      <t>Kubrak, Cristian</t>
    </r>
  </si>
  <si>
    <t>https://www.tenisdemesaparatodos.com/jugadores_ficha.asp?codigo=24599</t>
  </si>
  <si>
    <r>
      <rPr>
        <sz val="9"/>
        <rFont val="Arial MT"/>
        <family val="2"/>
      </rPr>
      <t>Rodriguez Molinari, Pablo</t>
    </r>
  </si>
  <si>
    <t>https://www.tenisdemesaparatodos.com/jugadores_ficha.asp?codigo=1917</t>
  </si>
  <si>
    <r>
      <rPr>
        <sz val="9"/>
        <rFont val="Arial MT"/>
        <family val="2"/>
      </rPr>
      <t>Lopez, Ariel Orlando</t>
    </r>
  </si>
  <si>
    <t>https://www.tenisdemesaparatodos.com/jugadores_ficha.asp?codigo=14202</t>
  </si>
  <si>
    <r>
      <rPr>
        <sz val="9"/>
        <rFont val="Arial MT"/>
        <family val="2"/>
      </rPr>
      <t>Rojas, Augusto</t>
    </r>
  </si>
  <si>
    <t>https://www.tenisdemesaparatodos.com/jugadores_ficha.asp?codigo=17687</t>
  </si>
  <si>
    <r>
      <rPr>
        <sz val="9"/>
        <rFont val="Arial MT"/>
        <family val="2"/>
      </rPr>
      <t>Dratewka, Dror</t>
    </r>
  </si>
  <si>
    <t>https://www.tenisdemesaparatodos.com/jugadores_ficha.asp?codigo=28079</t>
  </si>
  <si>
    <r>
      <rPr>
        <sz val="9"/>
        <rFont val="Arial MT"/>
        <family val="2"/>
      </rPr>
      <t>Freire, Esteban</t>
    </r>
  </si>
  <si>
    <t>https://www.tenisdemesaparatodos.com/jugadores_ficha.asp?codigo=16152</t>
  </si>
  <si>
    <r>
      <rPr>
        <sz val="9"/>
        <rFont val="Arial MT"/>
        <family val="2"/>
      </rPr>
      <t>Rossi, Gaston</t>
    </r>
  </si>
  <si>
    <t>https://www.tenisdemesaparatodos.com/jugadores_ficha.asp?codigo=9722</t>
  </si>
  <si>
    <r>
      <rPr>
        <sz val="9"/>
        <rFont val="Arial MT"/>
        <family val="2"/>
      </rPr>
      <t>Dratewka, Maximo</t>
    </r>
  </si>
  <si>
    <t>https://www.tenisdemesaparatodos.com/jugadores_ficha.asp?codigo=28323</t>
  </si>
  <si>
    <r>
      <rPr>
        <sz val="9"/>
        <rFont val="Arial MT"/>
        <family val="2"/>
      </rPr>
      <t>Camji, Jano</t>
    </r>
  </si>
  <si>
    <t>https://www.tenisdemesaparatodos.com/jugadores_ficha.asp?codigo=28665</t>
  </si>
  <si>
    <r>
      <rPr>
        <sz val="9"/>
        <rFont val="Arial MT"/>
        <family val="2"/>
      </rPr>
      <t>Camji, Guido</t>
    </r>
  </si>
  <si>
    <t>https://www.tenisdemesaparatodos.com/jugadores_ficha.asp?codigo=28711</t>
  </si>
  <si>
    <r>
      <rPr>
        <sz val="9"/>
        <rFont val="Arial MT"/>
        <family val="2"/>
      </rPr>
      <t>Voroshilova, Elizabeth</t>
    </r>
  </si>
  <si>
    <t>https://www.tenisdemesaparatodos.com/jugadores_ficha.asp?codigo=27484</t>
  </si>
  <si>
    <r>
      <rPr>
        <sz val="9"/>
        <rFont val="Arial MT"/>
        <family val="2"/>
      </rPr>
      <t>Franchini, Maria Victoria</t>
    </r>
  </si>
  <si>
    <t>https://www.tenisdemesaparatodos.com/jugadores_ficha.asp?codigo=23900</t>
  </si>
  <si>
    <r>
      <rPr>
        <sz val="9"/>
        <rFont val="Arial MT"/>
        <family val="2"/>
      </rPr>
      <t>Piñeiro, Jose</t>
    </r>
  </si>
  <si>
    <t>https://www.tenisdemesaparatodos.com/jugadores_ficha.asp?codigo=29131</t>
  </si>
  <si>
    <r>
      <rPr>
        <sz val="9"/>
        <rFont val="Arial MT"/>
        <family val="2"/>
      </rPr>
      <t>La Legión TDM</t>
    </r>
  </si>
  <si>
    <r>
      <rPr>
        <sz val="9"/>
        <rFont val="Arial MT"/>
        <family val="2"/>
      </rPr>
      <t>Weiss, Alejandro</t>
    </r>
  </si>
  <si>
    <t>https://www.tenisdemesaparatodos.com/jugadores_ficha.asp?codigo=15735</t>
  </si>
  <si>
    <r>
      <rPr>
        <sz val="9"/>
        <rFont val="Arial MT"/>
        <family val="2"/>
      </rPr>
      <t>Sangiacomo, Jonathan</t>
    </r>
  </si>
  <si>
    <t>https://www.tenisdemesaparatodos.com/jugadores_ficha.asp?codigo=3672</t>
  </si>
  <si>
    <r>
      <rPr>
        <sz val="9"/>
        <rFont val="Arial MT"/>
        <family val="2"/>
      </rPr>
      <t>Shahmuradyan, Rafael</t>
    </r>
  </si>
  <si>
    <t>https://www.tenisdemesaparatodos.com/jugadores_ficha.asp?codigo=17438</t>
  </si>
  <si>
    <r>
      <rPr>
        <sz val="9"/>
        <rFont val="Arial MT"/>
        <family val="2"/>
      </rPr>
      <t>Riccio, Nicolas</t>
    </r>
  </si>
  <si>
    <t>https://www.tenisdemesaparatodos.com/jugadores_ficha.asp?codigo=9409</t>
  </si>
  <si>
    <r>
      <rPr>
        <sz val="9"/>
        <rFont val="Arial MT"/>
        <family val="2"/>
      </rPr>
      <t>Padin, Julieta</t>
    </r>
  </si>
  <si>
    <t>https://www.tenisdemesaparatodos.com/jugadores_ficha.asp?codigo=15772</t>
  </si>
  <si>
    <r>
      <rPr>
        <sz val="9"/>
        <rFont val="Arial MT"/>
        <family val="2"/>
      </rPr>
      <t>Zualet, Jorge A.</t>
    </r>
  </si>
  <si>
    <t>https://www.tenisdemesaparatodos.com/jugadores_ficha.asp?codigo=4022</t>
  </si>
  <si>
    <r>
      <rPr>
        <sz val="9"/>
        <rFont val="Arial MT"/>
        <family val="2"/>
      </rPr>
      <t>Busetto, Martin</t>
    </r>
  </si>
  <si>
    <t>https://www.tenisdemesaparatodos.com/jugadores_ficha.asp?codigo=6562</t>
  </si>
  <si>
    <r>
      <rPr>
        <sz val="9"/>
        <rFont val="Arial MT"/>
        <family val="2"/>
      </rPr>
      <t>Maldonado, Martin</t>
    </r>
  </si>
  <si>
    <t>https://www.tenisdemesaparatodos.com/jugadores_ficha.asp?codigo=17828</t>
  </si>
  <si>
    <r>
      <rPr>
        <sz val="9"/>
        <rFont val="Arial MT"/>
        <family val="2"/>
      </rPr>
      <t>Mora Mena, Carlos</t>
    </r>
  </si>
  <si>
    <t>https://www.tenisdemesaparatodos.com/jugadores_ficha.asp?codigo=24890</t>
  </si>
  <si>
    <r>
      <rPr>
        <sz val="9"/>
        <rFont val="Arial MT"/>
        <family val="2"/>
      </rPr>
      <t>Fiorda, Jonathan</t>
    </r>
  </si>
  <si>
    <t>https://www.tenisdemesaparatodos.com/jugadores_ficha.asp?codigo=8434</t>
  </si>
  <si>
    <r>
      <rPr>
        <sz val="9"/>
        <rFont val="Arial MT"/>
        <family val="2"/>
      </rPr>
      <t>Castro, Gonzalo</t>
    </r>
  </si>
  <si>
    <t>https://www.tenisdemesaparatodos.com/jugadores_ficha.asp?codigo=5871</t>
  </si>
  <si>
    <r>
      <rPr>
        <sz val="9"/>
        <rFont val="Arial MT"/>
        <family val="2"/>
      </rPr>
      <t>Laight, Robin</t>
    </r>
  </si>
  <si>
    <t>https://www.tenisdemesaparatodos.com/jugadores_ficha.asp?codigo=13315</t>
  </si>
  <si>
    <r>
      <rPr>
        <sz val="9"/>
        <rFont val="Arial MT"/>
        <family val="2"/>
      </rPr>
      <t>Pecora, Paulo</t>
    </r>
  </si>
  <si>
    <t>https://www.tenisdemesaparatodos.com/jugadores_ficha.asp?codigo=19498</t>
  </si>
  <si>
    <r>
      <rPr>
        <sz val="9"/>
        <rFont val="Arial MT"/>
        <family val="2"/>
      </rPr>
      <t>Espinosa, Juan Ignacio</t>
    </r>
  </si>
  <si>
    <t>https://www.tenisdemesaparatodos.com/jugadores_ficha.asp?codigo=12097</t>
  </si>
  <si>
    <r>
      <rPr>
        <sz val="9"/>
        <rFont val="Arial MT"/>
        <family val="2"/>
      </rPr>
      <t>Tapia, Tomas A.</t>
    </r>
  </si>
  <si>
    <t>https://www.tenisdemesaparatodos.com/jugadores_ficha.asp?codigo=8930</t>
  </si>
  <si>
    <r>
      <rPr>
        <sz val="9"/>
        <rFont val="Arial MT"/>
        <family val="2"/>
      </rPr>
      <t>Varona Sosa, Nicolas</t>
    </r>
  </si>
  <si>
    <t>https://www.tenisdemesaparatodos.com/jugadores_ficha.asp?codigo=22604</t>
  </si>
  <si>
    <r>
      <rPr>
        <sz val="9"/>
        <rFont val="Arial MT"/>
        <family val="2"/>
      </rPr>
      <t>Sanchez, Javier</t>
    </r>
  </si>
  <si>
    <t>https://www.tenisdemesaparatodos.com/jugadores_ficha.asp?codigo=25221</t>
  </si>
  <si>
    <r>
      <rPr>
        <sz val="9"/>
        <rFont val="Arial MT"/>
        <family val="2"/>
      </rPr>
      <t>Marquez, Daniel</t>
    </r>
  </si>
  <si>
    <t>https://www.tenisdemesaparatodos.com/jugadores_ficha.asp?codigo=21750</t>
  </si>
  <si>
    <r>
      <rPr>
        <sz val="9"/>
        <rFont val="Arial MT"/>
        <family val="2"/>
      </rPr>
      <t>Alvarado, Damian</t>
    </r>
  </si>
  <si>
    <t>https://www.tenisdemesaparatodos.com/jugadores_ficha.asp?codigo=25614</t>
  </si>
  <si>
    <r>
      <rPr>
        <sz val="9"/>
        <rFont val="Arial MT"/>
        <family val="2"/>
      </rPr>
      <t>Di Pietrantonio, Cristian</t>
    </r>
  </si>
  <si>
    <t>https://www.tenisdemesaparatodos.com/jugadores_ficha.asp?codigo=688</t>
  </si>
  <si>
    <r>
      <rPr>
        <sz val="9"/>
        <rFont val="Arial MT"/>
        <family val="2"/>
      </rPr>
      <t>Misle Belisario, Alfredo</t>
    </r>
  </si>
  <si>
    <t>https://www.tenisdemesaparatodos.com/jugadores_ficha.asp?codigo=24389</t>
  </si>
  <si>
    <r>
      <rPr>
        <sz val="9"/>
        <rFont val="Arial MT"/>
        <family val="2"/>
      </rPr>
      <t>Rodriguez, Ivan</t>
    </r>
  </si>
  <si>
    <t>https://www.tenisdemesaparatodos.com/jugadores_ficha.asp?codigo=6877</t>
  </si>
  <si>
    <r>
      <rPr>
        <sz val="9"/>
        <rFont val="Arial MT"/>
        <family val="2"/>
      </rPr>
      <t>La Legión TDM A</t>
    </r>
  </si>
  <si>
    <r>
      <rPr>
        <sz val="9"/>
        <rFont val="Arial MT"/>
        <family val="2"/>
      </rPr>
      <t>Fuertes Bubien, Federico</t>
    </r>
  </si>
  <si>
    <t>https://www.tenisdemesaparatodos.com/jugadores_ficha.asp?codigo=26718</t>
  </si>
  <si>
    <r>
      <rPr>
        <sz val="9"/>
        <rFont val="Arial MT"/>
        <family val="2"/>
      </rPr>
      <t>Bobeda, Mateo</t>
    </r>
  </si>
  <si>
    <t>https://www.tenisdemesaparatodos.com/jugadores_ficha.asp?codigo=25287</t>
  </si>
  <si>
    <r>
      <rPr>
        <sz val="9"/>
        <rFont val="Arial MT"/>
        <family val="2"/>
      </rPr>
      <t>Barvoza, Giuliano</t>
    </r>
  </si>
  <si>
    <t>https://www.tenisdemesaparatodos.com/jugadores_ficha.asp?codigo=28073</t>
  </si>
  <si>
    <r>
      <rPr>
        <sz val="9"/>
        <rFont val="Arial MT"/>
        <family val="2"/>
      </rPr>
      <t>Arepoco Accostupa, Thiago</t>
    </r>
  </si>
  <si>
    <t>https://www.tenisdemesaparatodos.com/jugadores_ficha.asp?codigo=24349</t>
  </si>
  <si>
    <r>
      <rPr>
        <sz val="9"/>
        <rFont val="Arial MT"/>
        <family val="2"/>
      </rPr>
      <t>Fernandez Theillet, Santino</t>
    </r>
  </si>
  <si>
    <t>https://www.tenisdemesaparatodos.com/jugadores_ficha.asp?codigo=27243</t>
  </si>
  <si>
    <r>
      <rPr>
        <sz val="9"/>
        <rFont val="Arial MT"/>
        <family val="2"/>
      </rPr>
      <t>Cruz, Pedro Joaquin</t>
    </r>
  </si>
  <si>
    <t>https://www.tenisdemesaparatodos.com/jugadores_ficha.asp?codigo=27286</t>
  </si>
  <si>
    <r>
      <rPr>
        <sz val="9"/>
        <rFont val="Arial MT"/>
        <family val="2"/>
      </rPr>
      <t>Fernandez, Santino</t>
    </r>
  </si>
  <si>
    <t>https://www.tenisdemesaparatodos.com/jugadores_ficha.asp?codigo=18139</t>
  </si>
  <si>
    <r>
      <rPr>
        <sz val="9"/>
        <rFont val="Arial MT"/>
        <family val="2"/>
      </rPr>
      <t>Leon, Luis</t>
    </r>
  </si>
  <si>
    <t>https://www.tenisdemesaparatodos.com/jugadores_ficha.asp?codigo=27265</t>
  </si>
  <si>
    <r>
      <rPr>
        <sz val="9"/>
        <rFont val="Arial MT"/>
        <family val="2"/>
      </rPr>
      <t>La Legión TDM B</t>
    </r>
  </si>
  <si>
    <r>
      <rPr>
        <sz val="9"/>
        <rFont val="Arial MT"/>
        <family val="2"/>
      </rPr>
      <t>Craimowicz, Damian</t>
    </r>
  </si>
  <si>
    <t>https://www.tenisdemesaparatodos.com/jugadores_ficha.asp?codigo=20990</t>
  </si>
  <si>
    <r>
      <rPr>
        <sz val="9"/>
        <rFont val="Arial MT"/>
        <family val="2"/>
      </rPr>
      <t>Sosa, Federico</t>
    </r>
  </si>
  <si>
    <t>https://www.tenisdemesaparatodos.com/jugadores_ficha.asp?codigo=22321</t>
  </si>
  <si>
    <r>
      <rPr>
        <sz val="9"/>
        <rFont val="Arial MT"/>
        <family val="2"/>
      </rPr>
      <t>Alvarado, Yorgelis</t>
    </r>
  </si>
  <si>
    <t>https://www.tenisdemesaparatodos.com/jugadores_ficha.asp?codigo=28883</t>
  </si>
  <si>
    <r>
      <rPr>
        <sz val="9"/>
        <rFont val="Arial MT"/>
        <family val="2"/>
      </rPr>
      <t>Pichipil, Cristian</t>
    </r>
  </si>
  <si>
    <t>https://www.tenisdemesaparatodos.com/jugadores_ficha.asp?codigo=7746</t>
  </si>
  <si>
    <r>
      <rPr>
        <sz val="9"/>
        <rFont val="Arial MT"/>
        <family val="2"/>
      </rPr>
      <t>Tully, Adam</t>
    </r>
  </si>
  <si>
    <t>https://www.tenisdemesaparatodos.com/jugadores_ficha.asp?codigo=25883</t>
  </si>
  <si>
    <r>
      <rPr>
        <sz val="9"/>
        <rFont val="Arial MT"/>
        <family val="2"/>
      </rPr>
      <t>Pelusso, Teresa de Jesus</t>
    </r>
  </si>
  <si>
    <t>https://www.tenisdemesaparatodos.com/jugadores_ficha.asp?codigo=27721</t>
  </si>
  <si>
    <r>
      <rPr>
        <sz val="9"/>
        <rFont val="Arial MT"/>
        <family val="2"/>
      </rPr>
      <t>Casarin Novak, Erica</t>
    </r>
  </si>
  <si>
    <t>https://www.tenisdemesaparatodos.com/jugadores_ficha.asp?codigo=25155</t>
  </si>
  <si>
    <r>
      <rPr>
        <sz val="9"/>
        <rFont val="Arial MT"/>
        <family val="2"/>
      </rPr>
      <t>Guia, Walter</t>
    </r>
  </si>
  <si>
    <t>https://www.tenisdemesaparatodos.com/jugadores_ficha.asp?codigo=16275</t>
  </si>
  <si>
    <r>
      <rPr>
        <sz val="9"/>
        <rFont val="Arial MT"/>
        <family val="2"/>
      </rPr>
      <t>La Patriada TDM</t>
    </r>
  </si>
  <si>
    <r>
      <rPr>
        <sz val="9"/>
        <rFont val="Arial MT"/>
        <family val="2"/>
      </rPr>
      <t>Villavicencio, Hernan</t>
    </r>
  </si>
  <si>
    <t>https://www.tenisdemesaparatodos.com/jugadores_ficha.asp?codigo=13269</t>
  </si>
  <si>
    <r>
      <rPr>
        <sz val="9"/>
        <rFont val="Arial MT"/>
        <family val="2"/>
      </rPr>
      <t>Fernandez Sandoval, Victoria</t>
    </r>
  </si>
  <si>
    <t>https://www.tenisdemesaparatodos.com/jugadores_ficha.asp?codigo=20780</t>
  </si>
  <si>
    <r>
      <rPr>
        <sz val="9"/>
        <rFont val="Arial MT"/>
        <family val="2"/>
      </rPr>
      <t>Arce, Lionel Ian</t>
    </r>
  </si>
  <si>
    <t>https://www.tenisdemesaparatodos.com/jugadores_ficha.asp?codigo=25679</t>
  </si>
  <si>
    <r>
      <rPr>
        <sz val="9"/>
        <rFont val="Arial MT"/>
        <family val="2"/>
      </rPr>
      <t>Higa, Luisa</t>
    </r>
  </si>
  <si>
    <t>https://www.tenisdemesaparatodos.com/jugadores_ficha.asp?codigo=13268</t>
  </si>
  <si>
    <r>
      <rPr>
        <sz val="9"/>
        <rFont val="Arial MT"/>
        <family val="2"/>
      </rPr>
      <t>Arakaki, Jorge</t>
    </r>
  </si>
  <si>
    <t>https://www.tenisdemesaparatodos.com/jugadores_ficha.asp?codigo=27017</t>
  </si>
  <si>
    <r>
      <rPr>
        <sz val="9"/>
        <rFont val="Arial MT"/>
        <family val="2"/>
      </rPr>
      <t>Torres, Joaquin</t>
    </r>
  </si>
  <si>
    <t>https://www.tenisdemesaparatodos.com/jugadores_ficha.asp?codigo=27044</t>
  </si>
  <si>
    <r>
      <rPr>
        <sz val="9"/>
        <rFont val="Arial MT"/>
        <family val="2"/>
      </rPr>
      <t>Sandoval, Hector O.</t>
    </r>
  </si>
  <si>
    <t>https://www.tenisdemesaparatodos.com/jugadores_ficha.asp?codigo=14150</t>
  </si>
  <si>
    <r>
      <rPr>
        <sz val="9"/>
        <rFont val="Arial MT"/>
        <family val="2"/>
      </rPr>
      <t>Arce, German A.</t>
    </r>
  </si>
  <si>
    <t>https://www.tenisdemesaparatodos.com/jugadores_ficha.asp?codigo=25699</t>
  </si>
  <si>
    <r>
      <rPr>
        <sz val="9"/>
        <rFont val="Arial MT"/>
        <family val="2"/>
      </rPr>
      <t>Torres, Jorge O.</t>
    </r>
  </si>
  <si>
    <t>https://www.tenisdemesaparatodos.com/jugadores_ficha.asp?codigo=27046</t>
  </si>
  <si>
    <r>
      <rPr>
        <sz val="9"/>
        <rFont val="Arial MT"/>
        <family val="2"/>
      </rPr>
      <t>Beltiaziamico, Mario</t>
    </r>
  </si>
  <si>
    <t>https://www.tenisdemesaparatodos.com/jugadores_ficha.asp?codigo=6006</t>
  </si>
  <si>
    <r>
      <rPr>
        <sz val="9"/>
        <rFont val="Arial MT"/>
        <family val="2"/>
      </rPr>
      <t>Vargas, Ruben</t>
    </r>
  </si>
  <si>
    <t>https://www.tenisdemesaparatodos.com/jugadores_ficha.asp?codigo=15194</t>
  </si>
  <si>
    <r>
      <rPr>
        <sz val="9"/>
        <rFont val="Arial MT"/>
        <family val="2"/>
      </rPr>
      <t>Gallo Melva, Liliana</t>
    </r>
  </si>
  <si>
    <t>https://www.tenisdemesaparatodos.com/jugadores_ficha.asp?codigo=22174</t>
  </si>
  <si>
    <r>
      <rPr>
        <sz val="9"/>
        <rFont val="Arial MT"/>
        <family val="2"/>
      </rPr>
      <t>Mansilla, Olivia R.</t>
    </r>
  </si>
  <si>
    <t>https://www.tenisdemesaparatodos.com/jugadores_ficha.asp?codigo=26523</t>
  </si>
  <si>
    <r>
      <rPr>
        <sz val="9"/>
        <rFont val="Arial MT"/>
        <family val="2"/>
      </rPr>
      <t>Libertad</t>
    </r>
  </si>
  <si>
    <r>
      <rPr>
        <sz val="9"/>
        <rFont val="Arial MT"/>
        <family val="2"/>
      </rPr>
      <t>Libertad A</t>
    </r>
  </si>
  <si>
    <r>
      <rPr>
        <sz val="9"/>
        <rFont val="Arial MT"/>
        <family val="2"/>
      </rPr>
      <t>Dagorret, Lautaro</t>
    </r>
  </si>
  <si>
    <t>https://www.tenisdemesaparatodos.com/jugadores_ficha.asp?codigo=9904</t>
  </si>
  <si>
    <r>
      <rPr>
        <sz val="9"/>
        <rFont val="Arial MT"/>
        <family val="2"/>
      </rPr>
      <t>Alvarado, Diego</t>
    </r>
  </si>
  <si>
    <t>https://www.tenisdemesaparatodos.com/jugadores_ficha.asp?codigo=28209</t>
  </si>
  <si>
    <r>
      <rPr>
        <sz val="9"/>
        <rFont val="Arial MT"/>
        <family val="2"/>
      </rPr>
      <t>Martinez, Lucinio</t>
    </r>
  </si>
  <si>
    <t>https://www.tenisdemesaparatodos.com/jugadores_ficha.asp?codigo=19435</t>
  </si>
  <si>
    <r>
      <rPr>
        <sz val="9"/>
        <rFont val="Arial MT"/>
        <family val="2"/>
      </rPr>
      <t>Coronel, Martin</t>
    </r>
  </si>
  <si>
    <t>https://www.tenisdemesaparatodos.com/jugadores_ficha.asp?codigo=29393</t>
  </si>
  <si>
    <r>
      <rPr>
        <sz val="9"/>
        <rFont val="Arial MT"/>
        <family val="2"/>
      </rPr>
      <t>Sago, Facundo</t>
    </r>
  </si>
  <si>
    <t>https://www.tenisdemesaparatodos.com/jugadores_ficha.asp?codigo=26177</t>
  </si>
  <si>
    <r>
      <rPr>
        <sz val="9"/>
        <rFont val="Arial MT"/>
        <family val="2"/>
      </rPr>
      <t>Yuge, Yamil</t>
    </r>
  </si>
  <si>
    <t>https://www.tenisdemesaparatodos.com/jugadores_ficha.asp?codigo=27139</t>
  </si>
  <si>
    <r>
      <rPr>
        <sz val="9"/>
        <rFont val="Arial MT"/>
        <family val="2"/>
      </rPr>
      <t>Garbini Camiña, Franco</t>
    </r>
  </si>
  <si>
    <t>https://www.tenisdemesaparatodos.com/jugadores_ficha.asp?codigo=20106</t>
  </si>
  <si>
    <r>
      <rPr>
        <sz val="9"/>
        <rFont val="Arial MT"/>
        <family val="2"/>
      </rPr>
      <t>Korell, Camilo</t>
    </r>
  </si>
  <si>
    <t>https://www.tenisdemesaparatodos.com/jugadores_ficha.asp?codigo=27793</t>
  </si>
  <si>
    <r>
      <rPr>
        <sz val="9"/>
        <rFont val="Arial MT"/>
        <family val="2"/>
      </rPr>
      <t>Libertad B</t>
    </r>
  </si>
  <si>
    <r>
      <rPr>
        <sz val="9"/>
        <rFont val="Arial MT"/>
        <family val="2"/>
      </rPr>
      <t>Jimenez, Raul</t>
    </r>
  </si>
  <si>
    <t>https://www.tenisdemesaparatodos.com/jugadores_ficha.asp?codigo=19997</t>
  </si>
  <si>
    <r>
      <rPr>
        <sz val="9"/>
        <rFont val="Arial MT"/>
        <family val="2"/>
      </rPr>
      <t>Mascheroni, Nazareno</t>
    </r>
  </si>
  <si>
    <t>https://www.tenisdemesaparatodos.com/jugadores_ficha.asp?codigo=24836</t>
  </si>
  <si>
    <r>
      <rPr>
        <sz val="9"/>
        <rFont val="Arial MT"/>
        <family val="2"/>
      </rPr>
      <t>Ruau, Sergio</t>
    </r>
  </si>
  <si>
    <t>https://www.tenisdemesaparatodos.com/jugadores_ficha.asp?codigo=9775</t>
  </si>
  <si>
    <r>
      <rPr>
        <sz val="9"/>
        <rFont val="Arial MT"/>
        <family val="2"/>
      </rPr>
      <t>Rodriguez, Felipe</t>
    </r>
  </si>
  <si>
    <t>https://www.tenisdemesaparatodos.com/jugadores_ficha.asp?codigo=13551</t>
  </si>
  <si>
    <r>
      <rPr>
        <sz val="9"/>
        <rFont val="Arial MT"/>
        <family val="2"/>
      </rPr>
      <t>Gliemmo, Joaquin</t>
    </r>
  </si>
  <si>
    <t>https://www.tenisdemesaparatodos.com/jugadores_ficha.asp?codigo=19545</t>
  </si>
  <si>
    <r>
      <rPr>
        <sz val="9"/>
        <rFont val="Arial MT"/>
        <family val="2"/>
      </rPr>
      <t>Rolon, Sergio</t>
    </r>
  </si>
  <si>
    <t>https://www.tenisdemesaparatodos.com/jugadores_ficha.asp?codigo=15539</t>
  </si>
  <si>
    <r>
      <rPr>
        <sz val="9"/>
        <rFont val="Arial MT"/>
        <family val="2"/>
      </rPr>
      <t>Sion, Daniel</t>
    </r>
  </si>
  <si>
    <t>https://www.tenisdemesaparatodos.com/jugadores_ficha.asp?codigo=25908</t>
  </si>
  <si>
    <r>
      <rPr>
        <sz val="9"/>
        <rFont val="Arial MT"/>
        <family val="2"/>
      </rPr>
      <t>Macabi</t>
    </r>
  </si>
  <si>
    <r>
      <rPr>
        <sz val="9"/>
        <rFont val="Arial MT"/>
        <family val="2"/>
      </rPr>
      <t>Nikitin, Evgeny</t>
    </r>
  </si>
  <si>
    <t>https://www.tenisdemesaparatodos.com/jugadores_ficha.asp?codigo=25360</t>
  </si>
  <si>
    <r>
      <rPr>
        <sz val="9"/>
        <rFont val="Arial MT"/>
        <family val="2"/>
      </rPr>
      <t>Rotryng Alvarez, Facundo</t>
    </r>
  </si>
  <si>
    <t>https://www.tenisdemesaparatodos.com/jugadores_ficha.asp?codigo=9278</t>
  </si>
  <si>
    <r>
      <rPr>
        <sz val="9"/>
        <rFont val="Arial MT"/>
        <family val="2"/>
      </rPr>
      <t>Duek, Joaquin</t>
    </r>
  </si>
  <si>
    <t>https://www.tenisdemesaparatodos.com/jugadores_ficha.asp?codigo=16041</t>
  </si>
  <si>
    <r>
      <rPr>
        <sz val="9"/>
        <rFont val="Arial MT"/>
        <family val="2"/>
      </rPr>
      <t>Gans, Ignacio</t>
    </r>
  </si>
  <si>
    <t>https://www.tenisdemesaparatodos.com/jugadores_ficha.asp?codigo=11458</t>
  </si>
  <si>
    <r>
      <rPr>
        <sz val="9"/>
        <rFont val="Arial MT"/>
        <family val="2"/>
      </rPr>
      <t>Gitelman, Lorena</t>
    </r>
  </si>
  <si>
    <t>https://www.tenisdemesaparatodos.com/jugadores_ficha.asp?codigo=20115</t>
  </si>
  <si>
    <r>
      <rPr>
        <sz val="9"/>
        <rFont val="Arial MT"/>
        <family val="2"/>
      </rPr>
      <t>Dyjament, Tadeo</t>
    </r>
  </si>
  <si>
    <t>https://www.tenisdemesaparatodos.com/jugadores_ficha.asp?codigo=22360</t>
  </si>
  <si>
    <r>
      <rPr>
        <sz val="9"/>
        <rFont val="Arial MT"/>
        <family val="2"/>
      </rPr>
      <t>Milgram, Roni</t>
    </r>
  </si>
  <si>
    <t>https://www.tenisdemesaparatodos.com/jugadores_ficha.asp?codigo=2679</t>
  </si>
  <si>
    <r>
      <rPr>
        <sz val="9"/>
        <rFont val="Arial MT"/>
        <family val="2"/>
      </rPr>
      <t>Jamilis, Eliel Dan</t>
    </r>
  </si>
  <si>
    <t>https://www.tenisdemesaparatodos.com/jugadores_ficha.asp?codigo=23726</t>
  </si>
  <si>
    <r>
      <rPr>
        <sz val="9"/>
        <rFont val="Arial MT"/>
        <family val="2"/>
      </rPr>
      <t>Balas, Sebastian</t>
    </r>
  </si>
  <si>
    <t>https://www.tenisdemesaparatodos.com/jugadores_ficha.asp?codigo=3927</t>
  </si>
  <si>
    <r>
      <rPr>
        <sz val="9"/>
        <rFont val="Arial MT"/>
        <family val="2"/>
      </rPr>
      <t>Buchbinder, Sharon</t>
    </r>
  </si>
  <si>
    <t>https://www.tenisdemesaparatodos.com/jugadores_ficha.asp?codigo=15148</t>
  </si>
  <si>
    <r>
      <rPr>
        <sz val="9"/>
        <rFont val="Arial MT"/>
        <family val="2"/>
      </rPr>
      <t>Dyksztein, Ariel A.</t>
    </r>
  </si>
  <si>
    <t>https://www.tenisdemesaparatodos.com/jugadores_ficha.asp?codigo=21558</t>
  </si>
  <si>
    <r>
      <rPr>
        <sz val="9"/>
        <rFont val="Arial MT"/>
        <family val="2"/>
      </rPr>
      <t>Feldman, Damian</t>
    </r>
  </si>
  <si>
    <t>https://www.tenisdemesaparatodos.com/jugadores_ficha.asp?codigo=21339</t>
  </si>
  <si>
    <r>
      <rPr>
        <sz val="9"/>
        <rFont val="Arial MT"/>
        <family val="2"/>
      </rPr>
      <t>Fleisman, Ivan</t>
    </r>
  </si>
  <si>
    <t>https://www.tenisdemesaparatodos.com/jugadores_ficha.asp?codigo=28324</t>
  </si>
  <si>
    <r>
      <rPr>
        <sz val="9"/>
        <rFont val="Arial MT"/>
        <family val="2"/>
      </rPr>
      <t>Laperie Buchbinder, Raquel</t>
    </r>
  </si>
  <si>
    <t>https://www.tenisdemesaparatodos.com/jugadores_ficha.asp?codigo=16128</t>
  </si>
  <si>
    <r>
      <rPr>
        <sz val="9"/>
        <rFont val="Arial MT"/>
        <family val="2"/>
      </rPr>
      <t>Marquis, Julian</t>
    </r>
  </si>
  <si>
    <t>https://www.tenisdemesaparatodos.com/jugadores_ficha.asp?codigo=14192</t>
  </si>
  <si>
    <r>
      <rPr>
        <sz val="9"/>
        <rFont val="Arial MT"/>
        <family val="2"/>
      </rPr>
      <t>Pomponio, Daniel R.</t>
    </r>
  </si>
  <si>
    <t>https://www.tenisdemesaparatodos.com/jugadores_ficha.asp?codigo=28254</t>
  </si>
  <si>
    <r>
      <rPr>
        <sz val="9"/>
        <rFont val="Arial MT"/>
        <family val="2"/>
      </rPr>
      <t>Dorfman, Leonardo G.</t>
    </r>
  </si>
  <si>
    <t>https://www.tenisdemesaparatodos.com/jugadores_ficha.asp?codigo=25974</t>
  </si>
  <si>
    <r>
      <rPr>
        <sz val="9"/>
        <rFont val="Arial MT"/>
        <family val="2"/>
      </rPr>
      <t>Levkovich, Mariano</t>
    </r>
  </si>
  <si>
    <t>https://www.tenisdemesaparatodos.com/jugadores_ficha.asp?codigo=22603</t>
  </si>
  <si>
    <r>
      <rPr>
        <sz val="9"/>
        <rFont val="Arial MT"/>
        <family val="2"/>
      </rPr>
      <t>Galante, Carlos</t>
    </r>
  </si>
  <si>
    <t>https://www.tenisdemesaparatodos.com/jugadores_ficha.asp?codigo=29534</t>
  </si>
  <si>
    <r>
      <rPr>
        <sz val="9"/>
        <rFont val="Arial MT"/>
        <family val="2"/>
      </rPr>
      <t>MTM Uruguay</t>
    </r>
  </si>
  <si>
    <r>
      <rPr>
        <sz val="9"/>
        <rFont val="Arial MT"/>
        <family val="2"/>
      </rPr>
      <t>Lago, Pablo</t>
    </r>
  </si>
  <si>
    <t>https://www.tenisdemesaparatodos.com/jugadores_ficha.asp?codigo=14512</t>
  </si>
  <si>
    <r>
      <rPr>
        <sz val="9"/>
        <rFont val="Arial MT"/>
        <family val="2"/>
      </rPr>
      <t>Chulian, Nicolas</t>
    </r>
  </si>
  <si>
    <r>
      <rPr>
        <sz val="9"/>
        <rFont val="Arial MT"/>
        <family val="2"/>
      </rPr>
      <t>Jaramillo, Santiago</t>
    </r>
  </si>
  <si>
    <t>https://www.tenisdemesaparatodos.com/jugadores_ficha.asp?codigo=27755</t>
  </si>
  <si>
    <r>
      <rPr>
        <sz val="9"/>
        <rFont val="Arial MT"/>
        <family val="2"/>
      </rPr>
      <t>Chacon Fernandez, Leandro</t>
    </r>
  </si>
  <si>
    <t>https://www.tenisdemesaparatodos.com/jugadores_ficha.asp?codigo=2868</t>
  </si>
  <si>
    <r>
      <rPr>
        <sz val="9"/>
        <rFont val="Arial MT"/>
        <family val="2"/>
      </rPr>
      <t>Alcorta, Victor</t>
    </r>
  </si>
  <si>
    <t>https://www.tenisdemesaparatodos.com/jugadores_ficha.asp?codigo=22623</t>
  </si>
  <si>
    <r>
      <rPr>
        <sz val="9"/>
        <rFont val="Arial MT"/>
        <family val="2"/>
      </rPr>
      <t>Nichia Gakuin</t>
    </r>
  </si>
  <si>
    <r>
      <rPr>
        <sz val="9"/>
        <rFont val="Arial MT"/>
        <family val="2"/>
      </rPr>
      <t>Kashiwagi, Héctor</t>
    </r>
  </si>
  <si>
    <t>https://www.tenisdemesaparatodos.com/jugadores_ficha.asp?codigo=5847</t>
  </si>
  <si>
    <r>
      <rPr>
        <sz val="9"/>
        <rFont val="Arial MT"/>
        <family val="2"/>
      </rPr>
      <t>Rossi, Nicolás</t>
    </r>
  </si>
  <si>
    <t>https://www.tenisdemesaparatodos.com/jugadores_ficha.asp?codigo=1054</t>
  </si>
  <si>
    <r>
      <rPr>
        <sz val="9"/>
        <rFont val="Arial MT"/>
        <family val="2"/>
      </rPr>
      <t>Huergo, Maximiliano Román</t>
    </r>
  </si>
  <si>
    <t>https://www.tenisdemesaparatodos.com/jugadores_ficha.asp?codigo=13620</t>
  </si>
  <si>
    <r>
      <rPr>
        <sz val="9"/>
        <rFont val="Arial MT"/>
        <family val="2"/>
      </rPr>
      <t>Grimoldi, Maximiliano</t>
    </r>
  </si>
  <si>
    <t>https://www.tenisdemesaparatodos.com/jugadores_ficha.asp?codigo=1365</t>
  </si>
  <si>
    <r>
      <rPr>
        <sz val="9"/>
        <rFont val="Arial MT"/>
        <family val="2"/>
      </rPr>
      <t>Martinez, Federico</t>
    </r>
  </si>
  <si>
    <t>https://www.tenisdemesaparatodos.com/jugadores_ficha.asp?codigo=550</t>
  </si>
  <si>
    <r>
      <rPr>
        <sz val="9"/>
        <rFont val="Arial MT"/>
        <family val="2"/>
      </rPr>
      <t>Moro, Victor</t>
    </r>
  </si>
  <si>
    <t>https://www.tenisdemesaparatodos.com/jugadores_ficha.asp?codigo=14942</t>
  </si>
  <si>
    <r>
      <rPr>
        <sz val="9"/>
        <rFont val="Arial MT"/>
        <family val="2"/>
      </rPr>
      <t>Nichia Gakuin A</t>
    </r>
  </si>
  <si>
    <r>
      <rPr>
        <sz val="9"/>
        <rFont val="Arial MT"/>
        <family val="2"/>
      </rPr>
      <t>Fiore Shimoji, Juan M. Makoto</t>
    </r>
  </si>
  <si>
    <t>https://www.tenisdemesaparatodos.com/jugadores_ficha.asp?codigo=26814</t>
  </si>
  <si>
    <r>
      <rPr>
        <sz val="9"/>
        <rFont val="Arial MT"/>
        <family val="2"/>
      </rPr>
      <t>Man, Uriel</t>
    </r>
  </si>
  <si>
    <t>https://www.tenisdemesaparatodos.com/jugadores_ficha.asp?codigo=27095</t>
  </si>
  <si>
    <r>
      <rPr>
        <sz val="9"/>
        <rFont val="Arial MT"/>
        <family val="2"/>
      </rPr>
      <t>Tarico, Lisandro</t>
    </r>
  </si>
  <si>
    <t>https://www.tenisdemesaparatodos.com/jugadores_ficha.asp?codigo=26868</t>
  </si>
  <si>
    <r>
      <rPr>
        <sz val="9"/>
        <rFont val="Arial MT"/>
        <family val="2"/>
      </rPr>
      <t>Hormeche, Adriana</t>
    </r>
  </si>
  <si>
    <t>https://www.tenisdemesaparatodos.com/jugadores_ficha.asp?codigo=14240</t>
  </si>
  <si>
    <r>
      <rPr>
        <sz val="9"/>
        <rFont val="Arial MT"/>
        <family val="2"/>
      </rPr>
      <t>Takahashi, Vicente</t>
    </r>
  </si>
  <si>
    <t>https://www.tenisdemesaparatodos.com/jugadores_ficha.asp?codigo=26229</t>
  </si>
  <si>
    <r>
      <rPr>
        <sz val="9"/>
        <rFont val="Arial MT"/>
        <family val="2"/>
      </rPr>
      <t>Martinini, Lautaro</t>
    </r>
  </si>
  <si>
    <t>https://www.tenisdemesaparatodos.com/jugadores_ficha.asp?codigo=8326</t>
  </si>
  <si>
    <r>
      <rPr>
        <sz val="9"/>
        <rFont val="Arial MT"/>
        <family val="2"/>
      </rPr>
      <t>Hagiwara, Naoki</t>
    </r>
  </si>
  <si>
    <t>https://www.tenisdemesaparatodos.com/jugadores_ficha.asp?codigo=26191</t>
  </si>
  <si>
    <r>
      <rPr>
        <sz val="9"/>
        <rFont val="Arial MT"/>
        <family val="2"/>
      </rPr>
      <t>Juarez, Maximiliano</t>
    </r>
  </si>
  <si>
    <t>https://www.tenisdemesaparatodos.com/jugadores_ficha.asp?codigo=23084</t>
  </si>
  <si>
    <r>
      <rPr>
        <sz val="9"/>
        <rFont val="Arial MT"/>
        <family val="2"/>
      </rPr>
      <t>Nichia Gakuin B</t>
    </r>
  </si>
  <si>
    <r>
      <rPr>
        <sz val="9"/>
        <rFont val="Arial MT"/>
        <family val="2"/>
      </rPr>
      <t>Dellavalle, Juan Ignacio</t>
    </r>
  </si>
  <si>
    <t>https://www.tenisdemesaparatodos.com/jugadores_ficha.asp?codigo=23334</t>
  </si>
  <si>
    <r>
      <rPr>
        <sz val="9"/>
        <rFont val="Arial MT"/>
        <family val="2"/>
      </rPr>
      <t>Aguirre, Santiago</t>
    </r>
  </si>
  <si>
    <t>https://www.tenisdemesaparatodos.com/jugadores_ficha.asp?codigo=10074</t>
  </si>
  <si>
    <r>
      <rPr>
        <sz val="9"/>
        <rFont val="Arial MT"/>
        <family val="2"/>
      </rPr>
      <t>Hikari Biorci, Sebastian</t>
    </r>
  </si>
  <si>
    <t>https://www.tenisdemesaparatodos.com/jugadores_ficha.asp?codigo=24473</t>
  </si>
  <si>
    <r>
      <rPr>
        <sz val="9"/>
        <rFont val="Arial MT"/>
        <family val="2"/>
      </rPr>
      <t>Franco, Manuel N</t>
    </r>
  </si>
  <si>
    <t>https://www.tenisdemesaparatodos.com/jugadores_ficha.asp?codigo=18864</t>
  </si>
  <si>
    <r>
      <rPr>
        <sz val="9"/>
        <rFont val="Arial MT"/>
        <family val="2"/>
      </rPr>
      <t>Schwartz, Benjamin</t>
    </r>
  </si>
  <si>
    <t>https://www.tenisdemesaparatodos.com/jugadores_ficha.asp?codigo=27003</t>
  </si>
  <si>
    <r>
      <rPr>
        <sz val="9"/>
        <rFont val="Arial MT"/>
        <family val="2"/>
      </rPr>
      <t>Slepynin, Kirill</t>
    </r>
  </si>
  <si>
    <t>https://www.tenisdemesaparatodos.com/jugadores_ficha.asp?codigo=28222</t>
  </si>
  <si>
    <r>
      <rPr>
        <sz val="9"/>
        <rFont val="Arial MT"/>
        <family val="2"/>
      </rPr>
      <t>Nieva, Miguel</t>
    </r>
  </si>
  <si>
    <t>https://www.tenisdemesaparatodos.com/jugadores_ficha.asp?codigo=14224</t>
  </si>
  <si>
    <r>
      <rPr>
        <sz val="9"/>
        <rFont val="Arial MT"/>
        <family val="2"/>
      </rPr>
      <t>Gonzalez Zendron, Marcos</t>
    </r>
  </si>
  <si>
    <t>https://www.tenisdemesaparatodos.com/jugadores_ficha.asp?codigo=25726</t>
  </si>
  <si>
    <r>
      <rPr>
        <sz val="9"/>
        <rFont val="Arial MT"/>
        <family val="2"/>
      </rPr>
      <t>Nikkei TDM</t>
    </r>
  </si>
  <si>
    <r>
      <rPr>
        <sz val="9"/>
        <rFont val="Arial MT"/>
        <family val="2"/>
      </rPr>
      <t>Burotto, Pablo</t>
    </r>
  </si>
  <si>
    <t>https://www.tenisdemesaparatodos.com/jugadores_ficha.asp?codigo=15239</t>
  </si>
  <si>
    <r>
      <rPr>
        <sz val="9"/>
        <rFont val="Arial MT"/>
        <family val="2"/>
      </rPr>
      <t>Yamashiro, Juan</t>
    </r>
  </si>
  <si>
    <t>https://www.tenisdemesaparatodos.com/jugadores_ficha.asp?codigo=1280</t>
  </si>
  <si>
    <r>
      <rPr>
        <sz val="9"/>
        <rFont val="Arial MT"/>
        <family val="2"/>
      </rPr>
      <t>Fernandez Arevalo, Mariano</t>
    </r>
  </si>
  <si>
    <t>https://www.tenisdemesaparatodos.com/jugadores_ficha.asp?codigo=9879</t>
  </si>
  <si>
    <r>
      <rPr>
        <sz val="9"/>
        <rFont val="Arial MT"/>
        <family val="2"/>
      </rPr>
      <t>Agnese, Valentin</t>
    </r>
  </si>
  <si>
    <t>https://www.tenisdemesaparatodos.com/jugadores_ficha.asp?codigo=27503</t>
  </si>
  <si>
    <r>
      <rPr>
        <sz val="9"/>
        <rFont val="Arial MT"/>
        <family val="2"/>
      </rPr>
      <t>Uema, Alejandro</t>
    </r>
  </si>
  <si>
    <t>https://www.tenisdemesaparatodos.com/jugadores_ficha.asp?codigo=16138</t>
  </si>
  <si>
    <r>
      <rPr>
        <sz val="9"/>
        <rFont val="Arial MT"/>
        <family val="2"/>
      </rPr>
      <t>Grinspon, Roman</t>
    </r>
  </si>
  <si>
    <t>https://www.tenisdemesaparatodos.com/jugadores_ficha.asp?codigo=2252</t>
  </si>
  <si>
    <r>
      <rPr>
        <sz val="9"/>
        <rFont val="Arial MT"/>
        <family val="2"/>
      </rPr>
      <t>Siscaro, Jorge</t>
    </r>
  </si>
  <si>
    <t>https://www.tenisdemesaparatodos.com/jugadores_ficha.asp?codigo=441</t>
  </si>
  <si>
    <r>
      <rPr>
        <sz val="9"/>
        <rFont val="Arial MT"/>
        <family val="2"/>
      </rPr>
      <t>Zain, Gonzalo</t>
    </r>
  </si>
  <si>
    <t>https://www.tenisdemesaparatodos.com/jugadores_ficha.asp?codigo=5765</t>
  </si>
  <si>
    <r>
      <rPr>
        <sz val="9"/>
        <rFont val="Arial MT"/>
        <family val="2"/>
      </rPr>
      <t>Moscatelli, Juan</t>
    </r>
  </si>
  <si>
    <t>https://www.tenisdemesaparatodos.com/jugadores_ficha.asp?codigo=23885</t>
  </si>
  <si>
    <r>
      <rPr>
        <sz val="9"/>
        <rFont val="Arial MT"/>
        <family val="2"/>
      </rPr>
      <t>Nikkei TDM A</t>
    </r>
  </si>
  <si>
    <r>
      <rPr>
        <sz val="9"/>
        <rFont val="Arial MT"/>
        <family val="2"/>
      </rPr>
      <t>Selaro, Gabriel</t>
    </r>
  </si>
  <si>
    <t>https://www.tenisdemesaparatodos.com/jugadores_ficha.asp?codigo=28970</t>
  </si>
  <si>
    <r>
      <rPr>
        <sz val="9"/>
        <rFont val="Arial MT"/>
        <family val="2"/>
      </rPr>
      <t>Monczer, Jorge D.</t>
    </r>
  </si>
  <si>
    <t>https://www.tenisdemesaparatodos.com/jugadores_ficha.asp?codigo=26118</t>
  </si>
  <si>
    <r>
      <rPr>
        <sz val="9"/>
        <rFont val="Arial MT"/>
        <family val="2"/>
      </rPr>
      <t>Takata, Diego</t>
    </r>
  </si>
  <si>
    <t>https://www.tenisdemesaparatodos.com/jugadores_ficha.asp?codigo=12110</t>
  </si>
  <si>
    <r>
      <rPr>
        <sz val="9"/>
        <rFont val="Arial MT"/>
        <family val="2"/>
      </rPr>
      <t>Yamaki, Kazuteru Ricardo</t>
    </r>
  </si>
  <si>
    <t>https://www.tenisdemesaparatodos.com/jugadores_ficha.asp?codigo=16066</t>
  </si>
  <si>
    <r>
      <rPr>
        <sz val="9"/>
        <rFont val="Arial MT"/>
        <family val="2"/>
      </rPr>
      <t>Calvo, Julio</t>
    </r>
  </si>
  <si>
    <t>https://www.tenisdemesaparatodos.com/jugadores_ficha.asp?codigo=1254</t>
  </si>
  <si>
    <r>
      <rPr>
        <sz val="9"/>
        <rFont val="Arial MT"/>
        <family val="2"/>
      </rPr>
      <t>Febres, Emiliano</t>
    </r>
  </si>
  <si>
    <t>https://www.tenisdemesaparatodos.com/jugadores_ficha.asp?codigo=27416</t>
  </si>
  <si>
    <r>
      <rPr>
        <sz val="9"/>
        <rFont val="Arial MT"/>
        <family val="2"/>
      </rPr>
      <t>Serda Barrientos, Ignacio</t>
    </r>
  </si>
  <si>
    <t>https://www.tenisdemesaparatodos.com/jugadores_ficha.asp?codigo=5272</t>
  </si>
  <si>
    <r>
      <rPr>
        <sz val="9"/>
        <rFont val="Arial MT"/>
        <family val="2"/>
      </rPr>
      <t>Nikkei TDM B</t>
    </r>
  </si>
  <si>
    <r>
      <rPr>
        <sz val="9"/>
        <rFont val="Arial MT"/>
        <family val="2"/>
      </rPr>
      <t>Teubal, Julian</t>
    </r>
  </si>
  <si>
    <t>https://www.tenisdemesaparatodos.com/jugadores_ficha.asp?codigo=21788</t>
  </si>
  <si>
    <r>
      <rPr>
        <sz val="9"/>
        <rFont val="Arial MT"/>
        <family val="2"/>
      </rPr>
      <t>Alonso, Lucas</t>
    </r>
  </si>
  <si>
    <t>https://www.tenisdemesaparatodos.com/jugadores_ficha.asp?codigo=27850</t>
  </si>
  <si>
    <r>
      <rPr>
        <sz val="9"/>
        <rFont val="Arial MT"/>
        <family val="2"/>
      </rPr>
      <t>Garea, Christian</t>
    </r>
  </si>
  <si>
    <t>https://www.tenisdemesaparatodos.com/jugadores_ficha.asp?codigo=14806</t>
  </si>
  <si>
    <r>
      <rPr>
        <sz val="9"/>
        <rFont val="Arial MT"/>
        <family val="2"/>
      </rPr>
      <t>Milmar, Marcelo</t>
    </r>
  </si>
  <si>
    <t>https://www.tenisdemesaparatodos.com/jugadores_ficha.asp?codigo=24672</t>
  </si>
  <si>
    <r>
      <rPr>
        <sz val="9"/>
        <rFont val="Arial MT"/>
        <family val="2"/>
      </rPr>
      <t>Molteni, Santiago</t>
    </r>
  </si>
  <si>
    <t>https://www.tenisdemesaparatodos.com/jugadores_ficha.asp?codigo=19055</t>
  </si>
  <si>
    <r>
      <rPr>
        <sz val="9"/>
        <rFont val="Arial MT"/>
        <family val="2"/>
      </rPr>
      <t>Balanzat, Santiago</t>
    </r>
  </si>
  <si>
    <t>https://www.tenisdemesaparatodos.com/jugadores_ficha.asp?codigo=24341</t>
  </si>
  <si>
    <r>
      <rPr>
        <sz val="9"/>
        <rFont val="Arial MT"/>
        <family val="2"/>
      </rPr>
      <t>Ntra. Señora Lourdes</t>
    </r>
  </si>
  <si>
    <r>
      <rPr>
        <sz val="9"/>
        <rFont val="Arial MT"/>
        <family val="2"/>
      </rPr>
      <t>Malianni, Adriel</t>
    </r>
  </si>
  <si>
    <t>https://www.tenisdemesaparatodos.com/jugadores_ficha.asp?codigo=20218</t>
  </si>
  <si>
    <r>
      <rPr>
        <sz val="9"/>
        <rFont val="Arial MT"/>
        <family val="2"/>
      </rPr>
      <t>Mora, Martin E.</t>
    </r>
  </si>
  <si>
    <t>https://www.tenisdemesaparatodos.com/jugadores_ficha.asp?codigo=891</t>
  </si>
  <si>
    <r>
      <rPr>
        <sz val="9"/>
        <rFont val="Arial MT"/>
        <family val="2"/>
      </rPr>
      <t>Otero Freire, Alejandro</t>
    </r>
  </si>
  <si>
    <t>https://www.tenisdemesaparatodos.com/jugadores_ficha.asp?codigo=25432</t>
  </si>
  <si>
    <r>
      <rPr>
        <sz val="9"/>
        <rFont val="Arial MT"/>
        <family val="2"/>
      </rPr>
      <t>Cuello, Lorena</t>
    </r>
  </si>
  <si>
    <t>https://www.tenisdemesaparatodos.com/jugadores_ficha.asp?codigo=15996</t>
  </si>
  <si>
    <r>
      <rPr>
        <sz val="9"/>
        <rFont val="Arial MT"/>
        <family val="2"/>
      </rPr>
      <t>Otero Freire, Facundo</t>
    </r>
  </si>
  <si>
    <t>https://www.tenisdemesaparatodos.com/jugadores_ficha.asp?codigo=25750</t>
  </si>
  <si>
    <r>
      <rPr>
        <sz val="9"/>
        <rFont val="Arial MT"/>
        <family val="2"/>
      </rPr>
      <t>Laporta, Gabriel</t>
    </r>
  </si>
  <si>
    <t>https://www.tenisdemesaparatodos.com/jugadores_ficha.asp?codigo=18260</t>
  </si>
  <si>
    <r>
      <rPr>
        <sz val="9"/>
        <rFont val="Arial MT"/>
        <family val="2"/>
      </rPr>
      <t>Lugo, Gaston</t>
    </r>
  </si>
  <si>
    <t>https://www.tenisdemesaparatodos.com/jugadores_ficha.asp?codigo=26906</t>
  </si>
  <si>
    <r>
      <rPr>
        <sz val="9"/>
        <rFont val="Arial MT"/>
        <family val="2"/>
      </rPr>
      <t>Oeste TDM</t>
    </r>
  </si>
  <si>
    <r>
      <rPr>
        <sz val="9"/>
        <rFont val="Arial MT"/>
        <family val="2"/>
      </rPr>
      <t>Corbalan, Alejandro</t>
    </r>
  </si>
  <si>
    <t>https://www.tenisdemesaparatodos.com/jugadores_ficha.asp?codigo=15680</t>
  </si>
  <si>
    <r>
      <rPr>
        <sz val="9"/>
        <rFont val="Arial MT"/>
        <family val="2"/>
      </rPr>
      <t>Guzman, Gabriel</t>
    </r>
  </si>
  <si>
    <t>https://www.tenisdemesaparatodos.com/jugadores_ficha.asp?codigo=7390</t>
  </si>
  <si>
    <r>
      <rPr>
        <sz val="9"/>
        <rFont val="Arial MT"/>
        <family val="2"/>
      </rPr>
      <t>Sosa Torales, Álvaro</t>
    </r>
  </si>
  <si>
    <t>https://www.tenisdemesaparatodos.com/jugadores_ficha.asp?codigo=8552</t>
  </si>
  <si>
    <r>
      <rPr>
        <sz val="9"/>
        <rFont val="Arial MT"/>
        <family val="2"/>
      </rPr>
      <t>Cisneros, Yonatan</t>
    </r>
  </si>
  <si>
    <t>https://www.tenisdemesaparatodos.com/jugadores_ficha.asp?codigo=10909</t>
  </si>
  <si>
    <r>
      <rPr>
        <sz val="9"/>
        <rFont val="Arial MT"/>
        <family val="2"/>
      </rPr>
      <t>Torres, Thiago A.</t>
    </r>
  </si>
  <si>
    <t>https://www.tenisdemesaparatodos.com/jugadores_ficha.asp?codigo=22819</t>
  </si>
  <si>
    <r>
      <rPr>
        <sz val="9"/>
        <rFont val="Arial MT"/>
        <family val="2"/>
      </rPr>
      <t>Ross, Carlos</t>
    </r>
  </si>
  <si>
    <t>https://www.tenisdemesaparatodos.com/jugadores_ficha.asp?codigo=13225</t>
  </si>
  <si>
    <r>
      <rPr>
        <sz val="9"/>
        <rFont val="Arial MT"/>
        <family val="2"/>
      </rPr>
      <t>Torres, Daniel</t>
    </r>
  </si>
  <si>
    <t>https://www.tenisdemesaparatodos.com/jugadores_ficha.asp?codigo=8905</t>
  </si>
  <si>
    <r>
      <rPr>
        <sz val="9"/>
        <rFont val="Arial MT"/>
        <family val="2"/>
      </rPr>
      <t>Padilla</t>
    </r>
  </si>
  <si>
    <r>
      <rPr>
        <sz val="9"/>
        <rFont val="Arial MT"/>
        <family val="2"/>
      </rPr>
      <t>Felscher, Jonathan</t>
    </r>
  </si>
  <si>
    <t>https://www.tenisdemesaparatodos.com/jugadores_ficha.asp?codigo=8192</t>
  </si>
  <si>
    <r>
      <rPr>
        <sz val="9"/>
        <rFont val="Arial MT"/>
        <family val="2"/>
      </rPr>
      <t>Solve, Facundo</t>
    </r>
  </si>
  <si>
    <t>https://www.tenisdemesaparatodos.com/jugadores_ficha.asp?codigo=10956</t>
  </si>
  <si>
    <r>
      <rPr>
        <sz val="9"/>
        <rFont val="Arial MT"/>
        <family val="2"/>
      </rPr>
      <t>Shevkun, Konstantin</t>
    </r>
  </si>
  <si>
    <t>https://www.tenisdemesaparatodos.com/jugadores_ficha.asp?codigo=25731</t>
  </si>
  <si>
    <r>
      <rPr>
        <sz val="9"/>
        <rFont val="Arial MT"/>
        <family val="2"/>
      </rPr>
      <t>Kravetz, Daniel</t>
    </r>
  </si>
  <si>
    <t>https://www.tenisdemesaparatodos.com/jugadores_ficha.asp?codigo=8883</t>
  </si>
  <si>
    <r>
      <rPr>
        <sz val="9"/>
        <rFont val="Arial MT"/>
        <family val="2"/>
      </rPr>
      <t>Bisforo, Lucas</t>
    </r>
  </si>
  <si>
    <t>https://www.tenisdemesaparatodos.com/jugadores_ficha.asp?codigo=14668</t>
  </si>
  <si>
    <r>
      <rPr>
        <sz val="9"/>
        <rFont val="Arial MT"/>
        <family val="2"/>
      </rPr>
      <t>Burgos, Néstor Alejandro</t>
    </r>
  </si>
  <si>
    <t>https://www.tenisdemesaparatodos.com/jugadores_ficha.asp?codigo=8640</t>
  </si>
  <si>
    <r>
      <rPr>
        <sz val="9"/>
        <rFont val="Arial MT"/>
        <family val="2"/>
      </rPr>
      <t>Malenchini, Jorge Daniel</t>
    </r>
  </si>
  <si>
    <t>https://www.tenisdemesaparatodos.com/jugadores_ficha.asp?codigo=19551</t>
  </si>
  <si>
    <r>
      <rPr>
        <sz val="9"/>
        <rFont val="Arial MT"/>
        <family val="2"/>
      </rPr>
      <t>Vigolo, Alejandro</t>
    </r>
  </si>
  <si>
    <t>https://www.tenisdemesaparatodos.com/jugadores_ficha.asp?codigo=3364</t>
  </si>
  <si>
    <r>
      <rPr>
        <sz val="9"/>
        <rFont val="Arial MT"/>
        <family val="2"/>
      </rPr>
      <t>Fernandez Magan, César</t>
    </r>
  </si>
  <si>
    <t>https://www.tenisdemesaparatodos.com/jugadores_ficha.asp?codigo=1123</t>
  </si>
  <si>
    <r>
      <rPr>
        <sz val="9"/>
        <rFont val="Arial MT"/>
        <family val="2"/>
      </rPr>
      <t>Opazo, David</t>
    </r>
  </si>
  <si>
    <t>https://www.tenisdemesaparatodos.com/jugadores_ficha.asp?codigo=8923</t>
  </si>
  <si>
    <r>
      <rPr>
        <sz val="9"/>
        <rFont val="Arial MT"/>
        <family val="2"/>
      </rPr>
      <t>Lago, Claudio</t>
    </r>
  </si>
  <si>
    <t>https://www.tenisdemesaparatodos.com/jugadores_ficha.asp?codigo=22525</t>
  </si>
  <si>
    <r>
      <rPr>
        <sz val="9"/>
        <rFont val="Arial MT"/>
        <family val="2"/>
      </rPr>
      <t>Garcia, Ezequiel H.</t>
    </r>
  </si>
  <si>
    <t>https://www.tenisdemesaparatodos.com/jugadores_ficha.asp?codigo=15393</t>
  </si>
  <si>
    <r>
      <rPr>
        <sz val="9"/>
        <rFont val="Arial MT"/>
        <family val="2"/>
      </rPr>
      <t>De Lucca, Gustavo</t>
    </r>
  </si>
  <si>
    <t>https://www.tenisdemesaparatodos.com/jugadores_ficha.asp?codigo=5111</t>
  </si>
  <si>
    <r>
      <rPr>
        <sz val="9"/>
        <rFont val="Arial MT"/>
        <family val="2"/>
      </rPr>
      <t>Rojas, Walter</t>
    </r>
  </si>
  <si>
    <t>https://www.tenisdemesaparatodos.com/jugadores_ficha.asp?codigo=5406</t>
  </si>
  <si>
    <r>
      <rPr>
        <sz val="9"/>
        <rFont val="Arial MT"/>
        <family val="2"/>
      </rPr>
      <t>Ablin, Santiago</t>
    </r>
  </si>
  <si>
    <t>https://www.tenisdemesaparatodos.com/jugadores_ficha.asp?codigo=28091</t>
  </si>
  <si>
    <r>
      <rPr>
        <sz val="9"/>
        <rFont val="Arial MT"/>
        <family val="2"/>
      </rPr>
      <t>Aguilera, Jorge G.</t>
    </r>
  </si>
  <si>
    <t>https://www.tenisdemesaparatodos.com/jugadores_ficha.asp?codigo=21538</t>
  </si>
  <si>
    <r>
      <rPr>
        <sz val="9"/>
        <rFont val="Arial MT"/>
        <family val="2"/>
      </rPr>
      <t>Basualdo, Juan Marcelo</t>
    </r>
  </si>
  <si>
    <t>https://www.tenisdemesaparatodos.com/jugadores_ficha.asp?codigo=26615</t>
  </si>
  <si>
    <r>
      <rPr>
        <sz val="9"/>
        <rFont val="Arial MT"/>
        <family val="2"/>
      </rPr>
      <t>Guadalupe, Osvaldo</t>
    </r>
  </si>
  <si>
    <t>https://www.tenisdemesaparatodos.com/jugadores_ficha.asp?codigo=7033</t>
  </si>
  <si>
    <r>
      <rPr>
        <sz val="9"/>
        <rFont val="Arial MT"/>
        <family val="2"/>
      </rPr>
      <t>Zarewsky, Basilio</t>
    </r>
  </si>
  <si>
    <t>https://www.tenisdemesaparatodos.com/jugadores_ficha.asp?codigo=22533</t>
  </si>
  <si>
    <r>
      <rPr>
        <sz val="9"/>
        <rFont val="Arial MT"/>
        <family val="2"/>
      </rPr>
      <t>Ciliberto, Agustin</t>
    </r>
  </si>
  <si>
    <t>https://www.tenisdemesaparatodos.com/jugadores_ficha.asp?codigo=27127</t>
  </si>
  <si>
    <r>
      <rPr>
        <sz val="9"/>
        <rFont val="Arial MT"/>
        <family val="2"/>
      </rPr>
      <t>Laricchiuta, Victor</t>
    </r>
  </si>
  <si>
    <t>https://www.tenisdemesaparatodos.com/jugadores_ficha.asp?codigo=22230</t>
  </si>
  <si>
    <r>
      <rPr>
        <sz val="9"/>
        <rFont val="Arial MT"/>
        <family val="2"/>
      </rPr>
      <t>Massimi, Guillermo</t>
    </r>
  </si>
  <si>
    <t>https://www.tenisdemesaparatodos.com/jugadores_ficha.asp?codigo=28806</t>
  </si>
  <si>
    <r>
      <rPr>
        <sz val="9"/>
        <rFont val="Arial MT"/>
        <family val="2"/>
      </rPr>
      <t>Moavro, Horacio</t>
    </r>
  </si>
  <si>
    <t>https://www.tenisdemesaparatodos.com/jugadores_ficha.asp?codigo=25294</t>
  </si>
  <si>
    <r>
      <rPr>
        <sz val="9"/>
        <rFont val="Arial MT"/>
        <family val="2"/>
      </rPr>
      <t>Clerici, Cristian</t>
    </r>
  </si>
  <si>
    <t>https://www.tenisdemesaparatodos.com/jugadores_ficha.asp?codigo=5402</t>
  </si>
  <si>
    <r>
      <rPr>
        <sz val="9"/>
        <rFont val="Arial MT"/>
        <family val="2"/>
      </rPr>
      <t>Sercheyan, Angel Luis</t>
    </r>
  </si>
  <si>
    <t>https://www.tenisdemesaparatodos.com/jugadores_ficha.asp?codigo=17508</t>
  </si>
  <si>
    <r>
      <rPr>
        <sz val="9"/>
        <rFont val="Arial MT"/>
        <family val="2"/>
      </rPr>
      <t>Setoain, Adriana</t>
    </r>
  </si>
  <si>
    <t>https://www.tenisdemesaparatodos.com/jugadores_ficha.asp?codigo=17502</t>
  </si>
  <si>
    <r>
      <rPr>
        <sz val="9"/>
        <rFont val="Arial MT"/>
        <family val="2"/>
      </rPr>
      <t>Iglesias Echeveste, Lilia</t>
    </r>
  </si>
  <si>
    <t>https://www.tenisdemesaparatodos.com/jugadores_ficha.asp?codigo=11022</t>
  </si>
  <si>
    <r>
      <rPr>
        <sz val="9"/>
        <rFont val="Arial MT"/>
        <family val="2"/>
      </rPr>
      <t>Marcomini, Diego A.</t>
    </r>
  </si>
  <si>
    <t>https://www.tenisdemesaparatodos.com/jugadores_ficha.asp?codigo=27930</t>
  </si>
  <si>
    <r>
      <rPr>
        <sz val="9"/>
        <rFont val="Arial MT"/>
        <family val="2"/>
      </rPr>
      <t>Lock, Liliana J.</t>
    </r>
  </si>
  <si>
    <t>https://www.tenisdemesaparatodos.com/jugadores_ficha.asp?codigo=23425</t>
  </si>
  <si>
    <r>
      <rPr>
        <sz val="9"/>
        <rFont val="Arial MT"/>
        <family val="2"/>
      </rPr>
      <t>Peñarol</t>
    </r>
  </si>
  <si>
    <r>
      <rPr>
        <sz val="9"/>
        <rFont val="Arial MT"/>
        <family val="2"/>
      </rPr>
      <t>Fernandez, Luciano</t>
    </r>
  </si>
  <si>
    <t>https://www.tenisdemesaparatodos.com/jugadores_ficha.asp?codigo=17494</t>
  </si>
  <si>
    <r>
      <rPr>
        <sz val="9"/>
        <rFont val="Arial MT"/>
        <family val="2"/>
      </rPr>
      <t>Maldonado, Ezequiel Pablo</t>
    </r>
  </si>
  <si>
    <t>https://www.tenisdemesaparatodos.com/jugadores_ficha.asp?codigo=3157</t>
  </si>
  <si>
    <r>
      <rPr>
        <sz val="9"/>
        <rFont val="Arial MT"/>
        <family val="2"/>
      </rPr>
      <t>Buechele, German</t>
    </r>
  </si>
  <si>
    <t>https://www.tenisdemesaparatodos.com/jugadores_ficha.asp?codigo=17305</t>
  </si>
  <si>
    <r>
      <rPr>
        <sz val="9"/>
        <rFont val="Arial MT"/>
        <family val="2"/>
      </rPr>
      <t>Fernandez, Guillermo E.</t>
    </r>
  </si>
  <si>
    <t>https://www.tenisdemesaparatodos.com/jugadores_ficha.asp?codigo=379</t>
  </si>
  <si>
    <r>
      <rPr>
        <sz val="9"/>
        <rFont val="Arial MT"/>
        <family val="2"/>
      </rPr>
      <t>Spati, Eduardo M.</t>
    </r>
  </si>
  <si>
    <t>https://www.tenisdemesaparatodos.com/jugadores_ficha.asp?codigo=16056</t>
  </si>
  <si>
    <r>
      <rPr>
        <sz val="9"/>
        <rFont val="Arial MT"/>
        <family val="2"/>
      </rPr>
      <t>Reynoso, Ariel</t>
    </r>
  </si>
  <si>
    <t>https://www.tenisdemesaparatodos.com/jugadores_ficha.asp?codigo=28632</t>
  </si>
  <si>
    <r>
      <rPr>
        <sz val="9"/>
        <rFont val="Arial MT"/>
        <family val="2"/>
      </rPr>
      <t>Castro, Jose F:</t>
    </r>
  </si>
  <si>
    <t>https://www.tenisdemesaparatodos.com/jugadores_ficha.asp?codigo=24433</t>
  </si>
  <si>
    <r>
      <rPr>
        <sz val="9"/>
        <rFont val="Arial MT"/>
        <family val="2"/>
      </rPr>
      <t>Rosenman Cordeu, Norberto</t>
    </r>
  </si>
  <si>
    <t>https://www.tenisdemesaparatodos.com/jugadores_ficha.asp?codigo=28213</t>
  </si>
  <si>
    <r>
      <rPr>
        <sz val="9"/>
        <rFont val="Arial MT"/>
        <family val="2"/>
      </rPr>
      <t>Mainero, Marcelo</t>
    </r>
  </si>
  <si>
    <t>https://www.tenisdemesaparatodos.com/jugadores_ficha.asp?codigo=27636</t>
  </si>
  <si>
    <r>
      <rPr>
        <sz val="9"/>
        <rFont val="Arial MT"/>
        <family val="2"/>
      </rPr>
      <t>Finkenstein, Gabriel</t>
    </r>
  </si>
  <si>
    <t>https://www.tenisdemesaparatodos.com/jugadores_ficha.asp?codigo=153</t>
  </si>
  <si>
    <r>
      <rPr>
        <sz val="9"/>
        <rFont val="Arial MT"/>
        <family val="2"/>
      </rPr>
      <t>Martinez, Gustavo</t>
    </r>
  </si>
  <si>
    <t>https://www.tenisdemesaparatodos.com/jugadores_ficha.asp?codigo=5320</t>
  </si>
  <si>
    <r>
      <rPr>
        <sz val="9"/>
        <rFont val="Arial MT"/>
        <family val="2"/>
      </rPr>
      <t>Garcia, Daniel G.</t>
    </r>
  </si>
  <si>
    <t>https://www.tenisdemesaparatodos.com/jugadores_ficha.asp?codigo=878</t>
  </si>
  <si>
    <r>
      <rPr>
        <sz val="9"/>
        <rFont val="Arial MT"/>
        <family val="2"/>
      </rPr>
      <t>Alvarez, Tomas</t>
    </r>
  </si>
  <si>
    <t>https://www.tenisdemesaparatodos.com/jugadores_ficha.asp?codigo=29523</t>
  </si>
  <si>
    <r>
      <rPr>
        <sz val="9"/>
        <rFont val="Arial MT"/>
        <family val="2"/>
      </rPr>
      <t>Jabalera, Leonardo</t>
    </r>
  </si>
  <si>
    <t>https://www.tenisdemesaparatodos.com/jugadores_ficha.asp?codigo=19330</t>
  </si>
  <si>
    <r>
      <rPr>
        <sz val="9"/>
        <rFont val="Arial MT"/>
        <family val="2"/>
      </rPr>
      <t>Robledo, Jorge D.</t>
    </r>
  </si>
  <si>
    <t>https://www.tenisdemesaparatodos.com/jugadores_ficha.asp?codigo=4313</t>
  </si>
  <si>
    <r>
      <rPr>
        <sz val="9"/>
        <rFont val="Arial MT"/>
        <family val="2"/>
      </rPr>
      <t>Duarte, Gabriel R.</t>
    </r>
  </si>
  <si>
    <t>https://www.tenisdemesaparatodos.com/jugadores_ficha.asp?codigo=18769</t>
  </si>
  <si>
    <r>
      <rPr>
        <sz val="9"/>
        <rFont val="Arial MT"/>
        <family val="2"/>
      </rPr>
      <t>Peretz</t>
    </r>
  </si>
  <si>
    <r>
      <rPr>
        <sz val="9"/>
        <rFont val="Arial MT"/>
        <family val="2"/>
      </rPr>
      <t>Puk Vidal, Santiago</t>
    </r>
  </si>
  <si>
    <t>https://www.tenisdemesaparatodos.com/jugadores_ficha.asp?codigo=19946</t>
  </si>
  <si>
    <r>
      <rPr>
        <sz val="9"/>
        <rFont val="Arial MT"/>
        <family val="2"/>
      </rPr>
      <t>Neuendorf, Alberto</t>
    </r>
  </si>
  <si>
    <t>https://www.tenisdemesaparatodos.com/jugadores_ficha.asp?codigo=11985</t>
  </si>
  <si>
    <r>
      <rPr>
        <sz val="9"/>
        <rFont val="Arial MT"/>
        <family val="2"/>
      </rPr>
      <t>Ramos Olie, Milco</t>
    </r>
  </si>
  <si>
    <t>https://www.tenisdemesaparatodos.com/jugadores_ficha.asp?codigo=15502</t>
  </si>
  <si>
    <r>
      <rPr>
        <sz val="9"/>
        <rFont val="Arial MT"/>
        <family val="2"/>
      </rPr>
      <t>Sacarias, Matías</t>
    </r>
  </si>
  <si>
    <t>https://www.tenisdemesaparatodos.com/jugadores_ficha.asp?codigo=12623</t>
  </si>
  <si>
    <r>
      <rPr>
        <sz val="9"/>
        <rFont val="Arial MT"/>
        <family val="2"/>
      </rPr>
      <t>Ojeda, Jano</t>
    </r>
  </si>
  <si>
    <t>https://www.tenisdemesaparatodos.com/jugadores_ficha.asp?codigo=22665</t>
  </si>
  <si>
    <r>
      <rPr>
        <sz val="9"/>
        <rFont val="Arial MT"/>
        <family val="2"/>
      </rPr>
      <t>Salaberry, Javier S.</t>
    </r>
  </si>
  <si>
    <t>https://www.tenisdemesaparatodos.com/jugadores_ficha.asp?codigo=19650</t>
  </si>
  <si>
    <r>
      <rPr>
        <sz val="9"/>
        <rFont val="Arial MT"/>
        <family val="2"/>
      </rPr>
      <t>Rosciano, Raul</t>
    </r>
  </si>
  <si>
    <t>https://www.tenisdemesaparatodos.com/jugadores_ficha.asp?codigo=24597</t>
  </si>
  <si>
    <r>
      <rPr>
        <sz val="9"/>
        <rFont val="Arial MT"/>
        <family val="2"/>
      </rPr>
      <t>Yasuda, Cintia</t>
    </r>
  </si>
  <si>
    <t>https://www.tenisdemesaparatodos.com/jugadores_ficha.asp?codigo=27134</t>
  </si>
  <si>
    <r>
      <rPr>
        <sz val="9"/>
        <rFont val="Arial MT"/>
        <family val="2"/>
      </rPr>
      <t>Di Cocco, Dario</t>
    </r>
  </si>
  <si>
    <t>https://www.tenisdemesaparatodos.com/jugadores_ficha.asp?codigo=24561</t>
  </si>
  <si>
    <r>
      <rPr>
        <sz val="9"/>
        <rFont val="Arial MT"/>
        <family val="2"/>
      </rPr>
      <t>Peralta, Lucas P.</t>
    </r>
  </si>
  <si>
    <t>https://www.tenisdemesaparatodos.com/jugadores_ficha.asp?codigo=13320</t>
  </si>
  <si>
    <r>
      <rPr>
        <sz val="9"/>
        <rFont val="Arial MT"/>
        <family val="2"/>
      </rPr>
      <t>Torres, Lautaro</t>
    </r>
  </si>
  <si>
    <t>https://www.tenisdemesaparatodos.com/jugadores_ficha.asp?codigo=20959</t>
  </si>
  <si>
    <r>
      <rPr>
        <sz val="9"/>
        <rFont val="Arial MT"/>
        <family val="2"/>
      </rPr>
      <t>Kim, Aaran</t>
    </r>
  </si>
  <si>
    <t>https://www.tenisdemesaparatodos.com/jugadores_ficha.asp?codigo=27177</t>
  </si>
  <si>
    <r>
      <rPr>
        <sz val="9"/>
        <rFont val="Arial MT"/>
        <family val="2"/>
      </rPr>
      <t>Novas, Jorge Luis</t>
    </r>
  </si>
  <si>
    <t>https://www.tenisdemesaparatodos.com/jugadores_ficha.asp?codigo=22890</t>
  </si>
  <si>
    <r>
      <rPr>
        <sz val="9"/>
        <rFont val="Arial MT"/>
        <family val="2"/>
      </rPr>
      <t>Acevedo, Brian</t>
    </r>
  </si>
  <si>
    <t>https://www.tenisdemesaparatodos.com/jugadores_ficha.asp?codigo=27537</t>
  </si>
  <si>
    <r>
      <rPr>
        <sz val="9"/>
        <rFont val="Arial MT"/>
        <family val="2"/>
      </rPr>
      <t>Stanovnik, Juan Ignacio</t>
    </r>
  </si>
  <si>
    <t>https://www.tenisdemesaparatodos.com/jugadores_ficha.asp?codigo=22970</t>
  </si>
  <si>
    <r>
      <rPr>
        <sz val="9"/>
        <rFont val="Arial MT"/>
        <family val="2"/>
      </rPr>
      <t>Cotti, Leandro Federico</t>
    </r>
  </si>
  <si>
    <t>https://www.tenisdemesaparatodos.com/jugadores_ficha.asp?codigo=26896</t>
  </si>
  <si>
    <r>
      <rPr>
        <sz val="9"/>
        <rFont val="Arial MT"/>
        <family val="2"/>
      </rPr>
      <t>Camacho Mesa, Kevin Alejandro</t>
    </r>
  </si>
  <si>
    <t>https://www.tenisdemesaparatodos.com/jugadores_ficha.asp?codigo=28095</t>
  </si>
  <si>
    <r>
      <rPr>
        <sz val="9"/>
        <rFont val="Arial MT"/>
        <family val="2"/>
      </rPr>
      <t>Paz, Pablo Andres</t>
    </r>
  </si>
  <si>
    <t>https://www.tenisdemesaparatodos.com/jugadores_ficha.asp?codigo=26183</t>
  </si>
  <si>
    <r>
      <rPr>
        <sz val="9"/>
        <rFont val="Arial MT"/>
        <family val="2"/>
      </rPr>
      <t>Rossi Vera, Franco</t>
    </r>
  </si>
  <si>
    <t>https://www.tenisdemesaparatodos.com/jugadores_ficha.asp?codigo=27881</t>
  </si>
  <si>
    <r>
      <rPr>
        <sz val="9"/>
        <rFont val="Arial MT"/>
        <family val="2"/>
      </rPr>
      <t>Porteño de TDM</t>
    </r>
  </si>
  <si>
    <r>
      <rPr>
        <sz val="9"/>
        <rFont val="Arial MT"/>
        <family val="2"/>
      </rPr>
      <t>Spinelli, Gonzalo</t>
    </r>
  </si>
  <si>
    <t>https://www.tenisdemesaparatodos.com/jugadores_ficha.asp?codigo=22489</t>
  </si>
  <si>
    <r>
      <rPr>
        <sz val="9"/>
        <rFont val="Arial MT"/>
        <family val="2"/>
      </rPr>
      <t>Lecito Miranda, Maximo</t>
    </r>
  </si>
  <si>
    <t>https://www.tenisdemesaparatodos.com/jugadores_ficha.asp?codigo=25973</t>
  </si>
  <si>
    <r>
      <rPr>
        <sz val="9"/>
        <rFont val="Arial MT"/>
        <family val="2"/>
      </rPr>
      <t>Fioramanti, Lucas N.</t>
    </r>
  </si>
  <si>
    <t>https://www.tenisdemesaparatodos.com/jugadores_ficha.asp?codigo=7467</t>
  </si>
  <si>
    <r>
      <rPr>
        <sz val="9"/>
        <rFont val="Arial MT"/>
        <family val="2"/>
      </rPr>
      <t>Borgstrand, Ivo</t>
    </r>
  </si>
  <si>
    <t>https://www.tenisdemesaparatodos.com/jugadores_ficha.asp?codigo=17405</t>
  </si>
  <si>
    <r>
      <rPr>
        <sz val="9"/>
        <rFont val="Arial MT"/>
        <family val="2"/>
      </rPr>
      <t>Quinteros, Catriel</t>
    </r>
  </si>
  <si>
    <t>https://www.tenisdemesaparatodos.com/jugadores_ficha.asp?codigo=8394</t>
  </si>
  <si>
    <r>
      <rPr>
        <sz val="9"/>
        <rFont val="Arial MT"/>
        <family val="2"/>
      </rPr>
      <t>Lixin, Ge</t>
    </r>
  </si>
  <si>
    <t>https://www.tenisdemesaparatodos.com/jugadores_ficha.asp?codigo=1983</t>
  </si>
  <si>
    <r>
      <rPr>
        <sz val="9"/>
        <rFont val="Arial MT"/>
        <family val="2"/>
      </rPr>
      <t>Olivera, Axel G.</t>
    </r>
  </si>
  <si>
    <t>https://www.tenisdemesaparatodos.com/jugadores_ficha.asp?codigo=21267</t>
  </si>
  <si>
    <r>
      <rPr>
        <sz val="9"/>
        <rFont val="Arial MT"/>
        <family val="2"/>
      </rPr>
      <t>Lorenzo, Felipe</t>
    </r>
  </si>
  <si>
    <t>https://www.tenisdemesaparatodos.com/jugadores_ficha.asp?codigo=1189</t>
  </si>
  <si>
    <r>
      <rPr>
        <sz val="9"/>
        <rFont val="Arial MT"/>
        <family val="2"/>
      </rPr>
      <t>Hurevich, Javier</t>
    </r>
  </si>
  <si>
    <t>https://www.tenisdemesaparatodos.com/jugadores_ficha.asp?codigo=3868</t>
  </si>
  <si>
    <r>
      <rPr>
        <sz val="9"/>
        <rFont val="Arial MT"/>
        <family val="2"/>
      </rPr>
      <t>Thisted, Marcos</t>
    </r>
  </si>
  <si>
    <t>https://www.tenisdemesaparatodos.com/jugadores_ficha.asp?codigo=11540</t>
  </si>
  <si>
    <r>
      <rPr>
        <sz val="9"/>
        <rFont val="Arial MT"/>
        <family val="2"/>
      </rPr>
      <t>Chen Kwan, Alexander</t>
    </r>
  </si>
  <si>
    <t>https://www.tenisdemesaparatodos.com/jugadores_ficha.asp?codigo=24029</t>
  </si>
  <si>
    <r>
      <rPr>
        <sz val="9"/>
        <rFont val="Arial MT"/>
        <family val="2"/>
      </rPr>
      <t>Porteño de TDM A</t>
    </r>
  </si>
  <si>
    <r>
      <rPr>
        <sz val="9"/>
        <rFont val="Arial MT"/>
        <family val="2"/>
      </rPr>
      <t>Slipak, Damián</t>
    </r>
  </si>
  <si>
    <t>https://www.tenisdemesaparatodos.com/jugadores_ficha.asp?codigo=11474</t>
  </si>
  <si>
    <r>
      <rPr>
        <sz val="9"/>
        <rFont val="Arial MT"/>
        <family val="2"/>
      </rPr>
      <t>Gimenez, Joaquin</t>
    </r>
  </si>
  <si>
    <t>https://www.tenisdemesaparatodos.com/jugadores_ficha.asp?codigo=28212</t>
  </si>
  <si>
    <r>
      <rPr>
        <sz val="9"/>
        <rFont val="Arial MT"/>
        <family val="2"/>
      </rPr>
      <t>Ceballos, Thiago</t>
    </r>
  </si>
  <si>
    <t>https://www.tenisdemesaparatodos.com/jugadores_ficha.asp?codigo=23464</t>
  </si>
  <si>
    <r>
      <rPr>
        <sz val="9"/>
        <rFont val="Arial MT"/>
        <family val="2"/>
      </rPr>
      <t>Zhu, Yifei</t>
    </r>
  </si>
  <si>
    <t>https://www.tenisdemesaparatodos.com/jugadores_ficha.asp?codigo=27711</t>
  </si>
  <si>
    <r>
      <rPr>
        <sz val="9"/>
        <rFont val="Arial MT"/>
        <family val="2"/>
      </rPr>
      <t>Arpon, Martin</t>
    </r>
  </si>
  <si>
    <t>https://www.tenisdemesaparatodos.com/jugadores_ficha.asp?codigo=22598</t>
  </si>
  <si>
    <r>
      <rPr>
        <sz val="9"/>
        <rFont val="Arial MT"/>
        <family val="2"/>
      </rPr>
      <t>Porteño de TDM B</t>
    </r>
  </si>
  <si>
    <r>
      <rPr>
        <sz val="9"/>
        <rFont val="Arial MT"/>
        <family val="2"/>
      </rPr>
      <t>Carmona, Pablo</t>
    </r>
  </si>
  <si>
    <t>https://www.tenisdemesaparatodos.com/jugadores_ficha.asp?codigo=25901</t>
  </si>
  <si>
    <r>
      <rPr>
        <sz val="9"/>
        <rFont val="Arial MT"/>
        <family val="2"/>
      </rPr>
      <t>Farias, Pablo</t>
    </r>
  </si>
  <si>
    <t>https://www.tenisdemesaparatodos.com/jugadores_ficha.asp?codigo=21917</t>
  </si>
  <si>
    <r>
      <rPr>
        <sz val="9"/>
        <rFont val="Arial MT"/>
        <family val="2"/>
      </rPr>
      <t>Mazzeo, Diego P.</t>
    </r>
  </si>
  <si>
    <t>https://www.tenisdemesaparatodos.com/jugadores_ficha.asp?codigo=26519</t>
  </si>
  <si>
    <r>
      <rPr>
        <sz val="9"/>
        <rFont val="Arial MT"/>
        <family val="2"/>
      </rPr>
      <t>Abramovich, Pablo</t>
    </r>
  </si>
  <si>
    <t>https://www.tenisdemesaparatodos.com/jugadores_ficha.asp?codigo=24209</t>
  </si>
  <si>
    <r>
      <rPr>
        <sz val="9"/>
        <rFont val="Arial MT"/>
        <family val="2"/>
      </rPr>
      <t>Vinokurov, Juan Ignacio</t>
    </r>
  </si>
  <si>
    <t>https://www.tenisdemesaparatodos.com/jugadores_ficha.asp?codigo=28950</t>
  </si>
  <si>
    <r>
      <rPr>
        <sz val="9"/>
        <rFont val="Arial MT"/>
        <family val="2"/>
      </rPr>
      <t>Godoy, Gustavo</t>
    </r>
  </si>
  <si>
    <t>https://www.tenisdemesaparatodos.com/jugadores_ficha.asp?codigo=22617</t>
  </si>
  <si>
    <r>
      <rPr>
        <sz val="9"/>
        <rFont val="Arial MT"/>
        <family val="2"/>
      </rPr>
      <t>Ruiz Sanchez, Victor</t>
    </r>
  </si>
  <si>
    <r>
      <rPr>
        <sz val="9"/>
        <rFont val="Arial MT"/>
        <family val="2"/>
      </rPr>
      <t>Rioja</t>
    </r>
  </si>
  <si>
    <r>
      <rPr>
        <sz val="9"/>
        <rFont val="Arial MT"/>
        <family val="2"/>
      </rPr>
      <t>Rioja A</t>
    </r>
  </si>
  <si>
    <r>
      <rPr>
        <sz val="9"/>
        <rFont val="Arial MT"/>
        <family val="2"/>
      </rPr>
      <t>Munno, Alvaro</t>
    </r>
  </si>
  <si>
    <t>https://www.tenisdemesaparatodos.com/jugadores_ficha.asp?codigo=14794</t>
  </si>
  <si>
    <r>
      <rPr>
        <sz val="9"/>
        <rFont val="Arial MT"/>
        <family val="2"/>
      </rPr>
      <t>Castagnola, Cristian A.</t>
    </r>
  </si>
  <si>
    <t>https://www.tenisdemesaparatodos.com/jugadores_ficha.asp?codigo=21651</t>
  </si>
  <si>
    <r>
      <rPr>
        <sz val="9"/>
        <rFont val="Arial MT"/>
        <family val="2"/>
      </rPr>
      <t>Müller, Malik</t>
    </r>
  </si>
  <si>
    <t>https://www.tenisdemesaparatodos.com/jugadores_ficha.asp?codigo=23275</t>
  </si>
  <si>
    <r>
      <rPr>
        <sz val="9"/>
        <rFont val="Arial MT"/>
        <family val="2"/>
      </rPr>
      <t>Rioja B</t>
    </r>
  </si>
  <si>
    <r>
      <rPr>
        <sz val="9"/>
        <rFont val="Arial MT"/>
        <family val="2"/>
      </rPr>
      <t>Peña, Franco</t>
    </r>
  </si>
  <si>
    <t>https://www.tenisdemesaparatodos.com/jugadores_ficha.asp?codigo=11862</t>
  </si>
  <si>
    <r>
      <rPr>
        <sz val="9"/>
        <rFont val="Arial MT"/>
        <family val="2"/>
      </rPr>
      <t>Puerta, Alejandro</t>
    </r>
  </si>
  <si>
    <t>https://www.tenisdemesaparatodos.com/jugadores_ficha.asp?codigo=7903</t>
  </si>
  <si>
    <r>
      <rPr>
        <sz val="9"/>
        <rFont val="Arial MT"/>
        <family val="2"/>
      </rPr>
      <t>Castro, Marcos D.</t>
    </r>
  </si>
  <si>
    <t>https://www.tenisdemesaparatodos.com/jugadores_ficha.asp?codigo=21306</t>
  </si>
  <si>
    <r>
      <rPr>
        <sz val="9"/>
        <rFont val="Arial MT"/>
        <family val="2"/>
      </rPr>
      <t>Di Cocco, Guido</t>
    </r>
  </si>
  <si>
    <t>https://www.tenisdemesaparatodos.com/jugadores_ficha.asp?codigo=24562</t>
  </si>
  <si>
    <r>
      <rPr>
        <sz val="9"/>
        <rFont val="Arial MT"/>
        <family val="2"/>
      </rPr>
      <t>Pastore, Daniel</t>
    </r>
  </si>
  <si>
    <t>https://www.tenisdemesaparatodos.com/jugadores_ficha.asp?codigo=26888</t>
  </si>
  <si>
    <r>
      <rPr>
        <sz val="9"/>
        <rFont val="Arial MT"/>
        <family val="2"/>
      </rPr>
      <t>Medina, Lucas</t>
    </r>
  </si>
  <si>
    <t>https://www.tenisdemesaparatodos.com/jugadores_ficha.asp?codigo=4999</t>
  </si>
  <si>
    <r>
      <rPr>
        <sz val="9"/>
        <rFont val="Arial MT"/>
        <family val="2"/>
      </rPr>
      <t>Lamarina, Lucas</t>
    </r>
  </si>
  <si>
    <t>https://www.tenisdemesaparatodos.com/jugadores_ficha.asp?codigo=18160</t>
  </si>
  <si>
    <r>
      <rPr>
        <sz val="9"/>
        <rFont val="Arial MT"/>
        <family val="2"/>
      </rPr>
      <t>Cerraburu, Tomás</t>
    </r>
  </si>
  <si>
    <t>https://www.tenisdemesaparatodos.com/jugadores_ficha.asp?codigo=9039</t>
  </si>
  <si>
    <r>
      <rPr>
        <sz val="9"/>
        <rFont val="Arial MT"/>
        <family val="2"/>
      </rPr>
      <t>Di Toro, Martin</t>
    </r>
  </si>
  <si>
    <t>https://www.tenisdemesaparatodos.com/jugadores_ficha.asp?codigo=23210</t>
  </si>
  <si>
    <r>
      <rPr>
        <sz val="9"/>
        <rFont val="Arial MT"/>
        <family val="2"/>
      </rPr>
      <t>Ercolano, Santiago</t>
    </r>
  </si>
  <si>
    <t>https://www.tenisdemesaparatodos.com/jugadores_ficha.asp?codigo=25531</t>
  </si>
  <si>
    <r>
      <rPr>
        <sz val="9"/>
        <rFont val="Arial MT"/>
        <family val="2"/>
      </rPr>
      <t>Ercolano, Rodrigo</t>
    </r>
  </si>
  <si>
    <t>https://www.tenisdemesaparatodos.com/jugadores_ficha.asp?codigo=15610</t>
  </si>
  <si>
    <r>
      <rPr>
        <sz val="9"/>
        <rFont val="Arial MT"/>
        <family val="2"/>
      </rPr>
      <t>Lenhart, Jorge R</t>
    </r>
  </si>
  <si>
    <t>https://www.tenisdemesaparatodos.com/jugadores_ficha.asp?codigo=15109</t>
  </si>
  <si>
    <r>
      <rPr>
        <sz val="9"/>
        <rFont val="Arial MT"/>
        <family val="2"/>
      </rPr>
      <t>Lopez, Rodrigo</t>
    </r>
  </si>
  <si>
    <t>https://www.tenisdemesaparatodos.com/jugadores_ficha.asp?codigo=5108</t>
  </si>
  <si>
    <r>
      <rPr>
        <sz val="9"/>
        <rFont val="Arial MT"/>
        <family val="2"/>
      </rPr>
      <t>Gutierrez, Jose Maria</t>
    </r>
  </si>
  <si>
    <t>https://www.tenisdemesaparatodos.com/jugadores_ficha.asp?codigo=25643</t>
  </si>
  <si>
    <r>
      <rPr>
        <sz val="9"/>
        <rFont val="Arial MT"/>
        <family val="2"/>
      </rPr>
      <t>Bravo Maslowski, Juan Ignacio</t>
    </r>
  </si>
  <si>
    <t>https://www.tenisdemesaparatodos.com/jugadores_ficha.asp?codigo=29507</t>
  </si>
  <si>
    <r>
      <rPr>
        <sz val="9"/>
        <rFont val="Arial MT"/>
        <family val="2"/>
      </rPr>
      <t>Gomez, Pablo</t>
    </r>
  </si>
  <si>
    <t>https://www.tenisdemesaparatodos.com/jugadores_ficha.asp?codigo=17</t>
  </si>
  <si>
    <r>
      <rPr>
        <sz val="9"/>
        <rFont val="Arial MT"/>
        <family val="2"/>
      </rPr>
      <t>Muller, Ilan</t>
    </r>
  </si>
  <si>
    <t>https://www.tenisdemesaparatodos.com/jugadores_ficha.asp?codigo=28345</t>
  </si>
  <si>
    <r>
      <rPr>
        <sz val="9"/>
        <rFont val="Arial MT"/>
        <family val="2"/>
      </rPr>
      <t>Choque, Joaquin</t>
    </r>
  </si>
  <si>
    <t>https://www.tenisdemesaparatodos.com/jugadores_ficha.asp?codigo=29229</t>
  </si>
  <si>
    <r>
      <rPr>
        <sz val="9"/>
        <rFont val="Arial MT"/>
        <family val="2"/>
      </rPr>
      <t>Diez, Lucas</t>
    </r>
  </si>
  <si>
    <t>https://www.tenisdemesaparatodos.com/jugadores_ficha.asp?codigo=5669</t>
  </si>
  <si>
    <r>
      <rPr>
        <sz val="9"/>
        <rFont val="Arial MT"/>
        <family val="2"/>
      </rPr>
      <t>Diez, Juan</t>
    </r>
  </si>
  <si>
    <t>https://www.tenisdemesaparatodos.com/jugadores_ficha.asp?codigo=3382</t>
  </si>
  <si>
    <r>
      <rPr>
        <sz val="9"/>
        <rFont val="Arial MT"/>
        <family val="2"/>
      </rPr>
      <t>River Plate</t>
    </r>
  </si>
  <si>
    <r>
      <rPr>
        <sz val="9"/>
        <rFont val="Arial MT"/>
        <family val="2"/>
      </rPr>
      <t>Orencel Melnick, Alexis</t>
    </r>
  </si>
  <si>
    <t>https://www.tenisdemesaparatodos.com/jugadores_ficha.asp?codigo=2813</t>
  </si>
  <si>
    <r>
      <rPr>
        <sz val="9"/>
        <rFont val="Arial MT"/>
        <family val="2"/>
      </rPr>
      <t>Temperley, Diego</t>
    </r>
  </si>
  <si>
    <t>https://www.tenisdemesaparatodos.com/jugadores_ficha.asp?codigo=17564</t>
  </si>
  <si>
    <r>
      <rPr>
        <sz val="9"/>
        <rFont val="Arial MT"/>
        <family val="2"/>
      </rPr>
      <t>Asmu, Agustín</t>
    </r>
  </si>
  <si>
    <t>https://www.tenisdemesaparatodos.com/jugadores_ficha.asp?codigo=19133</t>
  </si>
  <si>
    <r>
      <rPr>
        <sz val="9"/>
        <rFont val="Arial MT"/>
        <family val="2"/>
      </rPr>
      <t>Codina, Ana</t>
    </r>
  </si>
  <si>
    <t>https://www.tenisdemesaparatodos.com/jugadores_ficha.asp?codigo=19980</t>
  </si>
  <si>
    <r>
      <rPr>
        <sz val="9"/>
        <rFont val="Arial MT"/>
        <family val="2"/>
      </rPr>
      <t>Archua, Benjamin</t>
    </r>
  </si>
  <si>
    <t>https://www.tenisdemesaparatodos.com/jugadores_ficha.asp?codigo=24409</t>
  </si>
  <si>
    <r>
      <rPr>
        <sz val="9"/>
        <rFont val="Arial MT"/>
        <family val="2"/>
      </rPr>
      <t>Vivas, Matias L.</t>
    </r>
  </si>
  <si>
    <t>https://www.tenisdemesaparatodos.com/jugadores_ficha.asp?codigo=23595</t>
  </si>
  <si>
    <r>
      <rPr>
        <sz val="9"/>
        <rFont val="Arial MT"/>
        <family val="2"/>
      </rPr>
      <t>Merkin, Alan Gabriel</t>
    </r>
  </si>
  <si>
    <t>https://www.tenisdemesaparatodos.com/jugadores_ficha.asp?codigo=5137</t>
  </si>
  <si>
    <r>
      <rPr>
        <sz val="9"/>
        <rFont val="Arial MT"/>
        <family val="2"/>
      </rPr>
      <t>Bronstein, Leandro</t>
    </r>
  </si>
  <si>
    <t>https://www.tenisdemesaparatodos.com/jugadores_ficha.asp?codigo=3941</t>
  </si>
  <si>
    <r>
      <rPr>
        <sz val="9"/>
        <rFont val="Arial MT"/>
        <family val="2"/>
      </rPr>
      <t>Uslenghi, Santiago</t>
    </r>
  </si>
  <si>
    <t>https://www.tenisdemesaparatodos.com/jugadores_ficha.asp?codigo=25060</t>
  </si>
  <si>
    <r>
      <rPr>
        <sz val="9"/>
        <rFont val="Arial MT"/>
        <family val="2"/>
      </rPr>
      <t>Fradkin, Ivan</t>
    </r>
  </si>
  <si>
    <t>https://www.tenisdemesaparatodos.com/jugadores_ficha.asp?codigo=19552</t>
  </si>
  <si>
    <r>
      <rPr>
        <sz val="9"/>
        <rFont val="Arial MT"/>
        <family val="2"/>
      </rPr>
      <t>Depergola, Mauro</t>
    </r>
  </si>
  <si>
    <t>https://www.tenisdemesaparatodos.com/jugadores_ficha.asp?codigo=2831</t>
  </si>
  <si>
    <r>
      <rPr>
        <sz val="9"/>
        <rFont val="Arial MT"/>
        <family val="2"/>
      </rPr>
      <t>Romego, Ernesto</t>
    </r>
  </si>
  <si>
    <t>https://www.tenisdemesaparatodos.com/jugadores_ficha.asp?codigo=26532</t>
  </si>
  <si>
    <r>
      <rPr>
        <sz val="9"/>
        <rFont val="Arial MT"/>
        <family val="2"/>
      </rPr>
      <t>Kozicki, Theo</t>
    </r>
  </si>
  <si>
    <t>https://www.tenisdemesaparatodos.com/jugadores_ficha.asp?codigo=23224</t>
  </si>
  <si>
    <r>
      <rPr>
        <sz val="9"/>
        <rFont val="Arial MT"/>
        <family val="2"/>
      </rPr>
      <t>Fiasche, Francisco</t>
    </r>
  </si>
  <si>
    <t>https://www.tenisdemesaparatodos.com/jugadores_ficha.asp?codigo=3133</t>
  </si>
  <si>
    <r>
      <rPr>
        <sz val="9"/>
        <rFont val="Arial MT"/>
        <family val="2"/>
      </rPr>
      <t>Rimasa, Daniel</t>
    </r>
  </si>
  <si>
    <t>https://www.tenisdemesaparatodos.com/jugadores_ficha.asp?codigo=25969</t>
  </si>
  <si>
    <r>
      <rPr>
        <sz val="9"/>
        <rFont val="Arial MT"/>
        <family val="2"/>
      </rPr>
      <t>Pedernera, Lorenzo</t>
    </r>
  </si>
  <si>
    <t>https://www.tenisdemesaparatodos.com/jugadores_ficha.asp?codigo=27900</t>
  </si>
  <si>
    <r>
      <rPr>
        <sz val="9"/>
        <rFont val="Arial MT"/>
        <family val="2"/>
      </rPr>
      <t>Aizemberg, Ariel</t>
    </r>
  </si>
  <si>
    <t>https://www.tenisdemesaparatodos.com/jugadores_ficha.asp?codigo=16932</t>
  </si>
  <si>
    <r>
      <rPr>
        <sz val="9"/>
        <rFont val="Arial MT"/>
        <family val="2"/>
      </rPr>
      <t>Aguilar Ikeda, Justina Mayumi</t>
    </r>
  </si>
  <si>
    <t>https://www.tenisdemesaparatodos.com/jugadores_ficha.asp?codigo=17626</t>
  </si>
  <si>
    <r>
      <rPr>
        <sz val="9"/>
        <rFont val="Arial MT"/>
        <family val="2"/>
      </rPr>
      <t>Linares, Jeronimo</t>
    </r>
  </si>
  <si>
    <t>https://www.tenisdemesaparatodos.com/jugadores_ficha.asp?codigo=24748</t>
  </si>
  <si>
    <r>
      <rPr>
        <sz val="9"/>
        <rFont val="Arial MT"/>
        <family val="2"/>
      </rPr>
      <t>Vazquez, Alejandro</t>
    </r>
  </si>
  <si>
    <t>https://www.tenisdemesaparatodos.com/jugadores_ficha.asp?codigo=1087</t>
  </si>
  <si>
    <r>
      <rPr>
        <sz val="9"/>
        <rFont val="Arial MT"/>
        <family val="2"/>
      </rPr>
      <t>Cantarian, Aníbal</t>
    </r>
  </si>
  <si>
    <t>https://www.tenisdemesaparatodos.com/jugadores_ficha.asp?codigo=8201</t>
  </si>
  <si>
    <r>
      <rPr>
        <sz val="9"/>
        <rFont val="Arial MT"/>
        <family val="2"/>
      </rPr>
      <t>Di Corrado, Gustavo</t>
    </r>
  </si>
  <si>
    <t>https://www.tenisdemesaparatodos.com/jugadores_ficha.asp?codigo=6207</t>
  </si>
  <si>
    <r>
      <rPr>
        <sz val="9"/>
        <rFont val="Arial MT"/>
        <family val="2"/>
      </rPr>
      <t>Scarfone, Nicolás</t>
    </r>
  </si>
  <si>
    <t>https://www.tenisdemesaparatodos.com/jugadores_ficha.asp?codigo=5361</t>
  </si>
  <si>
    <r>
      <rPr>
        <sz val="9"/>
        <rFont val="Arial MT"/>
        <family val="2"/>
      </rPr>
      <t>Repetto, Juan Nicolas</t>
    </r>
  </si>
  <si>
    <t>https://www.tenisdemesaparatodos.com/jugadores_ficha.asp?codigo=12178</t>
  </si>
  <si>
    <r>
      <rPr>
        <sz val="9"/>
        <rFont val="Arial MT"/>
        <family val="2"/>
      </rPr>
      <t>Hurevich, Mariano</t>
    </r>
  </si>
  <si>
    <t>https://www.tenisdemesaparatodos.com/jugadores_ficha.asp?codigo=6844</t>
  </si>
  <si>
    <r>
      <rPr>
        <sz val="9"/>
        <rFont val="Arial MT"/>
        <family val="2"/>
      </rPr>
      <t>Mo, Lorenzo M.</t>
    </r>
  </si>
  <si>
    <t>https://www.tenisdemesaparatodos.com/jugadores_ficha.asp?codigo=25181</t>
  </si>
  <si>
    <r>
      <rPr>
        <sz val="9"/>
        <rFont val="Arial MT"/>
        <family val="2"/>
      </rPr>
      <t>Tirri, Javier</t>
    </r>
  </si>
  <si>
    <t>https://www.tenisdemesaparatodos.com/jugadores_ficha.asp?codigo=24688</t>
  </si>
  <si>
    <r>
      <rPr>
        <sz val="9"/>
        <rFont val="Arial MT"/>
        <family val="2"/>
      </rPr>
      <t>Castrovinci, Carina</t>
    </r>
  </si>
  <si>
    <t>https://www.tenisdemesaparatodos.com/jugadores_ficha.asp?codigo=17724</t>
  </si>
  <si>
    <r>
      <rPr>
        <sz val="9"/>
        <rFont val="Arial MT"/>
        <family val="2"/>
      </rPr>
      <t>Duboscq, Nelson D.</t>
    </r>
  </si>
  <si>
    <t>https://www.tenisdemesaparatodos.com/jugadores_ficha.asp?codigo=4506</t>
  </si>
  <si>
    <r>
      <rPr>
        <sz val="9"/>
        <rFont val="Arial MT"/>
        <family val="2"/>
      </rPr>
      <t>Gutierrez, Miguel Angel</t>
    </r>
  </si>
  <si>
    <t>https://www.tenisdemesaparatodos.com/jugadores_ficha.asp?codigo=510</t>
  </si>
  <si>
    <r>
      <rPr>
        <sz val="9"/>
        <rFont val="Arial MT"/>
        <family val="2"/>
      </rPr>
      <t>Picchiarini, Guilermo J.</t>
    </r>
  </si>
  <si>
    <t>https://www.tenisdemesaparatodos.com/jugadores_ficha.asp?codigo=24965</t>
  </si>
  <si>
    <r>
      <rPr>
        <sz val="9"/>
        <rFont val="Arial MT"/>
        <family val="2"/>
      </rPr>
      <t>Vilchez, Matias</t>
    </r>
  </si>
  <si>
    <t>https://www.tenisdemesaparatodos.com/jugadores_ficha.asp?codigo=29388</t>
  </si>
  <si>
    <r>
      <rPr>
        <sz val="9"/>
        <rFont val="Arial MT"/>
        <family val="2"/>
      </rPr>
      <t>Santoandre, Fabian</t>
    </r>
  </si>
  <si>
    <t>https://www.tenisdemesaparatodos.com/jugadores_ficha.asp?codigo=29244</t>
  </si>
  <si>
    <r>
      <rPr>
        <sz val="9"/>
        <rFont val="Arial MT"/>
        <family val="2"/>
      </rPr>
      <t>Espinola, Agustin</t>
    </r>
  </si>
  <si>
    <r>
      <rPr>
        <sz val="9"/>
        <rFont val="Arial MT"/>
        <family val="2"/>
      </rPr>
      <t>Coquet, Gonzalo</t>
    </r>
  </si>
  <si>
    <t>https://www.tenisdemesaparatodos.com/jugadores_ficha.asp?codigo=411</t>
  </si>
  <si>
    <r>
      <rPr>
        <sz val="9"/>
        <rFont val="Arial MT"/>
        <family val="2"/>
      </rPr>
      <t>San Lorenzo</t>
    </r>
  </si>
  <si>
    <r>
      <rPr>
        <sz val="9"/>
        <rFont val="Arial MT"/>
        <family val="2"/>
      </rPr>
      <t>San Lorenzo A</t>
    </r>
  </si>
  <si>
    <r>
      <rPr>
        <sz val="9"/>
        <rFont val="Arial MT"/>
        <family val="2"/>
      </rPr>
      <t>Sarso, Luciano</t>
    </r>
  </si>
  <si>
    <t>https://www.tenisdemesaparatodos.com/jugadores_ficha.asp?codigo=5163</t>
  </si>
  <si>
    <r>
      <rPr>
        <sz val="9"/>
        <rFont val="Arial MT"/>
        <family val="2"/>
      </rPr>
      <t>Avian, Ignacio</t>
    </r>
  </si>
  <si>
    <t>https://www.tenisdemesaparatodos.com/jugadores_ficha.asp?codigo=13475</t>
  </si>
  <si>
    <r>
      <rPr>
        <sz val="9"/>
        <rFont val="Arial MT"/>
        <family val="2"/>
      </rPr>
      <t>Hurtado, Franco</t>
    </r>
  </si>
  <si>
    <t>https://www.tenisdemesaparatodos.com/jugadores_ficha.asp?codigo=9649</t>
  </si>
  <si>
    <r>
      <rPr>
        <sz val="9"/>
        <rFont val="Arial MT"/>
        <family val="2"/>
      </rPr>
      <t>San Lorenzo B</t>
    </r>
  </si>
  <si>
    <r>
      <rPr>
        <sz val="9"/>
        <rFont val="Arial MT"/>
        <family val="2"/>
      </rPr>
      <t>Flores Canto, Erik</t>
    </r>
  </si>
  <si>
    <t>https://www.tenisdemesaparatodos.com/jugadores_ficha.asp?codigo=18029</t>
  </si>
  <si>
    <r>
      <rPr>
        <sz val="9"/>
        <rFont val="Arial MT"/>
        <family val="2"/>
      </rPr>
      <t>Soto, Gerardo</t>
    </r>
  </si>
  <si>
    <t>https://www.tenisdemesaparatodos.com/jugadores_ficha.asp?codigo=18030</t>
  </si>
  <si>
    <r>
      <rPr>
        <sz val="9"/>
        <rFont val="Arial MT"/>
        <family val="2"/>
      </rPr>
      <t>Mantesi Lopez, Agustín</t>
    </r>
  </si>
  <si>
    <t>https://www.tenisdemesaparatodos.com/jugadores_ficha.asp?codigo=9145</t>
  </si>
  <si>
    <r>
      <rPr>
        <sz val="9"/>
        <rFont val="Arial MT"/>
        <family val="2"/>
      </rPr>
      <t>Valin, Quimey</t>
    </r>
  </si>
  <si>
    <t>https://www.tenisdemesaparatodos.com/jugadores_ficha.asp?codigo=8986</t>
  </si>
  <si>
    <r>
      <rPr>
        <sz val="9"/>
        <rFont val="Arial MT"/>
        <family val="2"/>
      </rPr>
      <t>Ferreyra, Dante V.</t>
    </r>
  </si>
  <si>
    <t>https://www.tenisdemesaparatodos.com/jugadores_ficha.asp?codigo=16959</t>
  </si>
  <si>
    <r>
      <rPr>
        <sz val="9"/>
        <rFont val="Arial MT"/>
        <family val="2"/>
      </rPr>
      <t>Larraura, Facundo</t>
    </r>
  </si>
  <si>
    <t>https://www.tenisdemesaparatodos.com/jugadores_ficha.asp?codigo=17158</t>
  </si>
  <si>
    <r>
      <rPr>
        <sz val="9"/>
        <rFont val="Arial MT"/>
        <family val="2"/>
      </rPr>
      <t>Acenelli, Joaquín</t>
    </r>
  </si>
  <si>
    <t>https://www.tenisdemesaparatodos.com/jugadores_ficha.asp?codigo=12461</t>
  </si>
  <si>
    <r>
      <rPr>
        <sz val="9"/>
        <rFont val="Arial MT"/>
        <family val="2"/>
      </rPr>
      <t>Gulloni, Fernando</t>
    </r>
  </si>
  <si>
    <t>https://www.tenisdemesaparatodos.com/jugadores_ficha.asp?codigo=26528</t>
  </si>
  <si>
    <r>
      <rPr>
        <sz val="9"/>
        <rFont val="Arial MT"/>
        <family val="2"/>
      </rPr>
      <t>Huaranca Castillo, Irene T.</t>
    </r>
  </si>
  <si>
    <t>https://www.tenisdemesaparatodos.com/jugadores_ficha.asp?codigo=21203</t>
  </si>
  <si>
    <r>
      <rPr>
        <sz val="9"/>
        <rFont val="Arial MT"/>
        <family val="2"/>
      </rPr>
      <t>Arbuco, Camilo</t>
    </r>
  </si>
  <si>
    <t>https://www.tenisdemesaparatodos.com/jugadores_ficha.asp?codigo=23891</t>
  </si>
  <si>
    <r>
      <rPr>
        <sz val="9"/>
        <rFont val="Arial MT"/>
        <family val="2"/>
      </rPr>
      <t>Fantino, Juan Pablo</t>
    </r>
  </si>
  <si>
    <t>https://www.tenisdemesaparatodos.com/jugadores_ficha.asp?codigo=22098</t>
  </si>
  <si>
    <r>
      <rPr>
        <sz val="9"/>
        <rFont val="Arial MT"/>
        <family val="2"/>
      </rPr>
      <t>Acosta Diaz, Jorge</t>
    </r>
  </si>
  <si>
    <t>https://www.tenisdemesaparatodos.com/jugadores_ficha.asp?codigo=12920</t>
  </si>
  <si>
    <r>
      <rPr>
        <sz val="9"/>
        <rFont val="Arial MT"/>
        <family val="2"/>
      </rPr>
      <t>Fossatti, Jose</t>
    </r>
  </si>
  <si>
    <t>https://www.tenisdemesaparatodos.com/jugadores_ficha.asp?codigo=14688</t>
  </si>
  <si>
    <r>
      <rPr>
        <sz val="9"/>
        <rFont val="Arial MT"/>
        <family val="2"/>
      </rPr>
      <t>Salcedo, Leonardo</t>
    </r>
  </si>
  <si>
    <t>https://www.tenisdemesaparatodos.com/jugadores_ficha.asp?codigo=13606</t>
  </si>
  <si>
    <r>
      <rPr>
        <sz val="9"/>
        <rFont val="Arial MT"/>
        <family val="2"/>
      </rPr>
      <t>Acosta Diaz, Jesus</t>
    </r>
  </si>
  <si>
    <t>https://www.tenisdemesaparatodos.com/jugadores_ficha.asp?codigo=20835</t>
  </si>
  <si>
    <r>
      <rPr>
        <sz val="9"/>
        <rFont val="Arial MT"/>
        <family val="2"/>
      </rPr>
      <t>Burcaizea Mañiani, Ignacio</t>
    </r>
  </si>
  <si>
    <t>https://www.tenisdemesaparatodos.com/jugadores_ficha.asp?codigo=28266</t>
  </si>
  <si>
    <r>
      <rPr>
        <sz val="9"/>
        <rFont val="Arial MT"/>
        <family val="2"/>
      </rPr>
      <t>Capria, Francisco</t>
    </r>
  </si>
  <si>
    <t>https://www.tenisdemesaparatodos.com/jugadores_ficha.asp?codigo=22242</t>
  </si>
  <si>
    <r>
      <rPr>
        <sz val="9"/>
        <rFont val="Arial MT"/>
        <family val="2"/>
      </rPr>
      <t>Fernandez, Daniel E.</t>
    </r>
  </si>
  <si>
    <t>https://www.tenisdemesaparatodos.com/jugadores_ficha.asp?codigo=6177</t>
  </si>
  <si>
    <r>
      <rPr>
        <sz val="9"/>
        <rFont val="Arial MT"/>
        <family val="2"/>
      </rPr>
      <t>Acosta, Nicolas</t>
    </r>
  </si>
  <si>
    <t>https://www.tenisdemesaparatodos.com/jugadores_ficha.asp?codigo=15302</t>
  </si>
  <si>
    <r>
      <rPr>
        <sz val="9"/>
        <rFont val="Arial MT"/>
        <family val="2"/>
      </rPr>
      <t>Lamas, Mariano D.</t>
    </r>
  </si>
  <si>
    <t>https://www.tenisdemesaparatodos.com/jugadores_ficha.asp?codigo=16665</t>
  </si>
  <si>
    <r>
      <rPr>
        <sz val="9"/>
        <rFont val="Arial MT"/>
        <family val="2"/>
      </rPr>
      <t>Milano, Fernando</t>
    </r>
  </si>
  <si>
    <t>https://www.tenisdemesaparatodos.com/jugadores_ficha.asp?codigo=29448</t>
  </si>
  <si>
    <r>
      <rPr>
        <sz val="9"/>
        <rFont val="Arial MT"/>
        <family val="2"/>
      </rPr>
      <t>Gonzalez, Javier</t>
    </r>
  </si>
  <si>
    <t>https://www.tenisdemesaparatodos.com/jugadores_ficha.asp?codigo=474</t>
  </si>
  <si>
    <r>
      <rPr>
        <sz val="9"/>
        <rFont val="Arial MT"/>
        <family val="2"/>
      </rPr>
      <t>Grundwalt, Maria</t>
    </r>
  </si>
  <si>
    <t>https://www.tenisdemesaparatodos.com/jugadores_ficha.asp?codigo=28219</t>
  </si>
  <si>
    <r>
      <rPr>
        <sz val="9"/>
        <rFont val="Arial MT"/>
        <family val="2"/>
      </rPr>
      <t>Grunwaldt, Pablo</t>
    </r>
  </si>
  <si>
    <t>https://www.tenisdemesaparatodos.com/jugadores_ficha.asp?codigo=16767</t>
  </si>
  <si>
    <r>
      <rPr>
        <sz val="9"/>
        <rFont val="Arial MT"/>
        <family val="2"/>
      </rPr>
      <t>Enriquez, Yair E.</t>
    </r>
  </si>
  <si>
    <t>https://www.tenisdemesaparatodos.com/jugadores_ficha.asp?codigo=3256</t>
  </si>
  <si>
    <r>
      <rPr>
        <sz val="9"/>
        <rFont val="Arial MT"/>
        <family val="2"/>
      </rPr>
      <t>Gonzalez, Ignacio</t>
    </r>
  </si>
  <si>
    <t>https://www.tenisdemesaparatodos.com/jugadores_ficha.asp?codigo=3076</t>
  </si>
  <si>
    <r>
      <rPr>
        <sz val="9"/>
        <rFont val="Arial MT"/>
        <family val="2"/>
      </rPr>
      <t>Randazzo, Sebastian</t>
    </r>
  </si>
  <si>
    <t>https://www.tenisdemesaparatodos.com/jugadores_ficha.asp?codigo=14658</t>
  </si>
  <si>
    <r>
      <rPr>
        <sz val="9"/>
        <rFont val="Arial MT"/>
        <family val="2"/>
      </rPr>
      <t>Birman, Alfredo</t>
    </r>
  </si>
  <si>
    <t>https://www.tenisdemesaparatodos.com/jugadores_ficha.asp?codigo=24775</t>
  </si>
  <si>
    <r>
      <rPr>
        <sz val="9"/>
        <rFont val="Arial MT"/>
        <family val="2"/>
      </rPr>
      <t>Gargiulo, Thiago</t>
    </r>
  </si>
  <si>
    <t>https://www.tenisdemesaparatodos.com/jugadores_ficha.asp?codigo=29364</t>
  </si>
  <si>
    <r>
      <rPr>
        <sz val="9"/>
        <rFont val="Arial MT"/>
        <family val="2"/>
      </rPr>
      <t>Soto, Mariana</t>
    </r>
  </si>
  <si>
    <r>
      <rPr>
        <sz val="9"/>
        <rFont val="Arial MT"/>
        <family val="2"/>
      </rPr>
      <t>Cubas, Oscar</t>
    </r>
  </si>
  <si>
    <t>https://www.tenisdemesaparatodos.com/jugadores_ficha.asp?codigo=11497</t>
  </si>
  <si>
    <r>
      <rPr>
        <sz val="9"/>
        <rFont val="Arial MT"/>
        <family val="2"/>
      </rPr>
      <t>Soc. Fomento CAVA</t>
    </r>
  </si>
  <si>
    <r>
      <rPr>
        <sz val="9"/>
        <rFont val="Arial MT"/>
        <family val="2"/>
      </rPr>
      <t>Beirich, Enzo Gabriel</t>
    </r>
  </si>
  <si>
    <t>https://www.tenisdemesaparatodos.com/jugadores_ficha.asp?codigo=26608</t>
  </si>
  <si>
    <r>
      <rPr>
        <sz val="9"/>
        <rFont val="Arial MT"/>
        <family val="2"/>
      </rPr>
      <t>Sanucci, Matías</t>
    </r>
  </si>
  <si>
    <t>https://www.tenisdemesaparatodos.com/jugadores_ficha.asp?codigo=7617</t>
  </si>
  <si>
    <r>
      <rPr>
        <sz val="9"/>
        <rFont val="Arial MT"/>
        <family val="2"/>
      </rPr>
      <t>Amendola, Julio</t>
    </r>
  </si>
  <si>
    <t>https://www.tenisdemesaparatodos.com/jugadores_ficha.asp?codigo=9091</t>
  </si>
  <si>
    <r>
      <rPr>
        <sz val="9"/>
        <rFont val="Arial MT"/>
        <family val="2"/>
      </rPr>
      <t>Laiño, Alejandro Daniel</t>
    </r>
  </si>
  <si>
    <t>https://www.tenisdemesaparatodos.com/jugadores_ficha.asp?codigo=27435</t>
  </si>
  <si>
    <r>
      <rPr>
        <sz val="9"/>
        <rFont val="Arial MT"/>
        <family val="2"/>
      </rPr>
      <t>Petrasso, Leonardo</t>
    </r>
  </si>
  <si>
    <t>https://www.tenisdemesaparatodos.com/jugadores_ficha.asp?codigo=8224</t>
  </si>
  <si>
    <r>
      <rPr>
        <sz val="9"/>
        <rFont val="Arial MT"/>
        <family val="2"/>
      </rPr>
      <t>Diwan, Luciano</t>
    </r>
  </si>
  <si>
    <t>https://www.tenisdemesaparatodos.com/jugadores_ficha.asp?codigo=26295</t>
  </si>
  <si>
    <r>
      <rPr>
        <sz val="9"/>
        <rFont val="Arial MT"/>
        <family val="2"/>
      </rPr>
      <t>Lucci, Pablo G.</t>
    </r>
  </si>
  <si>
    <t>https://www.tenisdemesaparatodos.com/jugadores_ficha.asp?codigo=9374</t>
  </si>
  <si>
    <r>
      <rPr>
        <sz val="9"/>
        <rFont val="Arial MT"/>
        <family val="2"/>
      </rPr>
      <t>Solari Vitali, Eduardo J.</t>
    </r>
  </si>
  <si>
    <t>https://www.tenisdemesaparatodos.com/jugadores_ficha.asp?codigo=19858</t>
  </si>
  <si>
    <r>
      <rPr>
        <sz val="9"/>
        <rFont val="Arial MT"/>
        <family val="2"/>
      </rPr>
      <t>Lassaque, Andrés</t>
    </r>
  </si>
  <si>
    <t>https://www.tenisdemesaparatodos.com/jugadores_ficha.asp?codigo=8073</t>
  </si>
  <si>
    <r>
      <rPr>
        <sz val="9"/>
        <rFont val="Arial MT"/>
        <family val="2"/>
      </rPr>
      <t>Barbieri, Daniel</t>
    </r>
  </si>
  <si>
    <t>https://www.tenisdemesaparatodos.com/jugadores_ficha.asp?codigo=1120</t>
  </si>
  <si>
    <r>
      <rPr>
        <sz val="9"/>
        <rFont val="Arial MT"/>
        <family val="2"/>
      </rPr>
      <t>Cestau, Daniel</t>
    </r>
  </si>
  <si>
    <t>https://www.tenisdemesaparatodos.com/jugadores_ficha.asp?codigo=26571</t>
  </si>
  <si>
    <r>
      <rPr>
        <sz val="9"/>
        <rFont val="Arial MT"/>
        <family val="2"/>
      </rPr>
      <t>Onofri, Gustavo A</t>
    </r>
  </si>
  <si>
    <t>https://www.tenisdemesaparatodos.com/jugadores_ficha.asp?codigo=15584</t>
  </si>
  <si>
    <r>
      <rPr>
        <sz val="9"/>
        <rFont val="Arial MT"/>
        <family val="2"/>
      </rPr>
      <t>Ortiz, Carlos Alejandro</t>
    </r>
  </si>
  <si>
    <t>https://www.tenisdemesaparatodos.com/jugadores_ficha.asp?codigo=23067</t>
  </si>
  <si>
    <r>
      <rPr>
        <sz val="9"/>
        <rFont val="Arial MT"/>
        <family val="2"/>
      </rPr>
      <t>Social Ping Pong</t>
    </r>
  </si>
  <si>
    <r>
      <rPr>
        <sz val="9"/>
        <rFont val="Arial MT"/>
        <family val="2"/>
      </rPr>
      <t>Gerez, Santiago</t>
    </r>
  </si>
  <si>
    <r>
      <rPr>
        <sz val="9"/>
        <rFont val="Arial MT"/>
        <family val="2"/>
      </rPr>
      <t>Gerez, Alan</t>
    </r>
  </si>
  <si>
    <t>https://www.tenisdemesaparatodos.com/jugadores_ficha.asp?codigo=14736</t>
  </si>
  <si>
    <r>
      <rPr>
        <sz val="9"/>
        <rFont val="Arial MT"/>
        <family val="2"/>
      </rPr>
      <t>Simonetti, Matias</t>
    </r>
  </si>
  <si>
    <t>https://www.tenisdemesaparatodos.com/jugadores_ficha.asp?codigo=22485</t>
  </si>
  <si>
    <r>
      <rPr>
        <sz val="9"/>
        <rFont val="Arial MT"/>
        <family val="2"/>
      </rPr>
      <t>Stefanini, Sebastián</t>
    </r>
  </si>
  <si>
    <t>https://www.tenisdemesaparatodos.com/jugadores_ficha.asp?codigo=14180</t>
  </si>
  <si>
    <r>
      <rPr>
        <sz val="9"/>
        <rFont val="Arial MT"/>
        <family val="2"/>
      </rPr>
      <t>Maggi, Franco</t>
    </r>
  </si>
  <si>
    <t>https://www.tenisdemesaparatodos.com/jugadores_ficha.asp?codigo=25126</t>
  </si>
  <si>
    <r>
      <rPr>
        <sz val="9"/>
        <rFont val="Arial MT"/>
        <family val="2"/>
      </rPr>
      <t>Gutierrez, Juan Andres</t>
    </r>
  </si>
  <si>
    <t>https://www.tenisdemesaparatodos.com/jugadores_ficha.asp?codigo=11066</t>
  </si>
  <si>
    <r>
      <rPr>
        <sz val="9"/>
        <rFont val="Arial MT"/>
        <family val="2"/>
      </rPr>
      <t>Fujioka, Laura</t>
    </r>
  </si>
  <si>
    <t>https://www.tenisdemesaparatodos.com/jugadores_ficha.asp?codigo=18754</t>
  </si>
  <si>
    <r>
      <rPr>
        <sz val="9"/>
        <rFont val="Arial MT"/>
        <family val="2"/>
      </rPr>
      <t>Gerez, Marcelo</t>
    </r>
  </si>
  <si>
    <t>https://www.tenisdemesaparatodos.com/jugadores_ficha.asp?codigo=14735</t>
  </si>
  <si>
    <r>
      <rPr>
        <sz val="9"/>
        <rFont val="Arial MT"/>
        <family val="2"/>
      </rPr>
      <t>Gamboa, Flavio</t>
    </r>
  </si>
  <si>
    <t>https://www.tenisdemesaparatodos.com/jugadores_ficha.asp?codigo=18802</t>
  </si>
  <si>
    <r>
      <rPr>
        <sz val="9"/>
        <rFont val="Arial MT"/>
        <family val="2"/>
      </rPr>
      <t>Ubilla, Gabriel A.</t>
    </r>
  </si>
  <si>
    <t>https://www.tenisdemesaparatodos.com/jugadores_ficha.asp?codigo=20682</t>
  </si>
  <si>
    <r>
      <rPr>
        <sz val="9"/>
        <rFont val="Arial MT"/>
        <family val="2"/>
      </rPr>
      <t>Agüero, Alejandro Lucas</t>
    </r>
  </si>
  <si>
    <t>https://www.tenisdemesaparatodos.com/jugadores_ficha.asp?codigo=2774</t>
  </si>
  <si>
    <r>
      <rPr>
        <sz val="9"/>
        <rFont val="Arial MT"/>
        <family val="2"/>
      </rPr>
      <t>Humaño, Daniel</t>
    </r>
  </si>
  <si>
    <t>https://www.tenisdemesaparatodos.com/jugadores_ficha.asp?codigo=5813</t>
  </si>
  <si>
    <r>
      <rPr>
        <sz val="9"/>
        <rFont val="Arial MT"/>
        <family val="2"/>
      </rPr>
      <t>Livia, Jose</t>
    </r>
  </si>
  <si>
    <t>https://www.tenisdemesaparatodos.com/jugadores_ficha.asp?codigo=26406</t>
  </si>
  <si>
    <r>
      <rPr>
        <sz val="9"/>
        <rFont val="Arial MT"/>
        <family val="2"/>
      </rPr>
      <t>Contreras, Jean</t>
    </r>
  </si>
  <si>
    <t>https://www.tenisdemesaparatodos.com/jugadores_ficha.asp?codigo=25499</t>
  </si>
  <si>
    <r>
      <rPr>
        <sz val="9"/>
        <rFont val="Arial MT"/>
        <family val="2"/>
      </rPr>
      <t>Valderrey, Facundo</t>
    </r>
  </si>
  <si>
    <t>https://www.tenisdemesaparatodos.com/jugadores_ficha.asp?codigo=24172</t>
  </si>
  <si>
    <r>
      <rPr>
        <sz val="9"/>
        <rFont val="Arial MT"/>
        <family val="2"/>
      </rPr>
      <t>Ponce de Leon, Luis</t>
    </r>
  </si>
  <si>
    <t>https://www.tenisdemesaparatodos.com/jugadores_ficha.asp?codigo=27631</t>
  </si>
  <si>
    <r>
      <rPr>
        <sz val="9"/>
        <rFont val="Arial MT"/>
        <family val="2"/>
      </rPr>
      <t>Spin TDM</t>
    </r>
  </si>
  <si>
    <r>
      <rPr>
        <sz val="9"/>
        <rFont val="Arial MT"/>
        <family val="2"/>
      </rPr>
      <t>Mendez, Gonzalo</t>
    </r>
  </si>
  <si>
    <t>https://www.tenisdemesaparatodos.com/jugadores_ficha.asp?codigo=2301</t>
  </si>
  <si>
    <r>
      <rPr>
        <sz val="9"/>
        <rFont val="Arial MT"/>
        <family val="2"/>
      </rPr>
      <t>Markunas, Maximiliano</t>
    </r>
  </si>
  <si>
    <t>https://www.tenisdemesaparatodos.com/jugadores_ficha.asp?codigo=966</t>
  </si>
  <si>
    <r>
      <rPr>
        <sz val="9"/>
        <rFont val="Arial MT"/>
        <family val="2"/>
      </rPr>
      <t>Cassara, Omar</t>
    </r>
  </si>
  <si>
    <t>https://www.tenisdemesaparatodos.com/jugadores_ficha.asp?codigo=489</t>
  </si>
  <si>
    <r>
      <rPr>
        <sz val="9"/>
        <rFont val="Arial MT"/>
        <family val="2"/>
      </rPr>
      <t>Villarruel, Ary Javier</t>
    </r>
  </si>
  <si>
    <t>https://www.tenisdemesaparatodos.com/jugadores_ficha.asp?codigo=19003</t>
  </si>
  <si>
    <r>
      <rPr>
        <sz val="9"/>
        <rFont val="Arial MT"/>
        <family val="2"/>
      </rPr>
      <t>Aranda, Santiago</t>
    </r>
  </si>
  <si>
    <t>https://www.tenisdemesaparatodos.com/jugadores_ficha.asp?codigo=5141</t>
  </si>
  <si>
    <r>
      <rPr>
        <sz val="9"/>
        <rFont val="Arial MT"/>
        <family val="2"/>
      </rPr>
      <t>Alcocer, Juan</t>
    </r>
  </si>
  <si>
    <t>https://www.tenisdemesaparatodos.com/jugadores_ficha.asp?codigo=668</t>
  </si>
  <si>
    <r>
      <rPr>
        <sz val="9"/>
        <rFont val="Arial MT"/>
        <family val="2"/>
      </rPr>
      <t>Mira, Pablo</t>
    </r>
  </si>
  <si>
    <t>https://www.tenisdemesaparatodos.com/jugadores_ficha.asp?codigo=11250</t>
  </si>
  <si>
    <r>
      <rPr>
        <sz val="9"/>
        <rFont val="Arial MT"/>
        <family val="2"/>
      </rPr>
      <t>Estrada, Marcelo</t>
    </r>
  </si>
  <si>
    <t>https://www.tenisdemesaparatodos.com/jugadores_ficha.asp?codigo=4982</t>
  </si>
  <si>
    <r>
      <rPr>
        <sz val="9"/>
        <rFont val="Arial MT"/>
        <family val="2"/>
      </rPr>
      <t>Jofre, Martin</t>
    </r>
  </si>
  <si>
    <t>https://www.tenisdemesaparatodos.com/jugadores_ficha.asp?codigo=25553</t>
  </si>
  <si>
    <r>
      <rPr>
        <sz val="9"/>
        <rFont val="Arial MT"/>
        <family val="2"/>
      </rPr>
      <t>Frymer, Gabriel</t>
    </r>
  </si>
  <si>
    <t>https://www.tenisdemesaparatodos.com/jugadores_ficha.asp?codigo=2209</t>
  </si>
  <si>
    <r>
      <rPr>
        <sz val="9"/>
        <rFont val="Arial MT"/>
        <family val="2"/>
      </rPr>
      <t>Santistevan, Alejandro</t>
    </r>
  </si>
  <si>
    <t>https://www.tenisdemesaparatodos.com/jugadores_ficha.asp?codigo=28426</t>
  </si>
  <si>
    <r>
      <rPr>
        <sz val="9"/>
        <rFont val="Arial MT"/>
        <family val="2"/>
      </rPr>
      <t>Tu, Matias I.</t>
    </r>
  </si>
  <si>
    <t>https://www.tenisdemesaparatodos.com/jugadores_ficha.asp?codigo=11781</t>
  </si>
  <si>
    <r>
      <rPr>
        <sz val="9"/>
        <rFont val="Arial MT"/>
        <family val="2"/>
      </rPr>
      <t>Robinsohn, Gustavo</t>
    </r>
  </si>
  <si>
    <t>https://www.tenisdemesaparatodos.com/jugadores_ficha.asp?codigo=12094</t>
  </si>
  <si>
    <r>
      <rPr>
        <sz val="9"/>
        <rFont val="Arial MT"/>
        <family val="2"/>
      </rPr>
      <t>Suzuki Son, Hernan</t>
    </r>
  </si>
  <si>
    <t>https://www.tenisdemesaparatodos.com/jugadores_ficha.asp?codigo=24849</t>
  </si>
  <si>
    <r>
      <rPr>
        <sz val="9"/>
        <rFont val="Arial MT"/>
        <family val="2"/>
      </rPr>
      <t>Muñoz, Giselle</t>
    </r>
  </si>
  <si>
    <t>https://www.tenisdemesaparatodos.com/jugadores_ficha.asp?codigo=845</t>
  </si>
  <si>
    <r>
      <rPr>
        <sz val="9"/>
        <rFont val="Arial MT"/>
        <family val="2"/>
      </rPr>
      <t>Mollo, David</t>
    </r>
  </si>
  <si>
    <t>https://www.tenisdemesaparatodos.com/jugadores_ficha.asp?codigo=25967</t>
  </si>
  <si>
    <r>
      <rPr>
        <sz val="9"/>
        <rFont val="Arial MT"/>
        <family val="2"/>
      </rPr>
      <t>Veliz, Jeremias N.</t>
    </r>
  </si>
  <si>
    <t>https://www.tenisdemesaparatodos.com/jugadores_ficha.asp?codigo=20066</t>
  </si>
  <si>
    <r>
      <rPr>
        <sz val="9"/>
        <rFont val="Arial MT"/>
        <family val="2"/>
      </rPr>
      <t>Ricaud, Pablo E.</t>
    </r>
  </si>
  <si>
    <t>https://www.tenisdemesaparatodos.com/jugadores_ficha.asp?codigo=24789</t>
  </si>
  <si>
    <r>
      <rPr>
        <sz val="9"/>
        <rFont val="Arial MT"/>
        <family val="2"/>
      </rPr>
      <t>Cruz Muñoz, Martina</t>
    </r>
  </si>
  <si>
    <t>https://www.tenisdemesaparatodos.com/jugadores_ficha.asp?codigo=24682</t>
  </si>
  <si>
    <r>
      <rPr>
        <sz val="9"/>
        <rFont val="Arial MT"/>
        <family val="2"/>
      </rPr>
      <t>Balcaza, Néstor</t>
    </r>
  </si>
  <si>
    <t>https://www.tenisdemesaparatodos.com/jugadores_ficha.asp?codigo=12009</t>
  </si>
  <si>
    <r>
      <rPr>
        <sz val="9"/>
        <rFont val="Arial MT"/>
        <family val="2"/>
      </rPr>
      <t>Boron, Andres</t>
    </r>
  </si>
  <si>
    <t>https://www.tenisdemesaparatodos.com/jugadores_ficha.asp?codigo=21600</t>
  </si>
  <si>
    <r>
      <rPr>
        <sz val="9"/>
        <rFont val="Arial MT"/>
        <family val="2"/>
      </rPr>
      <t>Cardozo, Facundo</t>
    </r>
  </si>
  <si>
    <t>https://www.tenisdemesaparatodos.com/jugadores_ficha.asp?codigo=26578</t>
  </si>
  <si>
    <r>
      <rPr>
        <sz val="9"/>
        <rFont val="Arial MT"/>
        <family val="2"/>
      </rPr>
      <t>Basile, Adrian</t>
    </r>
  </si>
  <si>
    <t>https://www.tenisdemesaparatodos.com/jugadores_ficha.asp?codigo=23919</t>
  </si>
  <si>
    <r>
      <rPr>
        <sz val="9"/>
        <rFont val="Arial MT"/>
        <family val="2"/>
      </rPr>
      <t>Baumann Fonay, Claudio</t>
    </r>
  </si>
  <si>
    <t>https://www.tenisdemesaparatodos.com/jugadores_ficha.asp?codigo=24521</t>
  </si>
  <si>
    <r>
      <rPr>
        <sz val="9"/>
        <rFont val="Arial MT"/>
        <family val="2"/>
      </rPr>
      <t>Carballo, Damian</t>
    </r>
  </si>
  <si>
    <t>https://www.tenisdemesaparatodos.com/jugadores_ficha.asp?codigo=5593</t>
  </si>
  <si>
    <r>
      <rPr>
        <sz val="9"/>
        <rFont val="Arial MT"/>
        <family val="2"/>
      </rPr>
      <t>Ernst, Erik</t>
    </r>
  </si>
  <si>
    <t>https://www.tenisdemesaparatodos.com/jugadores_ficha.asp?codigo=24572</t>
  </si>
  <si>
    <r>
      <rPr>
        <sz val="9"/>
        <rFont val="Arial MT"/>
        <family val="2"/>
      </rPr>
      <t>Spin TDM A</t>
    </r>
  </si>
  <si>
    <r>
      <rPr>
        <sz val="9"/>
        <rFont val="Arial MT"/>
        <family val="2"/>
      </rPr>
      <t>Blasco, Lautaro</t>
    </r>
  </si>
  <si>
    <t>https://www.tenisdemesaparatodos.com/jugadores_ficha.asp?codigo=28474</t>
  </si>
  <si>
    <r>
      <rPr>
        <sz val="9"/>
        <rFont val="Arial MT"/>
        <family val="2"/>
      </rPr>
      <t>Arancibia, Ernesto</t>
    </r>
  </si>
  <si>
    <t>https://www.tenisdemesaparatodos.com/jugadores_ficha.asp?codigo=26751</t>
  </si>
  <si>
    <r>
      <rPr>
        <sz val="9"/>
        <rFont val="Arial MT"/>
        <family val="2"/>
      </rPr>
      <t>Robinsohn, Hilario</t>
    </r>
  </si>
  <si>
    <t>https://www.tenisdemesaparatodos.com/jugadores_ficha.asp?codigo=18218</t>
  </si>
  <si>
    <r>
      <rPr>
        <sz val="9"/>
        <rFont val="Arial MT"/>
        <family val="2"/>
      </rPr>
      <t>Cagnoli, Diego</t>
    </r>
  </si>
  <si>
    <t>https://www.tenisdemesaparatodos.com/jugadores_ficha.asp?codigo=26534</t>
  </si>
  <si>
    <r>
      <rPr>
        <sz val="9"/>
        <rFont val="Arial MT"/>
        <family val="2"/>
      </rPr>
      <t>Pintor, Marcelo E.</t>
    </r>
  </si>
  <si>
    <t>https://www.tenisdemesaparatodos.com/jugadores_ficha.asp?codigo=26547</t>
  </si>
  <si>
    <r>
      <rPr>
        <sz val="9"/>
        <rFont val="Arial MT"/>
        <family val="2"/>
      </rPr>
      <t>Tu, Nicolas</t>
    </r>
  </si>
  <si>
    <t>https://www.tenisdemesaparatodos.com/jugadores_ficha.asp?codigo=7543</t>
  </si>
  <si>
    <r>
      <rPr>
        <sz val="9"/>
        <rFont val="Arial MT"/>
        <family val="2"/>
      </rPr>
      <t>Edelstein, Iago</t>
    </r>
  </si>
  <si>
    <t>https://www.tenisdemesaparatodos.com/jugadores_ficha.asp?codigo=28125</t>
  </si>
  <si>
    <r>
      <rPr>
        <sz val="9"/>
        <rFont val="Arial MT"/>
        <family val="2"/>
      </rPr>
      <t>Chavez, Hernan</t>
    </r>
  </si>
  <si>
    <t>https://www.tenisdemesaparatodos.com/jugadores_ficha.asp?codigo=26264</t>
  </si>
  <si>
    <r>
      <rPr>
        <sz val="9"/>
        <rFont val="Arial MT"/>
        <family val="2"/>
      </rPr>
      <t>Spin TDM B</t>
    </r>
  </si>
  <si>
    <r>
      <rPr>
        <sz val="9"/>
        <rFont val="Arial MT"/>
        <family val="2"/>
      </rPr>
      <t>Choclin, Anibal R.</t>
    </r>
  </si>
  <si>
    <t>https://www.tenisdemesaparatodos.com/jugadores_ficha.asp?codigo=24856</t>
  </si>
  <si>
    <r>
      <rPr>
        <sz val="9"/>
        <rFont val="Arial MT"/>
        <family val="2"/>
      </rPr>
      <t>Mansilla, Damian</t>
    </r>
  </si>
  <si>
    <t>https://www.tenisdemesaparatodos.com/jugadores_ficha.asp?codigo=26583</t>
  </si>
  <si>
    <r>
      <rPr>
        <sz val="9"/>
        <rFont val="Arial MT"/>
        <family val="2"/>
      </rPr>
      <t>Sartor, Agostina</t>
    </r>
  </si>
  <si>
    <t>https://www.tenisdemesaparatodos.com/jugadores_ficha.asp?codigo=25176</t>
  </si>
  <si>
    <r>
      <rPr>
        <sz val="9"/>
        <rFont val="Arial MT"/>
        <family val="2"/>
      </rPr>
      <t>Rivas, Cristian</t>
    </r>
  </si>
  <si>
    <t>https://www.tenisdemesaparatodos.com/jugadores_ficha.asp?codigo=2764</t>
  </si>
  <si>
    <r>
      <rPr>
        <sz val="9"/>
        <rFont val="Arial MT"/>
        <family val="2"/>
      </rPr>
      <t>Orozco, Amadeo</t>
    </r>
  </si>
  <si>
    <t>https://www.tenisdemesaparatodos.com/jugadores_ficha.asp?codigo=28919</t>
  </si>
  <si>
    <r>
      <rPr>
        <sz val="9"/>
        <rFont val="Arial MT"/>
        <family val="2"/>
      </rPr>
      <t>Kuell, Nayla</t>
    </r>
  </si>
  <si>
    <t>https://www.tenisdemesaparatodos.com/jugadores_ficha.asp?codigo=14123</t>
  </si>
  <si>
    <r>
      <rPr>
        <sz val="9"/>
        <rFont val="Arial MT"/>
        <family val="2"/>
      </rPr>
      <t>Martinez, Dariel</t>
    </r>
  </si>
  <si>
    <t>https://www.tenisdemesaparatodos.com/jugadores_ficha.asp?codigo=20059</t>
  </si>
  <si>
    <r>
      <rPr>
        <sz val="9"/>
        <rFont val="Arial MT"/>
        <family val="2"/>
      </rPr>
      <t>Muñoz, Luis Fernando</t>
    </r>
  </si>
  <si>
    <t>https://www.tenisdemesaparatodos.com/jugadores_ficha.asp?codigo=15384</t>
  </si>
  <si>
    <r>
      <rPr>
        <sz val="9"/>
        <rFont val="Arial MT"/>
        <family val="2"/>
      </rPr>
      <t>Pereyra, Pablo J.</t>
    </r>
  </si>
  <si>
    <t>https://www.tenisdemesaparatodos.com/jugadores_ficha.asp?codigo=12650</t>
  </si>
  <si>
    <r>
      <rPr>
        <sz val="9"/>
        <rFont val="Arial MT"/>
        <family val="2"/>
      </rPr>
      <t>Crespo, Daniel</t>
    </r>
  </si>
  <si>
    <t>https://www.tenisdemesaparatodos.com/jugadores_ficha.asp?codigo=21970</t>
  </si>
  <si>
    <r>
      <rPr>
        <sz val="9"/>
        <rFont val="Arial MT"/>
        <family val="2"/>
      </rPr>
      <t>Regazzoni, Agustin</t>
    </r>
  </si>
  <si>
    <t>https://www.tenisdemesaparatodos.com/jugadores_ficha.asp?codigo=21399</t>
  </si>
  <si>
    <r>
      <rPr>
        <sz val="9"/>
        <rFont val="Arial MT"/>
        <family val="2"/>
      </rPr>
      <t>Mansilla, Elias</t>
    </r>
  </si>
  <si>
    <t>https://www.tenisdemesaparatodos.com/jugadores_ficha.asp?codigo=11488</t>
  </si>
  <si>
    <r>
      <rPr>
        <sz val="9"/>
        <rFont val="Arial MT"/>
        <family val="2"/>
      </rPr>
      <t>Cassara, Camila</t>
    </r>
  </si>
  <si>
    <t>https://www.tenisdemesaparatodos.com/jugadores_ficha.asp?codigo=11221</t>
  </si>
  <si>
    <r>
      <rPr>
        <sz val="9"/>
        <rFont val="Arial MT"/>
        <family val="2"/>
      </rPr>
      <t>Lopez, Mia</t>
    </r>
  </si>
  <si>
    <t>https://www.tenisdemesaparatodos.com/jugadores_ficha.asp?codigo=28223</t>
  </si>
  <si>
    <r>
      <rPr>
        <sz val="9"/>
        <rFont val="Arial MT"/>
        <family val="2"/>
      </rPr>
      <t>Studio Ping Pong</t>
    </r>
  </si>
  <si>
    <r>
      <rPr>
        <sz val="9"/>
        <rFont val="Arial MT"/>
        <family val="2"/>
      </rPr>
      <t>Vdovichenko, Tiago</t>
    </r>
  </si>
  <si>
    <t>https://www.tenisdemesaparatodos.com/jugadores_ficha.asp?codigo=18796</t>
  </si>
  <si>
    <r>
      <rPr>
        <sz val="9"/>
        <rFont val="Arial MT"/>
        <family val="2"/>
      </rPr>
      <t>Ricci, Guillermo</t>
    </r>
  </si>
  <si>
    <t>https://www.tenisdemesaparatodos.com/jugadores_ficha.asp?codigo=27082</t>
  </si>
  <si>
    <r>
      <rPr>
        <sz val="9"/>
        <rFont val="Arial MT"/>
        <family val="2"/>
      </rPr>
      <t>Carabajal, Emanuel</t>
    </r>
  </si>
  <si>
    <t>https://www.tenisdemesaparatodos.com/jugadores_ficha.asp?codigo=18627</t>
  </si>
  <si>
    <r>
      <rPr>
        <sz val="9"/>
        <rFont val="Arial MT"/>
        <family val="2"/>
      </rPr>
      <t>Siciliano, Kiara</t>
    </r>
  </si>
  <si>
    <t>https://www.tenisdemesaparatodos.com/jugadores_ficha.asp?codigo=24116</t>
  </si>
  <si>
    <r>
      <rPr>
        <sz val="9"/>
        <rFont val="Arial MT"/>
        <family val="2"/>
      </rPr>
      <t>Perez, Mirna A.</t>
    </r>
  </si>
  <si>
    <t>https://www.tenisdemesaparatodos.com/jugadores_ficha.asp?codigo=22901</t>
  </si>
  <si>
    <r>
      <rPr>
        <sz val="9"/>
        <rFont val="Arial MT"/>
        <family val="2"/>
      </rPr>
      <t>Beker, Franco</t>
    </r>
  </si>
  <si>
    <t>https://www.tenisdemesaparatodos.com/jugadores_ficha.asp?codigo=17835</t>
  </si>
  <si>
    <r>
      <rPr>
        <sz val="9"/>
        <rFont val="Arial MT"/>
        <family val="2"/>
      </rPr>
      <t>Oroño Pereyra, Natanael</t>
    </r>
  </si>
  <si>
    <t>https://www.tenisdemesaparatodos.com/jugadores_ficha.asp?codigo=20798</t>
  </si>
  <si>
    <r>
      <rPr>
        <sz val="9"/>
        <rFont val="Arial MT"/>
        <family val="2"/>
      </rPr>
      <t>Jelen, Sebastian</t>
    </r>
  </si>
  <si>
    <t>https://www.tenisdemesaparatodos.com/jugadores_ficha.asp?codigo=25476</t>
  </si>
  <si>
    <r>
      <rPr>
        <sz val="9"/>
        <rFont val="Arial MT"/>
        <family val="2"/>
      </rPr>
      <t>Cuello, Alejo</t>
    </r>
  </si>
  <si>
    <t>https://www.tenisdemesaparatodos.com/jugadores_ficha.asp?codigo=27304</t>
  </si>
  <si>
    <r>
      <rPr>
        <sz val="9"/>
        <rFont val="Arial MT"/>
        <family val="2"/>
      </rPr>
      <t>Carabajal, Santiago</t>
    </r>
  </si>
  <si>
    <t>https://www.tenisdemesaparatodos.com/jugadores_ficha.asp?codigo=28861</t>
  </si>
  <si>
    <r>
      <rPr>
        <sz val="9"/>
        <rFont val="Arial MT"/>
        <family val="2"/>
      </rPr>
      <t>Dell'Acqua, Agustin</t>
    </r>
  </si>
  <si>
    <t>https://www.tenisdemesaparatodos.com/jugadores_ficha.asp?codigo=1496</t>
  </si>
  <si>
    <r>
      <rPr>
        <sz val="9"/>
        <rFont val="Arial MT"/>
        <family val="2"/>
      </rPr>
      <t>Perez Alvarez, Alejandro</t>
    </r>
  </si>
  <si>
    <t>https://www.tenisdemesaparatodos.com/jugadores_ficha.asp?codigo=28868</t>
  </si>
  <si>
    <r>
      <rPr>
        <sz val="9"/>
        <rFont val="Arial MT"/>
        <family val="2"/>
      </rPr>
      <t>Lequio, Santiago</t>
    </r>
  </si>
  <si>
    <t>https://www.tenisdemesaparatodos.com/jugadores_ficha.asp?codigo=27548</t>
  </si>
  <si>
    <r>
      <rPr>
        <sz val="9"/>
        <rFont val="Arial MT"/>
        <family val="2"/>
      </rPr>
      <t>Saucedo, Fabrizio</t>
    </r>
  </si>
  <si>
    <t>https://www.tenisdemesaparatodos.com/jugadores_ficha.asp?codigo=27305</t>
  </si>
  <si>
    <r>
      <rPr>
        <sz val="9"/>
        <rFont val="Arial MT"/>
        <family val="2"/>
      </rPr>
      <t>Lopez, Ramiro J.</t>
    </r>
  </si>
  <si>
    <t>https://www.tenisdemesaparatodos.com/jugadores_ficha.asp?codigo=26390</t>
  </si>
  <si>
    <r>
      <rPr>
        <sz val="9"/>
        <rFont val="Arial MT"/>
        <family val="2"/>
      </rPr>
      <t>Nava Cruces, Rodrigo</t>
    </r>
  </si>
  <si>
    <t>https://www.tenisdemesaparatodos.com/jugadores_ficha.asp?codigo=578</t>
  </si>
  <si>
    <r>
      <rPr>
        <sz val="9"/>
        <rFont val="Arial MT"/>
        <family val="2"/>
      </rPr>
      <t>TDM Cañuelas</t>
    </r>
  </si>
  <si>
    <r>
      <rPr>
        <sz val="9"/>
        <rFont val="Arial MT"/>
        <family val="2"/>
      </rPr>
      <t>Silva, Facundo</t>
    </r>
  </si>
  <si>
    <t>https://www.tenisdemesaparatodos.com/jugadores_ficha.asp?codigo=2261</t>
  </si>
  <si>
    <r>
      <rPr>
        <sz val="9"/>
        <rFont val="Arial MT"/>
        <family val="2"/>
      </rPr>
      <t>Barragan, Tomas</t>
    </r>
  </si>
  <si>
    <t>https://www.tenisdemesaparatodos.com/jugadores_ficha.asp?codigo=16273</t>
  </si>
  <si>
    <r>
      <rPr>
        <sz val="9"/>
        <rFont val="Arial MT"/>
        <family val="2"/>
      </rPr>
      <t>Veiga, Santiago</t>
    </r>
  </si>
  <si>
    <t>https://www.tenisdemesaparatodos.com/jugadores_ficha.asp?codigo=27576</t>
  </si>
  <si>
    <r>
      <rPr>
        <sz val="9"/>
        <rFont val="Arial MT"/>
        <family val="2"/>
      </rPr>
      <t>Muñoz, Lautaro Agustin</t>
    </r>
  </si>
  <si>
    <t>https://www.tenisdemesaparatodos.com/jugadores_ficha.asp?codigo=24953</t>
  </si>
  <si>
    <r>
      <rPr>
        <sz val="9"/>
        <rFont val="Arial MT"/>
        <family val="2"/>
      </rPr>
      <t>Fazio, Valentina</t>
    </r>
  </si>
  <si>
    <t>https://www.tenisdemesaparatodos.com/jugadores_ficha.asp?codigo=25330</t>
  </si>
  <si>
    <r>
      <rPr>
        <sz val="9"/>
        <rFont val="Arial MT"/>
        <family val="2"/>
      </rPr>
      <t>Rico, Leandro</t>
    </r>
  </si>
  <si>
    <t>https://www.tenisdemesaparatodos.com/jugadores_ficha.asp?codigo=21829</t>
  </si>
  <si>
    <r>
      <rPr>
        <sz val="9"/>
        <rFont val="Arial MT"/>
        <family val="2"/>
      </rPr>
      <t>Rotundo, Walter</t>
    </r>
  </si>
  <si>
    <t>https://www.tenisdemesaparatodos.com/jugadores_ficha.asp?codigo=29565</t>
  </si>
  <si>
    <r>
      <rPr>
        <sz val="9"/>
        <rFont val="Arial MT"/>
        <family val="2"/>
      </rPr>
      <t>Cavani Bergessio, Facundo</t>
    </r>
  </si>
  <si>
    <t>https://www.tenisdemesaparatodos.com/jugadores_ficha.asp?codigo=29284</t>
  </si>
  <si>
    <r>
      <rPr>
        <sz val="9"/>
        <rFont val="Arial MT"/>
        <family val="2"/>
      </rPr>
      <t>Fazio, Leonardo</t>
    </r>
  </si>
  <si>
    <t>https://www.tenisdemesaparatodos.com/jugadores_ficha.asp?codigo=7705</t>
  </si>
  <si>
    <r>
      <rPr>
        <sz val="9"/>
        <rFont val="Arial MT"/>
        <family val="2"/>
      </rPr>
      <t>Aragona, Horacio</t>
    </r>
  </si>
  <si>
    <t>https://www.tenisdemesaparatodos.com/jugadores_ficha.asp?codigo=29536</t>
  </si>
  <si>
    <r>
      <rPr>
        <sz val="9"/>
        <rFont val="Arial MT"/>
        <family val="2"/>
      </rPr>
      <t>Cavani Bergessio, Franco</t>
    </r>
  </si>
  <si>
    <t>https://www.tenisdemesaparatodos.com/jugadores_ficha.asp?codigo=5978</t>
  </si>
  <si>
    <r>
      <rPr>
        <sz val="9"/>
        <rFont val="Arial MT"/>
        <family val="2"/>
      </rPr>
      <t>Fizzotti, Evangelina</t>
    </r>
  </si>
  <si>
    <t>https://www.tenisdemesaparatodos.com/jugadores_ficha.asp?codigo=18264</t>
  </si>
  <si>
    <r>
      <rPr>
        <sz val="9"/>
        <rFont val="Arial MT"/>
        <family val="2"/>
      </rPr>
      <t>Sosa, Felipe</t>
    </r>
  </si>
  <si>
    <t>https://www.tenisdemesaparatodos.com/jugadores_ficha.asp?codigo=25291</t>
  </si>
  <si>
    <r>
      <rPr>
        <sz val="9"/>
        <rFont val="Arial MT"/>
        <family val="2"/>
      </rPr>
      <t>Romanach, Damian</t>
    </r>
  </si>
  <si>
    <t>https://www.tenisdemesaparatodos.com/jugadores_ficha.asp?codigo=26849</t>
  </si>
  <si>
    <r>
      <rPr>
        <sz val="9"/>
        <rFont val="Arial MT"/>
        <family val="2"/>
      </rPr>
      <t>Tigre TDM</t>
    </r>
  </si>
  <si>
    <r>
      <rPr>
        <sz val="9"/>
        <rFont val="Arial MT"/>
        <family val="2"/>
      </rPr>
      <t>Sanchez, Claudio</t>
    </r>
  </si>
  <si>
    <t>https://www.tenisdemesaparatodos.com/jugadores_ficha.asp?codigo=685</t>
  </si>
  <si>
    <r>
      <rPr>
        <sz val="9"/>
        <rFont val="Arial MT"/>
        <family val="2"/>
      </rPr>
      <t>Morsino, Nicolas</t>
    </r>
  </si>
  <si>
    <t>https://www.tenisdemesaparatodos.com/jugadores_ficha.asp?codigo=24720</t>
  </si>
  <si>
    <r>
      <rPr>
        <sz val="9"/>
        <rFont val="Arial MT"/>
        <family val="2"/>
      </rPr>
      <t>Saisi, Tobias</t>
    </r>
  </si>
  <si>
    <t>https://www.tenisdemesaparatodos.com/jugadores_ficha.asp?codigo=19967</t>
  </si>
  <si>
    <r>
      <rPr>
        <sz val="9"/>
        <rFont val="Arial MT"/>
        <family val="2"/>
      </rPr>
      <t>Belaustegui, Nicolás</t>
    </r>
  </si>
  <si>
    <t>https://www.tenisdemesaparatodos.com/jugadores_ficha.asp?codigo=458</t>
  </si>
  <si>
    <r>
      <rPr>
        <sz val="9"/>
        <rFont val="Arial MT"/>
        <family val="2"/>
      </rPr>
      <t>Orobio, Manuel</t>
    </r>
  </si>
  <si>
    <t>https://www.tenisdemesaparatodos.com/jugadores_ficha.asp?codigo=11043</t>
  </si>
  <si>
    <r>
      <rPr>
        <sz val="9"/>
        <rFont val="Arial MT"/>
        <family val="2"/>
      </rPr>
      <t>Gomez, Tomas</t>
    </r>
  </si>
  <si>
    <t>https://www.tenisdemesaparatodos.com/jugadores_ficha.asp?codigo=16606</t>
  </si>
  <si>
    <r>
      <rPr>
        <sz val="9"/>
        <rFont val="Arial MT"/>
        <family val="2"/>
      </rPr>
      <t>Sosa, Ignacio J.</t>
    </r>
  </si>
  <si>
    <t>https://www.tenisdemesaparatodos.com/jugadores_ficha.asp?codigo=11049</t>
  </si>
  <si>
    <r>
      <rPr>
        <sz val="9"/>
        <rFont val="Arial MT"/>
        <family val="2"/>
      </rPr>
      <t>Ledesma, Alejo</t>
    </r>
  </si>
  <si>
    <t>https://www.tenisdemesaparatodos.com/jugadores_ficha.asp?codigo=25392</t>
  </si>
  <si>
    <r>
      <rPr>
        <sz val="9"/>
        <rFont val="Arial MT"/>
        <family val="2"/>
      </rPr>
      <t>Aguiar, Gonzalo</t>
    </r>
  </si>
  <si>
    <t>https://www.tenisdemesaparatodos.com/jugadores_ficha.asp?codigo=13972</t>
  </si>
  <si>
    <r>
      <rPr>
        <sz val="9"/>
        <rFont val="Arial MT"/>
        <family val="2"/>
      </rPr>
      <t>Heredia, Marcos</t>
    </r>
  </si>
  <si>
    <t>https://www.tenisdemesaparatodos.com/jugadores_ficha.asp?codigo=19875</t>
  </si>
  <si>
    <r>
      <rPr>
        <sz val="9"/>
        <rFont val="Arial MT"/>
        <family val="2"/>
      </rPr>
      <t>Baez, Federico</t>
    </r>
  </si>
  <si>
    <t>https://www.tenisdemesaparatodos.com/jugadores_ficha.asp?codigo=20005</t>
  </si>
  <si>
    <r>
      <rPr>
        <sz val="9"/>
        <rFont val="Arial MT"/>
        <family val="2"/>
      </rPr>
      <t>Miño, Angel</t>
    </r>
  </si>
  <si>
    <t>https://www.tenisdemesaparatodos.com/jugadores_ficha.asp?codigo=17883</t>
  </si>
  <si>
    <r>
      <rPr>
        <sz val="9"/>
        <rFont val="Arial MT"/>
        <family val="2"/>
      </rPr>
      <t>Santostefano, Marcelo</t>
    </r>
  </si>
  <si>
    <t>https://www.tenisdemesaparatodos.com/jugadores_ficha.asp?codigo=9870</t>
  </si>
  <si>
    <r>
      <rPr>
        <sz val="9"/>
        <rFont val="Arial MT"/>
        <family val="2"/>
      </rPr>
      <t>Labayru, Facundo</t>
    </r>
  </si>
  <si>
    <t>https://www.tenisdemesaparatodos.com/jugadores_ficha.asp?codigo=11297</t>
  </si>
  <si>
    <r>
      <rPr>
        <sz val="9"/>
        <rFont val="Arial MT"/>
        <family val="2"/>
      </rPr>
      <t>Pregliasco, Brian</t>
    </r>
  </si>
  <si>
    <t>https://www.tenisdemesaparatodos.com/jugadores_ficha.asp?codigo=16666</t>
  </si>
  <si>
    <r>
      <rPr>
        <sz val="9"/>
        <rFont val="Arial MT"/>
        <family val="2"/>
      </rPr>
      <t>Diaz, Andres A.</t>
    </r>
  </si>
  <si>
    <t>https://www.tenisdemesaparatodos.com/jugadores_ficha.asp?codigo=26439</t>
  </si>
  <si>
    <r>
      <rPr>
        <sz val="9"/>
        <rFont val="Arial MT"/>
        <family val="2"/>
      </rPr>
      <t>Menin, Felipe</t>
    </r>
  </si>
  <si>
    <t>https://www.tenisdemesaparatodos.com/jugadores_ficha.asp?codigo=26333</t>
  </si>
  <si>
    <r>
      <rPr>
        <sz val="9"/>
        <rFont val="Arial MT"/>
        <family val="2"/>
      </rPr>
      <t>Baldiviezo, Lisandro</t>
    </r>
  </si>
  <si>
    <t>https://www.tenisdemesaparatodos.com/jugadores_ficha.asp?codigo=20788</t>
  </si>
  <si>
    <r>
      <rPr>
        <sz val="9"/>
        <rFont val="Arial MT"/>
        <family val="2"/>
      </rPr>
      <t>Marquina, Brian K.</t>
    </r>
  </si>
  <si>
    <t>https://www.tenisdemesaparatodos.com/jugadores_ficha.asp?codigo=23046</t>
  </si>
  <si>
    <r>
      <rPr>
        <sz val="9"/>
        <rFont val="Arial MT"/>
        <family val="2"/>
      </rPr>
      <t>Murua, Alvaro N.</t>
    </r>
  </si>
  <si>
    <t>https://www.tenisdemesaparatodos.com/jugadores_ficha.asp?codigo=26554</t>
  </si>
  <si>
    <r>
      <rPr>
        <sz val="9"/>
        <rFont val="Arial MT"/>
        <family val="2"/>
      </rPr>
      <t>Olmos, Graciela B</t>
    </r>
  </si>
  <si>
    <t>https://www.tenisdemesaparatodos.com/jugadores_ficha.asp?codigo=28003</t>
  </si>
  <si>
    <r>
      <rPr>
        <sz val="9"/>
        <rFont val="Arial MT"/>
        <family val="2"/>
      </rPr>
      <t>Sosa, Ivan Marcelo</t>
    </r>
  </si>
  <si>
    <t>https://www.tenisdemesaparatodos.com/jugadores_ficha.asp?codigo=8268</t>
  </si>
  <si>
    <r>
      <rPr>
        <sz val="9"/>
        <rFont val="Arial MT"/>
        <family val="2"/>
      </rPr>
      <t>Cattani, Claudio</t>
    </r>
  </si>
  <si>
    <t>https://www.tenisdemesaparatodos.com/jugadores_ficha.asp?codigo=3208</t>
  </si>
  <si>
    <r>
      <rPr>
        <sz val="9"/>
        <rFont val="Arial MT"/>
        <family val="2"/>
      </rPr>
      <t>Miranda, Santiago</t>
    </r>
  </si>
  <si>
    <t>https://www.tenisdemesaparatodos.com/jugadores_ficha.asp?codigo=20747</t>
  </si>
  <si>
    <r>
      <rPr>
        <sz val="9"/>
        <rFont val="Arial MT"/>
        <family val="2"/>
      </rPr>
      <t>Villoldo, Claudio</t>
    </r>
  </si>
  <si>
    <t>https://www.tenisdemesaparatodos.com/jugadores_ficha.asp?codigo=13933</t>
  </si>
  <si>
    <r>
      <rPr>
        <sz val="9"/>
        <rFont val="Arial MT"/>
        <family val="2"/>
      </rPr>
      <t>Castillo, Matias</t>
    </r>
  </si>
  <si>
    <t>https://www.tenisdemesaparatodos.com/jugadores_ficha.asp?codigo=4816</t>
  </si>
  <si>
    <r>
      <rPr>
        <sz val="9"/>
        <rFont val="Arial MT"/>
        <family val="2"/>
      </rPr>
      <t>Depascuali, Francisco</t>
    </r>
  </si>
  <si>
    <t>https://www.tenisdemesaparatodos.com/jugadores_ficha.asp?codigo=26040</t>
  </si>
  <si>
    <r>
      <rPr>
        <sz val="9"/>
        <rFont val="Arial MT"/>
        <family val="2"/>
      </rPr>
      <t>TMR</t>
    </r>
  </si>
  <si>
    <r>
      <rPr>
        <sz val="9"/>
        <rFont val="Arial MT"/>
        <family val="2"/>
      </rPr>
      <t>TMR A</t>
    </r>
  </si>
  <si>
    <r>
      <rPr>
        <sz val="9"/>
        <rFont val="Arial MT"/>
        <family val="2"/>
      </rPr>
      <t>Callaba, Nicolás</t>
    </r>
  </si>
  <si>
    <t>https://www.tenisdemesaparatodos.com/jugadores_ficha.asp?codigo=14687</t>
  </si>
  <si>
    <r>
      <rPr>
        <sz val="9"/>
        <rFont val="Arial MT"/>
        <family val="2"/>
      </rPr>
      <t>Mosteirin Clemente, Camilo</t>
    </r>
  </si>
  <si>
    <t>https://www.tenisdemesaparatodos.com/jugadores_ficha.asp?codigo=22160</t>
  </si>
  <si>
    <r>
      <rPr>
        <sz val="9"/>
        <rFont val="Arial MT"/>
        <family val="2"/>
      </rPr>
      <t>Crimaldi, Francisco</t>
    </r>
  </si>
  <si>
    <t>https://www.tenisdemesaparatodos.com/jugadores_ficha.asp?codigo=17096</t>
  </si>
  <si>
    <r>
      <rPr>
        <sz val="9"/>
        <rFont val="Arial MT"/>
        <family val="2"/>
      </rPr>
      <t>Notturno, Nicolas</t>
    </r>
  </si>
  <si>
    <t>https://www.tenisdemesaparatodos.com/jugadores_ficha.asp?codigo=22622</t>
  </si>
  <si>
    <r>
      <rPr>
        <sz val="9"/>
        <rFont val="Arial MT"/>
        <family val="2"/>
      </rPr>
      <t>Carpio, Francisco</t>
    </r>
  </si>
  <si>
    <t>https://www.tenisdemesaparatodos.com/jugadores_ficha.asp?codigo=9550</t>
  </si>
  <si>
    <r>
      <rPr>
        <sz val="9"/>
        <rFont val="Arial MT"/>
        <family val="2"/>
      </rPr>
      <t>TMR B</t>
    </r>
  </si>
  <si>
    <r>
      <rPr>
        <sz val="9"/>
        <rFont val="Arial MT"/>
        <family val="2"/>
      </rPr>
      <t>La Via, Giuliano</t>
    </r>
  </si>
  <si>
    <t>https://www.tenisdemesaparatodos.com/jugadores_ficha.asp?codigo=24408</t>
  </si>
  <si>
    <r>
      <rPr>
        <sz val="9"/>
        <rFont val="Arial MT"/>
        <family val="2"/>
      </rPr>
      <t>Conde Meira, Matías</t>
    </r>
  </si>
  <si>
    <t>https://www.tenisdemesaparatodos.com/jugadores_ficha.asp?codigo=11281</t>
  </si>
  <si>
    <r>
      <rPr>
        <sz val="9"/>
        <rFont val="Arial MT"/>
        <family val="2"/>
      </rPr>
      <t>Pighini, Matías</t>
    </r>
  </si>
  <si>
    <t>https://www.tenisdemesaparatodos.com/jugadores_ficha.asp?codigo=760</t>
  </si>
  <si>
    <r>
      <rPr>
        <sz val="9"/>
        <rFont val="Arial MT"/>
        <family val="2"/>
      </rPr>
      <t>Lehner, Facundo</t>
    </r>
  </si>
  <si>
    <t>https://www.tenisdemesaparatodos.com/jugadores_ficha.asp?codigo=16137</t>
  </si>
  <si>
    <r>
      <rPr>
        <sz val="9"/>
        <rFont val="Arial MT"/>
        <family val="2"/>
      </rPr>
      <t>Isura, Joaquin</t>
    </r>
  </si>
  <si>
    <t>https://www.tenisdemesaparatodos.com/jugadores_ficha.asp?codigo=4983</t>
  </si>
  <si>
    <r>
      <rPr>
        <sz val="9"/>
        <rFont val="Arial MT"/>
        <family val="2"/>
      </rPr>
      <t>Bianchini, Ignacio</t>
    </r>
  </si>
  <si>
    <t>https://www.tenisdemesaparatodos.com/jugadores_ficha.asp?codigo=15103</t>
  </si>
  <si>
    <r>
      <rPr>
        <sz val="9"/>
        <rFont val="Arial MT"/>
        <family val="2"/>
      </rPr>
      <t>Fermanelli, Pedro</t>
    </r>
  </si>
  <si>
    <t>https://www.tenisdemesaparatodos.com/jugadores_ficha.asp?codigo=11328</t>
  </si>
  <si>
    <r>
      <rPr>
        <sz val="9"/>
        <rFont val="Arial MT"/>
        <family val="2"/>
      </rPr>
      <t>Salvatierra, Marcelo</t>
    </r>
  </si>
  <si>
    <t>https://www.tenisdemesaparatodos.com/jugadores_ficha.asp?codigo=9463</t>
  </si>
  <si>
    <r>
      <rPr>
        <sz val="9"/>
        <rFont val="Arial MT"/>
        <family val="2"/>
      </rPr>
      <t>Baez Abruza, Ramiro</t>
    </r>
  </si>
  <si>
    <t>https://www.tenisdemesaparatodos.com/jugadores_ficha.asp?codigo=23127</t>
  </si>
  <si>
    <r>
      <rPr>
        <sz val="9"/>
        <rFont val="Arial MT"/>
        <family val="2"/>
      </rPr>
      <t>Salusso, Alexia</t>
    </r>
  </si>
  <si>
    <t>https://www.tenisdemesaparatodos.com/jugadores_ficha.asp?codigo=22993</t>
  </si>
  <si>
    <r>
      <rPr>
        <sz val="9"/>
        <rFont val="Arial MT"/>
        <family val="2"/>
      </rPr>
      <t>Sanguinetti, Mateo</t>
    </r>
  </si>
  <si>
    <t>https://www.tenisdemesaparatodos.com/jugadores_ficha.asp?codigo=23193</t>
  </si>
  <si>
    <r>
      <rPr>
        <sz val="9"/>
        <rFont val="Arial MT"/>
        <family val="2"/>
      </rPr>
      <t>Frasson, Gabriel</t>
    </r>
  </si>
  <si>
    <t>https://www.tenisdemesaparatodos.com/jugadores_ficha.asp?codigo=12945</t>
  </si>
  <si>
    <r>
      <rPr>
        <sz val="9"/>
        <rFont val="Arial MT"/>
        <family val="2"/>
      </rPr>
      <t>Dolcet, Mauro</t>
    </r>
  </si>
  <si>
    <t>https://www.tenisdemesaparatodos.com/jugadores_ficha.asp?codigo=16378</t>
  </si>
  <si>
    <r>
      <rPr>
        <sz val="9"/>
        <rFont val="Arial MT"/>
        <family val="2"/>
      </rPr>
      <t>Vildoza, Mateo</t>
    </r>
  </si>
  <si>
    <t>https://www.tenisdemesaparatodos.com/jugadores_ficha.asp?codigo=23542</t>
  </si>
  <si>
    <r>
      <rPr>
        <sz val="9"/>
        <rFont val="Arial MT"/>
        <family val="2"/>
      </rPr>
      <t>Monteforte, Pablo A.</t>
    </r>
  </si>
  <si>
    <t>https://www.tenisdemesaparatodos.com/jugadores_ficha.asp?codigo=17743</t>
  </si>
  <si>
    <r>
      <rPr>
        <sz val="9"/>
        <rFont val="Arial MT"/>
        <family val="2"/>
      </rPr>
      <t>Gomez, Ian</t>
    </r>
  </si>
  <si>
    <t>https://www.tenisdemesaparatodos.com/jugadores_ficha.asp?codigo=13621</t>
  </si>
  <si>
    <r>
      <rPr>
        <sz val="9"/>
        <rFont val="Arial MT"/>
        <family val="2"/>
      </rPr>
      <t>Castro, Nicolas</t>
    </r>
  </si>
  <si>
    <t>https://www.tenisdemesaparatodos.com/jugadores_ficha.asp?codigo=25344</t>
  </si>
  <si>
    <r>
      <rPr>
        <sz val="9"/>
        <rFont val="Arial MT"/>
        <family val="2"/>
      </rPr>
      <t>Luzzi, Lautaro</t>
    </r>
  </si>
  <si>
    <t>https://www.tenisdemesaparatodos.com/jugadores_ficha.asp?codigo=19845</t>
  </si>
  <si>
    <r>
      <rPr>
        <sz val="9"/>
        <rFont val="Arial MT"/>
        <family val="2"/>
      </rPr>
      <t>Diaz, Matias E.</t>
    </r>
  </si>
  <si>
    <t>https://www.tenisdemesaparatodos.com/jugadores_ficha.asp?codigo=10419</t>
  </si>
  <si>
    <r>
      <rPr>
        <sz val="9"/>
        <rFont val="Arial MT"/>
        <family val="2"/>
      </rPr>
      <t>Goldesten, Pablo D.</t>
    </r>
  </si>
  <si>
    <t>https://www.tenisdemesaparatodos.com/jugadores_ficha.asp?codigo=25971</t>
  </si>
  <si>
    <r>
      <rPr>
        <sz val="9"/>
        <rFont val="Arial MT"/>
        <family val="2"/>
      </rPr>
      <t>Quiroga, Walter</t>
    </r>
  </si>
  <si>
    <t>https://www.tenisdemesaparatodos.com/jugadores_ficha.asp?codigo=6956</t>
  </si>
  <si>
    <r>
      <rPr>
        <sz val="9"/>
        <rFont val="Arial MT"/>
        <family val="2"/>
      </rPr>
      <t>Frol, Esteban</t>
    </r>
  </si>
  <si>
    <t>https://www.tenisdemesaparatodos.com/jugadores_ficha.asp?codigo=19037</t>
  </si>
  <si>
    <r>
      <rPr>
        <sz val="9"/>
        <rFont val="Arial MT"/>
        <family val="2"/>
      </rPr>
      <t>Pellon, Facundo</t>
    </r>
  </si>
  <si>
    <t>https://www.tenisdemesaparatodos.com/jugadores_ficha.asp?codigo=26555</t>
  </si>
  <si>
    <r>
      <rPr>
        <sz val="9"/>
        <rFont val="Arial MT"/>
        <family val="2"/>
      </rPr>
      <t>Nieva, Matias</t>
    </r>
  </si>
  <si>
    <t>https://www.tenisdemesaparatodos.com/jugadores_ficha.asp?codigo=22268</t>
  </si>
  <si>
    <r>
      <rPr>
        <sz val="9"/>
        <rFont val="Arial MT"/>
        <family val="2"/>
      </rPr>
      <t>Mieli, Julian</t>
    </r>
  </si>
  <si>
    <t>https://www.tenisdemesaparatodos.com/jugadores_ficha.asp?codigo=17934</t>
  </si>
  <si>
    <r>
      <rPr>
        <sz val="9"/>
        <rFont val="Arial MT"/>
        <family val="2"/>
      </rPr>
      <t>Romero, Agustin</t>
    </r>
  </si>
  <si>
    <t>https://www.tenisdemesaparatodos.com/jugadores_ficha.asp?codigo=15064</t>
  </si>
  <si>
    <r>
      <rPr>
        <sz val="9"/>
        <rFont val="Arial MT"/>
        <family val="2"/>
      </rPr>
      <t>Rodriguez, Jorge</t>
    </r>
  </si>
  <si>
    <t>https://www.tenisdemesaparatodos.com/jugadores_ficha.asp?codigo=17302</t>
  </si>
  <si>
    <r>
      <rPr>
        <sz val="9"/>
        <rFont val="Arial MT"/>
        <family val="2"/>
      </rPr>
      <t>Ponce, Federico</t>
    </r>
  </si>
  <si>
    <t>https://www.tenisdemesaparatodos.com/jugadores_ficha.asp?codigo=16180</t>
  </si>
  <si>
    <r>
      <rPr>
        <sz val="9"/>
        <rFont val="Arial MT"/>
        <family val="2"/>
      </rPr>
      <t>Casazza, Pedro</t>
    </r>
  </si>
  <si>
    <t>https://www.tenisdemesaparatodos.com/jugadores_ficha.asp?codigo=25689</t>
  </si>
  <si>
    <r>
      <rPr>
        <sz val="9"/>
        <rFont val="Arial MT"/>
        <family val="2"/>
      </rPr>
      <t>Amigo, Nicolas</t>
    </r>
  </si>
  <si>
    <t>https://www.tenisdemesaparatodos.com/jugadores_ficha.asp?codigo=26276</t>
  </si>
  <si>
    <r>
      <rPr>
        <sz val="9"/>
        <rFont val="Arial MT"/>
        <family val="2"/>
      </rPr>
      <t>Casco, Gaston</t>
    </r>
  </si>
  <si>
    <t>https://www.tenisdemesaparatodos.com/jugadores_ficha.asp?codigo=23250</t>
  </si>
  <si>
    <r>
      <rPr>
        <sz val="9"/>
        <rFont val="Arial MT"/>
        <family val="2"/>
      </rPr>
      <t>Anriquez, David</t>
    </r>
  </si>
  <si>
    <t>https://www.tenisdemesaparatodos.com/jugadores_ficha.asp?codigo=19284</t>
  </si>
  <si>
    <r>
      <rPr>
        <sz val="9"/>
        <rFont val="Arial MT"/>
        <family val="2"/>
      </rPr>
      <t>Matayoshi, Santiago</t>
    </r>
  </si>
  <si>
    <t>https://www.tenisdemesaparatodos.com/jugadores_ficha.asp?codigo=22164</t>
  </si>
  <si>
    <r>
      <rPr>
        <sz val="9"/>
        <rFont val="Arial MT"/>
        <family val="2"/>
      </rPr>
      <t>Sanchez Alberti, Andres</t>
    </r>
  </si>
  <si>
    <t>https://www.tenisdemesaparatodos.com/jugadores_ficha.asp?codigo=6145</t>
  </si>
  <si>
    <r>
      <rPr>
        <sz val="9"/>
        <rFont val="Arial MT"/>
        <family val="2"/>
      </rPr>
      <t>Achcar, Agustin</t>
    </r>
  </si>
  <si>
    <t>https://www.tenisdemesaparatodos.com/jugadores_ficha.asp?codigo=26208</t>
  </si>
  <si>
    <r>
      <rPr>
        <sz val="9"/>
        <rFont val="Arial MT"/>
        <family val="2"/>
      </rPr>
      <t>Bracamonte, Guillermo</t>
    </r>
  </si>
  <si>
    <t>https://www.tenisdemesaparatodos.com/jugadores_ficha.asp?codigo=25090</t>
  </si>
  <si>
    <r>
      <rPr>
        <sz val="9"/>
        <rFont val="Arial MT"/>
        <family val="2"/>
      </rPr>
      <t>Hernandez, Patricio</t>
    </r>
  </si>
  <si>
    <t>https://www.tenisdemesaparatodos.com/jugadores_ficha.asp?codigo=26074</t>
  </si>
  <si>
    <r>
      <rPr>
        <sz val="9"/>
        <rFont val="Arial MT"/>
        <family val="2"/>
      </rPr>
      <t>Medve, Fabrizio</t>
    </r>
  </si>
  <si>
    <t>https://www.tenisdemesaparatodos.com/jugadores_ficha.asp?codigo=23304</t>
  </si>
  <si>
    <r>
      <rPr>
        <sz val="9"/>
        <rFont val="Arial MT"/>
        <family val="2"/>
      </rPr>
      <t>Zielinski, German</t>
    </r>
  </si>
  <si>
    <t>https://www.tenisdemesaparatodos.com/jugadores_ficha.asp?codigo=27260</t>
  </si>
  <si>
    <r>
      <rPr>
        <sz val="9"/>
        <rFont val="Arial MT"/>
        <family val="2"/>
      </rPr>
      <t>Robledo, Dario G.</t>
    </r>
  </si>
  <si>
    <t>https://www.tenisdemesaparatodos.com/jugadores_ficha.asp?codigo=8884</t>
  </si>
  <si>
    <r>
      <rPr>
        <sz val="9"/>
        <rFont val="Arial MT"/>
        <family val="2"/>
      </rPr>
      <t>Soria, Juan Manuel</t>
    </r>
  </si>
  <si>
    <t>https://www.tenisdemesaparatodos.com/jugadores_ficha.asp?codigo=336</t>
  </si>
  <si>
    <r>
      <rPr>
        <sz val="9"/>
        <rFont val="Arial MT"/>
        <family val="2"/>
      </rPr>
      <t>Morikone, Cecilia</t>
    </r>
  </si>
  <si>
    <t>https://www.tenisdemesaparatodos.com/jugadores_ficha.asp?codigo=15262</t>
  </si>
  <si>
    <r>
      <rPr>
        <sz val="9"/>
        <rFont val="Arial MT"/>
        <family val="2"/>
      </rPr>
      <t>Goldesten, Juan</t>
    </r>
  </si>
  <si>
    <t>https://www.tenisdemesaparatodos.com/jugadores_ficha.asp?codigo=25972</t>
  </si>
  <si>
    <r>
      <rPr>
        <sz val="9"/>
        <rFont val="Arial MT"/>
        <family val="2"/>
      </rPr>
      <t>Di Tocco, Jeremias</t>
    </r>
  </si>
  <si>
    <t>https://www.tenisdemesaparatodos.com/jugadores_ficha.asp?codigo=27709</t>
  </si>
  <si>
    <r>
      <rPr>
        <sz val="9"/>
        <rFont val="Arial MT"/>
        <family val="2"/>
      </rPr>
      <t>Fernandez, Enzo</t>
    </r>
  </si>
  <si>
    <t>https://www.tenisdemesaparatodos.com/jugadores_ficha.asp?codigo=27446</t>
  </si>
  <si>
    <r>
      <rPr>
        <sz val="9"/>
        <rFont val="Arial MT"/>
        <family val="2"/>
      </rPr>
      <t>Magoia, Bautista</t>
    </r>
  </si>
  <si>
    <t>https://www.tenisdemesaparatodos.com/jugadores_ficha.asp?codigo=27706</t>
  </si>
  <si>
    <r>
      <rPr>
        <sz val="9"/>
        <rFont val="Arial MT"/>
        <family val="2"/>
      </rPr>
      <t>De Geronimo, Benicio</t>
    </r>
  </si>
  <si>
    <t>https://www.tenisdemesaparatodos.com/jugadores_ficha.asp?codigo=26617</t>
  </si>
  <si>
    <r>
      <rPr>
        <sz val="9"/>
        <rFont val="Arial MT"/>
        <family val="2"/>
      </rPr>
      <t>Tomodachi</t>
    </r>
  </si>
  <si>
    <r>
      <rPr>
        <sz val="9"/>
        <rFont val="Arial MT"/>
        <family val="2"/>
      </rPr>
      <t>Basseterre, Nicolás</t>
    </r>
  </si>
  <si>
    <t>https://www.tenisdemesaparatodos.com/jugadores_ficha.asp?codigo=1148</t>
  </si>
  <si>
    <r>
      <rPr>
        <sz val="9"/>
        <rFont val="Arial MT"/>
        <family val="2"/>
      </rPr>
      <t>Rivero, Carlos A.</t>
    </r>
  </si>
  <si>
    <t>https://www.tenisdemesaparatodos.com/jugadores_ficha.asp?codigo=26546</t>
  </si>
  <si>
    <r>
      <rPr>
        <sz val="9"/>
        <rFont val="Arial MT"/>
        <family val="2"/>
      </rPr>
      <t>Albarracin, Claudio</t>
    </r>
  </si>
  <si>
    <t>https://www.tenisdemesaparatodos.com/jugadores_ficha.asp?codigo=23050</t>
  </si>
  <si>
    <r>
      <rPr>
        <sz val="9"/>
        <rFont val="Arial MT"/>
        <family val="2"/>
      </rPr>
      <t>Navarro, Angel David</t>
    </r>
  </si>
  <si>
    <t>https://www.tenisdemesaparatodos.com/jugadores_ficha.asp?codigo=26569</t>
  </si>
  <si>
    <r>
      <rPr>
        <sz val="9"/>
        <rFont val="Arial MT"/>
        <family val="2"/>
      </rPr>
      <t>Cajal, Eduardo Ignacio</t>
    </r>
  </si>
  <si>
    <t>https://www.tenisdemesaparatodos.com/jugadores_ficha.asp?codigo=7754</t>
  </si>
  <si>
    <r>
      <rPr>
        <sz val="9"/>
        <rFont val="Arial MT"/>
        <family val="2"/>
      </rPr>
      <t>Badui, Marcelo</t>
    </r>
  </si>
  <si>
    <t>https://www.tenisdemesaparatodos.com/jugadores_ficha.asp?codigo=13741</t>
  </si>
  <si>
    <r>
      <rPr>
        <sz val="9"/>
        <rFont val="Arial MT"/>
        <family val="2"/>
      </rPr>
      <t>Tomodachi A</t>
    </r>
  </si>
  <si>
    <r>
      <rPr>
        <sz val="9"/>
        <rFont val="Arial MT"/>
        <family val="2"/>
      </rPr>
      <t>Mastroberardino, Valentino</t>
    </r>
  </si>
  <si>
    <t>https://www.tenisdemesaparatodos.com/jugadores_ficha.asp?codigo=25794</t>
  </si>
  <si>
    <r>
      <rPr>
        <sz val="9"/>
        <rFont val="Arial MT"/>
        <family val="2"/>
      </rPr>
      <t>Mastroberardino, Eduardo</t>
    </r>
  </si>
  <si>
    <t>https://www.tenisdemesaparatodos.com/jugadores_ficha.asp?codigo=21236</t>
  </si>
  <si>
    <r>
      <rPr>
        <sz val="9"/>
        <rFont val="Arial MT"/>
        <family val="2"/>
      </rPr>
      <t>Esposito, Enzo Javier</t>
    </r>
  </si>
  <si>
    <t>https://www.tenisdemesaparatodos.com/jugadores_ficha.asp?codigo=25798</t>
  </si>
  <si>
    <r>
      <rPr>
        <sz val="9"/>
        <rFont val="Arial MT"/>
        <family val="2"/>
      </rPr>
      <t>Folmer, Mateo</t>
    </r>
  </si>
  <si>
    <t>https://www.tenisdemesaparatodos.com/jugadores_ficha.asp?codigo=20800</t>
  </si>
  <si>
    <r>
      <rPr>
        <sz val="9"/>
        <rFont val="Arial MT"/>
        <family val="2"/>
      </rPr>
      <t>Mastroberardino, Adrian</t>
    </r>
  </si>
  <si>
    <t>https://www.tenisdemesaparatodos.com/jugadores_ficha.asp?codigo=21235</t>
  </si>
  <si>
    <r>
      <rPr>
        <sz val="9"/>
        <rFont val="Arial MT"/>
        <family val="2"/>
      </rPr>
      <t>Deangeli, Federico</t>
    </r>
  </si>
  <si>
    <t>https://www.tenisdemesaparatodos.com/jugadores_ficha.asp?codigo=25504</t>
  </si>
  <si>
    <r>
      <rPr>
        <sz val="9"/>
        <rFont val="Arial MT"/>
        <family val="2"/>
      </rPr>
      <t>Gold, Flavio</t>
    </r>
  </si>
  <si>
    <t>https://www.tenisdemesaparatodos.com/jugadores_ficha.asp?codigo=29408</t>
  </si>
  <si>
    <r>
      <rPr>
        <sz val="9"/>
        <rFont val="Arial MT"/>
        <family val="2"/>
      </rPr>
      <t>Tomodachi B</t>
    </r>
  </si>
  <si>
    <r>
      <rPr>
        <sz val="9"/>
        <rFont val="Arial MT"/>
        <family val="2"/>
      </rPr>
      <t>Martinez, Carlos</t>
    </r>
  </si>
  <si>
    <t>https://www.tenisdemesaparatodos.com/jugadores_ficha.asp?codigo=2194</t>
  </si>
  <si>
    <r>
      <rPr>
        <sz val="9"/>
        <rFont val="Arial MT"/>
        <family val="2"/>
      </rPr>
      <t>Degreef, Juan Marcelo</t>
    </r>
  </si>
  <si>
    <t>https://www.tenisdemesaparatodos.com/jugadores_ficha.asp?codigo=24534</t>
  </si>
  <si>
    <r>
      <rPr>
        <sz val="9"/>
        <rFont val="Arial MT"/>
        <family val="2"/>
      </rPr>
      <t>Marty, Ricardo</t>
    </r>
  </si>
  <si>
    <t>https://www.tenisdemesaparatodos.com/jugadores_ficha.asp?codigo=13286</t>
  </si>
  <si>
    <r>
      <rPr>
        <sz val="9"/>
        <rFont val="Arial MT"/>
        <family val="2"/>
      </rPr>
      <t>Vainer, Jonatan A.</t>
    </r>
  </si>
  <si>
    <t>https://www.tenisdemesaparatodos.com/jugadores_ficha.asp?codigo=26214</t>
  </si>
  <si>
    <r>
      <rPr>
        <sz val="9"/>
        <rFont val="Arial MT"/>
        <family val="2"/>
      </rPr>
      <t>Diaz, Daniel O.</t>
    </r>
  </si>
  <si>
    <r>
      <rPr>
        <sz val="9"/>
        <rFont val="Arial MT"/>
        <family val="2"/>
      </rPr>
      <t>Taramarcaz, Maximiliano</t>
    </r>
  </si>
  <si>
    <t>https://www.tenisdemesaparatodos.com/jugadores_ficha.asp?codigo=25636</t>
  </si>
  <si>
    <r>
      <rPr>
        <sz val="9"/>
        <rFont val="Arial MT"/>
        <family val="2"/>
      </rPr>
      <t>Picchi, Leandro</t>
    </r>
  </si>
  <si>
    <t>https://www.tenisdemesaparatodos.com/jugadores_ficha.asp?codigo=26323</t>
  </si>
  <si>
    <r>
      <rPr>
        <sz val="9"/>
        <rFont val="Arial MT"/>
        <family val="2"/>
      </rPr>
      <t>Vilela, Damian</t>
    </r>
  </si>
  <si>
    <t>https://www.tenisdemesaparatodos.com/jugadores_ficha.asp?codigo=14723</t>
  </si>
  <si>
    <r>
      <rPr>
        <sz val="9"/>
        <rFont val="Arial MT"/>
        <family val="2"/>
      </rPr>
      <t>Suarez, Rodrigo</t>
    </r>
  </si>
  <si>
    <t>https://www.tenisdemesaparatodos.com/jugadores_ficha.asp?codigo=28335</t>
  </si>
  <si>
    <r>
      <rPr>
        <sz val="9"/>
        <rFont val="Arial MT"/>
        <family val="2"/>
      </rPr>
      <t>Settembrino, Damian E.</t>
    </r>
  </si>
  <si>
    <t>https://www.tenisdemesaparatodos.com/jugadores_ficha.asp?codigo=26090</t>
  </si>
  <si>
    <r>
      <rPr>
        <sz val="9"/>
        <rFont val="Arial MT"/>
        <family val="2"/>
      </rPr>
      <t>Gualtieri, Facundo L.</t>
    </r>
  </si>
  <si>
    <t>https://www.tenisdemesaparatodos.com/jugadores_ficha.asp?codigo=29192</t>
  </si>
  <si>
    <r>
      <rPr>
        <sz val="9"/>
        <rFont val="Arial MT"/>
        <family val="2"/>
      </rPr>
      <t>Mazzulli, Facundo</t>
    </r>
  </si>
  <si>
    <t>https://www.tenisdemesaparatodos.com/jugadores_ficha.asp?codigo=26606</t>
  </si>
  <si>
    <r>
      <rPr>
        <sz val="9"/>
        <rFont val="Arial MT"/>
        <family val="2"/>
      </rPr>
      <t>Di Lacio, Daniel A.</t>
    </r>
  </si>
  <si>
    <r>
      <rPr>
        <sz val="9"/>
        <rFont val="Arial MT"/>
        <family val="2"/>
      </rPr>
      <t>Grgic, German G.</t>
    </r>
  </si>
  <si>
    <t>https://www.tenisdemesaparatodos.com/jugadores_ficha.asp?codigo=23262</t>
  </si>
  <si>
    <r>
      <rPr>
        <sz val="9"/>
        <rFont val="Arial MT"/>
        <family val="2"/>
      </rPr>
      <t>Espinosa, Gabriel</t>
    </r>
  </si>
  <si>
    <t>https://www.tenisdemesaparatodos.com/jugadores_ficha.asp?codigo=546</t>
  </si>
  <si>
    <r>
      <rPr>
        <sz val="9"/>
        <rFont val="Arial MT"/>
        <family val="2"/>
      </rPr>
      <t>Esposito, Pedro A.</t>
    </r>
  </si>
  <si>
    <t>https://www.tenisdemesaparatodos.com/jugadores_ficha.asp?codigo=26413</t>
  </si>
  <si>
    <r>
      <rPr>
        <sz val="9"/>
        <rFont val="Arial MT"/>
        <family val="2"/>
      </rPr>
      <t>Meza, Noelia</t>
    </r>
  </si>
  <si>
    <t>https://www.tenisdemesaparatodos.com/jugadores_ficha.asp?codigo=23207</t>
  </si>
  <si>
    <r>
      <rPr>
        <sz val="9"/>
        <rFont val="Arial MT"/>
        <family val="2"/>
      </rPr>
      <t>Blanco Fazanes, Ezequiel</t>
    </r>
  </si>
  <si>
    <t>https://www.tenisdemesaparatodos.com/jugadores_ficha.asp?codigo=28852</t>
  </si>
  <si>
    <r>
      <rPr>
        <sz val="9"/>
        <rFont val="Arial MT"/>
        <family val="2"/>
      </rPr>
      <t>Coria, Javier A.</t>
    </r>
  </si>
  <si>
    <t>https://www.tenisdemesaparatodos.com/jugadores_ficha.asp?codigo=26601</t>
  </si>
  <si>
    <r>
      <rPr>
        <sz val="9"/>
        <rFont val="Arial MT"/>
        <family val="2"/>
      </rPr>
      <t>Lopez, Cinthia K.</t>
    </r>
  </si>
  <si>
    <t>https://www.tenisdemesaparatodos.com/jugadores_ficha.asp?codigo=9367</t>
  </si>
  <si>
    <r>
      <rPr>
        <sz val="9"/>
        <rFont val="Arial MT"/>
        <family val="2"/>
      </rPr>
      <t>Benitez, Sabrina</t>
    </r>
  </si>
  <si>
    <t>https://www.tenisdemesaparatodos.com/jugadores_ficha.asp?codigo=22720</t>
  </si>
  <si>
    <r>
      <rPr>
        <sz val="9"/>
        <rFont val="Arial MT"/>
        <family val="2"/>
      </rPr>
      <t>Alcaide, Carlos</t>
    </r>
  </si>
  <si>
    <t>https://www.tenisdemesaparatodos.com/jugadores_ficha.asp?codigo=848</t>
  </si>
  <si>
    <r>
      <rPr>
        <sz val="9"/>
        <rFont val="Arial MT"/>
        <family val="2"/>
      </rPr>
      <t>Tursi, Jose Luis</t>
    </r>
  </si>
  <si>
    <t>https://www.tenisdemesaparatodos.com/jugadores_ficha.asp?codigo=109</t>
  </si>
  <si>
    <r>
      <rPr>
        <sz val="9"/>
        <rFont val="Arial MT"/>
        <family val="2"/>
      </rPr>
      <t>Galloso, Gabriel</t>
    </r>
  </si>
  <si>
    <t>https://www.tenisdemesaparatodos.com/jugadores_ficha.asp?codigo=17018</t>
  </si>
  <si>
    <r>
      <rPr>
        <sz val="9"/>
        <rFont val="Arial MT"/>
        <family val="2"/>
      </rPr>
      <t>Sanchez, Hernan R.</t>
    </r>
  </si>
  <si>
    <t>https://www.tenisdemesaparatodos.com/jugadores_ficha.asp?codigo=5461</t>
  </si>
  <si>
    <r>
      <rPr>
        <sz val="9"/>
        <rFont val="Arial MT"/>
        <family val="2"/>
      </rPr>
      <t>Repetto, Julian</t>
    </r>
  </si>
  <si>
    <t>https://www.tenisdemesaparatodos.com/jugadores_ficha.asp?codigo=26002</t>
  </si>
  <si>
    <r>
      <rPr>
        <sz val="9"/>
        <rFont val="Arial MT"/>
        <family val="2"/>
      </rPr>
      <t>Top Minc</t>
    </r>
  </si>
  <si>
    <r>
      <rPr>
        <sz val="9"/>
        <rFont val="Arial MT"/>
        <family val="2"/>
      </rPr>
      <t>Convertini, Pablo</t>
    </r>
  </si>
  <si>
    <t>https://www.tenisdemesaparatodos.com/jugadores_ficha.asp?codigo=15936</t>
  </si>
  <si>
    <r>
      <rPr>
        <sz val="9"/>
        <rFont val="Arial MT"/>
        <family val="2"/>
      </rPr>
      <t>Gonzalez, Lucas Horacio</t>
    </r>
  </si>
  <si>
    <t>https://www.tenisdemesaparatodos.com/jugadores_ficha.asp?codigo=4704</t>
  </si>
  <si>
    <r>
      <rPr>
        <sz val="9"/>
        <rFont val="Arial MT"/>
        <family val="2"/>
      </rPr>
      <t>Fantozzi, Alejandro</t>
    </r>
  </si>
  <si>
    <t>https://www.tenisdemesaparatodos.com/jugadores_ficha.asp?codigo=13311</t>
  </si>
  <si>
    <r>
      <rPr>
        <sz val="9"/>
        <rFont val="Arial MT"/>
        <family val="2"/>
      </rPr>
      <t>Chillemi, Germán</t>
    </r>
  </si>
  <si>
    <t>https://www.tenisdemesaparatodos.com/jugadores_ficha.asp?codigo=5799</t>
  </si>
  <si>
    <r>
      <rPr>
        <sz val="9"/>
        <rFont val="Arial MT"/>
        <family val="2"/>
      </rPr>
      <t>Colmenarez, Audio</t>
    </r>
  </si>
  <si>
    <t>https://www.tenisdemesaparatodos.com/jugadores_ficha.asp?codigo=24520</t>
  </si>
  <si>
    <r>
      <rPr>
        <sz val="9"/>
        <rFont val="Arial MT"/>
        <family val="2"/>
      </rPr>
      <t>Cortez, Claudio</t>
    </r>
  </si>
  <si>
    <t>https://www.tenisdemesaparatodos.com/jugadores_ficha.asp?codigo=8482</t>
  </si>
  <si>
    <r>
      <rPr>
        <sz val="9"/>
        <rFont val="Arial MT"/>
        <family val="2"/>
      </rPr>
      <t>Toscano, Lucio H.</t>
    </r>
  </si>
  <si>
    <t>https://www.tenisdemesaparatodos.com/jugadores_ficha.asp?codigo=27952</t>
  </si>
  <si>
    <r>
      <rPr>
        <sz val="9"/>
        <rFont val="Arial MT"/>
        <family val="2"/>
      </rPr>
      <t>Pomito, Adrian C.</t>
    </r>
  </si>
  <si>
    <t>https://www.tenisdemesaparatodos.com/jugadores_ficha.asp?codigo=14725</t>
  </si>
  <si>
    <r>
      <rPr>
        <sz val="9"/>
        <rFont val="Arial MT"/>
        <family val="2"/>
      </rPr>
      <t>Costa, Guillermo</t>
    </r>
  </si>
  <si>
    <t>https://www.tenisdemesaparatodos.com/jugadores_ficha.asp?codigo=23308</t>
  </si>
  <si>
    <r>
      <rPr>
        <sz val="9"/>
        <rFont val="Arial MT"/>
        <family val="2"/>
      </rPr>
      <t>Rocca, Leonardo</t>
    </r>
  </si>
  <si>
    <t>https://www.tenisdemesaparatodos.com/jugadores_ficha.asp?codigo=20787</t>
  </si>
  <si>
    <r>
      <rPr>
        <sz val="9"/>
        <rFont val="Arial MT"/>
        <family val="2"/>
      </rPr>
      <t>Doff, Sebastian</t>
    </r>
  </si>
  <si>
    <t>https://www.tenisdemesaparatodos.com/jugadores_ficha.asp?codigo=8217</t>
  </si>
  <si>
    <r>
      <rPr>
        <sz val="9"/>
        <rFont val="Arial MT"/>
        <family val="2"/>
      </rPr>
      <t>Kohler, Roberto</t>
    </r>
  </si>
  <si>
    <t>https://www.tenisdemesaparatodos.com/jugadores_ficha.asp?codigo=26964</t>
  </si>
  <si>
    <r>
      <rPr>
        <sz val="9"/>
        <rFont val="Arial MT"/>
        <family val="2"/>
      </rPr>
      <t>Arias, Tomas</t>
    </r>
  </si>
  <si>
    <t>https://www.tenisdemesaparatodos.com/jugadores_ficha.asp?codigo=22995</t>
  </si>
  <si>
    <r>
      <rPr>
        <sz val="9"/>
        <rFont val="Arial MT"/>
        <family val="2"/>
      </rPr>
      <t>Miranda, Fernando</t>
    </r>
  </si>
  <si>
    <t>https://www.tenisdemesaparatodos.com/jugadores_ficha.asp?codigo=24327</t>
  </si>
  <si>
    <r>
      <rPr>
        <sz val="9"/>
        <rFont val="Arial MT"/>
        <family val="2"/>
      </rPr>
      <t>Retana, Luciano</t>
    </r>
  </si>
  <si>
    <t>https://www.tenisdemesaparatodos.com/jugadores_ficha.asp?codigo=20774</t>
  </si>
  <si>
    <r>
      <rPr>
        <sz val="9"/>
        <rFont val="Arial MT"/>
        <family val="2"/>
      </rPr>
      <t>Cerratto, Matias</t>
    </r>
  </si>
  <si>
    <t>https://www.tenisdemesaparatodos.com/jugadores_ficha.asp?codigo=22291</t>
  </si>
  <si>
    <r>
      <rPr>
        <sz val="9"/>
        <rFont val="Arial MT"/>
        <family val="2"/>
      </rPr>
      <t>D'Agostino, Renzo</t>
    </r>
  </si>
  <si>
    <t>https://www.tenisdemesaparatodos.com/jugadores_ficha.asp?codigo=27282</t>
  </si>
  <si>
    <r>
      <rPr>
        <sz val="9"/>
        <rFont val="Arial MT"/>
        <family val="2"/>
      </rPr>
      <t>Olivera, Alejandro</t>
    </r>
  </si>
  <si>
    <r>
      <rPr>
        <sz val="9"/>
        <rFont val="Arial MT"/>
        <family val="2"/>
      </rPr>
      <t>Zuccarelli, Alfredo</t>
    </r>
  </si>
  <si>
    <t>https://www.tenisdemesaparatodos.com/jugadores_ficha.asp?codigo=10454</t>
  </si>
  <si>
    <r>
      <rPr>
        <sz val="9"/>
        <rFont val="Arial MT"/>
        <family val="2"/>
      </rPr>
      <t>Alegre, Federico</t>
    </r>
  </si>
  <si>
    <t>https://www.tenisdemesaparatodos.com/jugadores_ficha.asp?codigo=2893</t>
  </si>
  <si>
    <r>
      <rPr>
        <sz val="9"/>
        <rFont val="Arial MT"/>
        <family val="2"/>
      </rPr>
      <t>Torre Tanque TDM</t>
    </r>
  </si>
  <si>
    <r>
      <rPr>
        <sz val="9"/>
        <rFont val="Arial MT"/>
        <family val="2"/>
      </rPr>
      <t>Ramirez, Lucas N.</t>
    </r>
  </si>
  <si>
    <t>https://www.tenisdemesaparatodos.com/jugadores_ficha.asp?codigo=23109</t>
  </si>
  <si>
    <r>
      <rPr>
        <sz val="9"/>
        <rFont val="Arial MT"/>
        <family val="2"/>
      </rPr>
      <t>Fernandez, Walter</t>
    </r>
  </si>
  <si>
    <t>https://www.tenisdemesaparatodos.com/jugadores_ficha.asp?codigo=6134</t>
  </si>
  <si>
    <r>
      <rPr>
        <sz val="9"/>
        <rFont val="Arial MT"/>
        <family val="2"/>
      </rPr>
      <t>Lopez, Julian B.</t>
    </r>
  </si>
  <si>
    <t>https://www.tenisdemesaparatodos.com/jugadores_ficha.asp?codigo=3377</t>
  </si>
  <si>
    <r>
      <rPr>
        <sz val="9"/>
        <rFont val="Arial MT"/>
        <family val="2"/>
      </rPr>
      <t>Grispo, Andres</t>
    </r>
  </si>
  <si>
    <t>https://www.tenisdemesaparatodos.com/jugadores_ficha.asp?codigo=19569</t>
  </si>
  <si>
    <r>
      <rPr>
        <sz val="9"/>
        <rFont val="Arial MT"/>
        <family val="2"/>
      </rPr>
      <t>Vester, Daniel</t>
    </r>
  </si>
  <si>
    <t>https://www.tenisdemesaparatodos.com/jugadores_ficha.asp?codigo=21675</t>
  </si>
  <si>
    <r>
      <rPr>
        <sz val="9"/>
        <rFont val="Arial MT"/>
        <family val="2"/>
      </rPr>
      <t>Galardi, Daniel</t>
    </r>
  </si>
  <si>
    <t>https://www.tenisdemesaparatodos.com/jugadores_ficha.asp?codigo=6731</t>
  </si>
  <si>
    <r>
      <rPr>
        <sz val="9"/>
        <rFont val="Arial MT"/>
        <family val="2"/>
      </rPr>
      <t>De Maio Rodriguez, Enzo</t>
    </r>
  </si>
  <si>
    <t>https://www.tenisdemesaparatodos.com/jugadores_ficha.asp?codigo=2534</t>
  </si>
  <si>
    <r>
      <rPr>
        <sz val="9"/>
        <rFont val="Arial MT"/>
        <family val="2"/>
      </rPr>
      <t>Sclar, Gabriel</t>
    </r>
  </si>
  <si>
    <t>https://www.tenisdemesaparatodos.com/jugadores_ficha.asp?codigo=21374</t>
  </si>
  <si>
    <r>
      <rPr>
        <sz val="9"/>
        <rFont val="Arial MT"/>
        <family val="2"/>
      </rPr>
      <t>Parise, Mario J.</t>
    </r>
  </si>
  <si>
    <t>https://www.tenisdemesaparatodos.com/jugadores_ficha.asp?codigo=23179</t>
  </si>
  <si>
    <r>
      <rPr>
        <sz val="9"/>
        <rFont val="Arial MT"/>
        <family val="2"/>
      </rPr>
      <t>Perez, Benjamin</t>
    </r>
  </si>
  <si>
    <t>https://www.tenisdemesaparatodos.com/jugadores_ficha.asp?codigo=22446</t>
  </si>
  <si>
    <r>
      <rPr>
        <sz val="9"/>
        <rFont val="Arial MT"/>
        <family val="2"/>
      </rPr>
      <t>Pucci Lamanna, Franco</t>
    </r>
  </si>
  <si>
    <t>https://www.tenisdemesaparatodos.com/jugadores_ficha.asp?codigo=24169</t>
  </si>
  <si>
    <r>
      <rPr>
        <sz val="9"/>
        <rFont val="Arial MT"/>
        <family val="2"/>
      </rPr>
      <t>Herrera, Hernán</t>
    </r>
  </si>
  <si>
    <t>https://www.tenisdemesaparatodos.com/jugadores_ficha.asp?codigo=335</t>
  </si>
  <si>
    <r>
      <rPr>
        <sz val="9"/>
        <rFont val="Arial MT"/>
        <family val="2"/>
      </rPr>
      <t>Malizia, Fernando M.</t>
    </r>
  </si>
  <si>
    <t>https://www.tenisdemesaparatodos.com/jugadores_ficha.asp?codigo=22894</t>
  </si>
  <si>
    <r>
      <rPr>
        <sz val="9"/>
        <rFont val="Arial MT"/>
        <family val="2"/>
      </rPr>
      <t>Grandi, Luciano</t>
    </r>
  </si>
  <si>
    <t>https://www.tenisdemesaparatodos.com/jugadores_ficha.asp?codigo=25379</t>
  </si>
  <si>
    <r>
      <rPr>
        <sz val="9"/>
        <rFont val="Arial MT"/>
        <family val="2"/>
      </rPr>
      <t>Lamanna, Lucio</t>
    </r>
  </si>
  <si>
    <t>https://www.tenisdemesaparatodos.com/jugadores_ficha.asp?codigo=23742</t>
  </si>
  <si>
    <r>
      <rPr>
        <sz val="9"/>
        <rFont val="Arial MT"/>
        <family val="2"/>
      </rPr>
      <t>Arevalo Pardo, Edison F.</t>
    </r>
  </si>
  <si>
    <t>https://www.tenisdemesaparatodos.com/jugadores_ficha.asp?codigo=25840</t>
  </si>
  <si>
    <r>
      <rPr>
        <sz val="9"/>
        <rFont val="Arial MT"/>
        <family val="2"/>
      </rPr>
      <t>Siepiela, Gabriel A.</t>
    </r>
  </si>
  <si>
    <t>https://www.tenisdemesaparatodos.com/jugadores_ficha.asp?codigo=26257</t>
  </si>
  <si>
    <r>
      <rPr>
        <sz val="9"/>
        <rFont val="Arial MT"/>
        <family val="2"/>
      </rPr>
      <t>Parise, Marcos</t>
    </r>
  </si>
  <si>
    <t>https://www.tenisdemesaparatodos.com/jugadores_ficha.asp?codigo=24076</t>
  </si>
  <si>
    <r>
      <rPr>
        <sz val="9"/>
        <rFont val="Arial MT"/>
        <family val="2"/>
      </rPr>
      <t>Fallon, Viviana</t>
    </r>
  </si>
  <si>
    <t>https://www.tenisdemesaparatodos.com/jugadores_ficha.asp?codigo=22444</t>
  </si>
  <si>
    <r>
      <rPr>
        <sz val="9"/>
        <rFont val="Arial MT"/>
        <family val="2"/>
      </rPr>
      <t>Rios, Nahuel T.</t>
    </r>
  </si>
  <si>
    <t>https://www.tenisdemesaparatodos.com/jugadores_ficha.asp?codigo=21893</t>
  </si>
  <si>
    <r>
      <rPr>
        <sz val="9"/>
        <rFont val="Arial MT"/>
        <family val="2"/>
      </rPr>
      <t>Duran, Ruben R.</t>
    </r>
  </si>
  <si>
    <t>https://www.tenisdemesaparatodos.com/jugadores_ficha.asp?codigo=25309</t>
  </si>
  <si>
    <r>
      <rPr>
        <sz val="9"/>
        <rFont val="Arial MT"/>
        <family val="2"/>
      </rPr>
      <t>Duran Marchetti, Emiliano</t>
    </r>
  </si>
  <si>
    <t>https://www.tenisdemesaparatodos.com/jugadores_ficha.asp?codigo=25307</t>
  </si>
  <si>
    <r>
      <rPr>
        <sz val="9"/>
        <rFont val="Arial MT"/>
        <family val="2"/>
      </rPr>
      <t>Paez, Laura E.</t>
    </r>
  </si>
  <si>
    <t>https://www.tenisdemesaparatodos.com/jugadores_ficha.asp?codigo=23459</t>
  </si>
  <si>
    <r>
      <rPr>
        <sz val="9"/>
        <rFont val="Arial MT"/>
        <family val="2"/>
      </rPr>
      <t>U.V.V.A.</t>
    </r>
  </si>
  <si>
    <r>
      <rPr>
        <sz val="9"/>
        <rFont val="Arial MT"/>
        <family val="2"/>
      </rPr>
      <t>Wolfsdorf, Juan Pablo</t>
    </r>
  </si>
  <si>
    <t>https://www.tenisdemesaparatodos.com/jugadores_ficha.asp?codigo=570</t>
  </si>
  <si>
    <r>
      <rPr>
        <sz val="9"/>
        <rFont val="Arial MT"/>
        <family val="2"/>
      </rPr>
      <t>Branciforte, Marcelo</t>
    </r>
  </si>
  <si>
    <t>https://www.tenisdemesaparatodos.com/jugadores_ficha.asp?codigo=11634</t>
  </si>
  <si>
    <r>
      <rPr>
        <sz val="9"/>
        <rFont val="Arial MT"/>
        <family val="2"/>
      </rPr>
      <t>Ciancia, Luis</t>
    </r>
  </si>
  <si>
    <t>https://www.tenisdemesaparatodos.com/jugadores_ficha.asp?codigo=27334</t>
  </si>
  <si>
    <r>
      <rPr>
        <sz val="9"/>
        <rFont val="Arial MT"/>
        <family val="2"/>
      </rPr>
      <t>Loker, Dante</t>
    </r>
  </si>
  <si>
    <t>https://www.tenisdemesaparatodos.com/jugadores_ficha.asp?codigo=14739</t>
  </si>
  <si>
    <r>
      <rPr>
        <sz val="9"/>
        <rFont val="Arial MT"/>
        <family val="2"/>
      </rPr>
      <t>Carrillo, Gerardo</t>
    </r>
  </si>
  <si>
    <t>https://www.tenisdemesaparatodos.com/jugadores_ficha.asp?codigo=15187</t>
  </si>
  <si>
    <r>
      <rPr>
        <sz val="9"/>
        <rFont val="Arial MT"/>
        <family val="2"/>
      </rPr>
      <t>Maier, Alejandro</t>
    </r>
  </si>
  <si>
    <t>https://www.tenisdemesaparatodos.com/jugadores_ficha.asp?codigo=17821</t>
  </si>
  <si>
    <r>
      <rPr>
        <sz val="9"/>
        <rFont val="Arial MT"/>
        <family val="2"/>
      </rPr>
      <t>Galindez, Jose</t>
    </r>
  </si>
  <si>
    <r>
      <rPr>
        <sz val="9"/>
        <rFont val="Arial MT"/>
        <family val="2"/>
      </rPr>
      <t>Giordanelli, Carlos</t>
    </r>
  </si>
  <si>
    <t>https://www.tenisdemesaparatodos.com/jugadores_ficha.asp?codigo=26470</t>
  </si>
  <si>
    <r>
      <rPr>
        <sz val="9"/>
        <rFont val="Arial MT"/>
        <family val="2"/>
      </rPr>
      <t>Vision Tenis de Mesa</t>
    </r>
  </si>
  <si>
    <r>
      <rPr>
        <sz val="9"/>
        <rFont val="Arial MT"/>
        <family val="2"/>
      </rPr>
      <t>Chamorro, Sergio A</t>
    </r>
  </si>
  <si>
    <t>https://www.tenisdemesaparatodos.com/jugadores_ficha.asp?codigo=22222</t>
  </si>
  <si>
    <r>
      <rPr>
        <sz val="9"/>
        <rFont val="Arial MT"/>
        <family val="2"/>
      </rPr>
      <t>Vegas Cabrices, Daniel J.</t>
    </r>
  </si>
  <si>
    <t>https://www.tenisdemesaparatodos.com/jugadores_ficha.asp?codigo=19019</t>
  </si>
  <si>
    <r>
      <rPr>
        <sz val="9"/>
        <rFont val="Arial MT"/>
        <family val="2"/>
      </rPr>
      <t>Da Fonseca, Walter</t>
    </r>
  </si>
  <si>
    <t>https://www.tenisdemesaparatodos.com/jugadores_ficha.asp?codigo=16653</t>
  </si>
  <si>
    <r>
      <rPr>
        <sz val="9"/>
        <rFont val="Arial MT"/>
        <family val="2"/>
      </rPr>
      <t>Fortino, Aldo</t>
    </r>
  </si>
  <si>
    <t>https://www.tenisdemesaparatodos.com/jugadores_ficha.asp?codigo=8594</t>
  </si>
  <si>
    <r>
      <rPr>
        <sz val="9"/>
        <rFont val="Arial MT"/>
        <family val="2"/>
      </rPr>
      <t>Poncio, Mariana M.</t>
    </r>
  </si>
  <si>
    <t>https://www.tenisdemesaparatodos.com/jugadores_ficha.asp?codigo=18115</t>
  </si>
  <si>
    <r>
      <rPr>
        <sz val="9"/>
        <rFont val="Arial MT"/>
        <family val="2"/>
      </rPr>
      <t>Gonzalez, Diego F.</t>
    </r>
  </si>
  <si>
    <t>https://www.tenisdemesaparatodos.com/jugadores_ficha.asp?codigo=2692</t>
  </si>
  <si>
    <r>
      <rPr>
        <sz val="9"/>
        <rFont val="Arial MT"/>
        <family val="2"/>
      </rPr>
      <t>Exposito, Ignacio</t>
    </r>
  </si>
  <si>
    <t>https://www.tenisdemesaparatodos.com/jugadores_ficha.asp?codigo=28494</t>
  </si>
  <si>
    <r>
      <rPr>
        <sz val="9"/>
        <rFont val="Arial MT"/>
        <family val="2"/>
      </rPr>
      <t>Rodriguez, Luis</t>
    </r>
  </si>
  <si>
    <r>
      <rPr>
        <sz val="9"/>
        <rFont val="Arial MT"/>
        <family val="2"/>
      </rPr>
      <t>Vitale, Marcelo D.</t>
    </r>
  </si>
  <si>
    <t>https://www.tenisdemesaparatodos.com/jugadores_ficha.asp?codigo=28063</t>
  </si>
  <si>
    <r>
      <rPr>
        <sz val="9"/>
        <rFont val="Arial MT"/>
        <family val="2"/>
      </rPr>
      <t>Toledo, Ignacio A.</t>
    </r>
  </si>
  <si>
    <t>https://www.tenisdemesaparatodos.com/jugadores_ficha.asp?codigo=20723</t>
  </si>
  <si>
    <r>
      <rPr>
        <sz val="9"/>
        <rFont val="Arial MT"/>
        <family val="2"/>
      </rPr>
      <t>Perez, Simon</t>
    </r>
  </si>
  <si>
    <t>https://www.tenisdemesaparatodos.com/jugadores_ficha.asp?codigo=28537</t>
  </si>
  <si>
    <r>
      <rPr>
        <sz val="9"/>
        <rFont val="Arial MT"/>
        <family val="2"/>
      </rPr>
      <t>Cosentino, Lucio</t>
    </r>
  </si>
  <si>
    <t>https://www.tenisdemesaparatodos.com/jugadores_ficha.asp?codigo=5283</t>
  </si>
  <si>
    <r>
      <rPr>
        <sz val="9"/>
        <rFont val="Arial MT"/>
        <family val="2"/>
      </rPr>
      <t>Gomez, Leon</t>
    </r>
  </si>
  <si>
    <t>https://www.tenisdemesaparatodos.com/jugadores_ficha.asp?codigo=21728</t>
  </si>
  <si>
    <r>
      <rPr>
        <sz val="9"/>
        <rFont val="Arial MT"/>
        <family val="2"/>
      </rPr>
      <t>Caldeiro Ferrero, Paula</t>
    </r>
  </si>
  <si>
    <t>https://www.tenisdemesaparatodos.com/jugadores_ficha.asp?codigo=28320</t>
  </si>
  <si>
    <r>
      <rPr>
        <sz val="9"/>
        <rFont val="Arial MT"/>
        <family val="2"/>
      </rPr>
      <t>Caldeiro, Gustavo Daniel</t>
    </r>
  </si>
  <si>
    <t>https://www.tenisdemesaparatodos.com/jugadores_ficha.asp?codigo=3047</t>
  </si>
  <si>
    <r>
      <rPr>
        <sz val="9"/>
        <rFont val="Arial MT"/>
        <family val="2"/>
      </rPr>
      <t>Gonzalez, Matias</t>
    </r>
  </si>
  <si>
    <t>https://www.tenisdemesaparatodos.com/jugadores_ficha.asp?codigo=2559</t>
  </si>
  <si>
    <r>
      <rPr>
        <sz val="9"/>
        <rFont val="Arial MT"/>
        <family val="2"/>
      </rPr>
      <t>Yupanqui</t>
    </r>
  </si>
  <si>
    <r>
      <rPr>
        <sz val="9"/>
        <rFont val="Arial MT"/>
        <family val="2"/>
      </rPr>
      <t>Ale, Jorge E.</t>
    </r>
  </si>
  <si>
    <t>https://www.tenisdemesaparatodos.com/jugadores_ficha.asp?codigo=12544</t>
  </si>
  <si>
    <r>
      <rPr>
        <sz val="9"/>
        <rFont val="Arial MT"/>
        <family val="2"/>
      </rPr>
      <t>Bujia, Juan Pablo</t>
    </r>
  </si>
  <si>
    <t>https://www.tenisdemesaparatodos.com/jugadores_ficha.asp?codigo=25483</t>
  </si>
  <si>
    <r>
      <rPr>
        <sz val="9"/>
        <rFont val="Arial MT"/>
        <family val="2"/>
      </rPr>
      <t>Comoli, Leandro R.</t>
    </r>
  </si>
  <si>
    <t>https://www.tenisdemesaparatodos.com/jugadores_ficha.asp?codigo=28276</t>
  </si>
  <si>
    <r>
      <rPr>
        <sz val="9"/>
        <rFont val="Arial MT"/>
        <family val="2"/>
      </rPr>
      <t>Zamudio, Iñaki</t>
    </r>
  </si>
  <si>
    <t>https://www.tenisdemesaparatodos.com/jugadores_ficha.asp?codigo=18490</t>
  </si>
  <si>
    <r>
      <rPr>
        <sz val="9"/>
        <rFont val="Arial MT"/>
        <family val="2"/>
      </rPr>
      <t>Righi, Juan Manuel</t>
    </r>
  </si>
  <si>
    <t>https://www.tenisdemesaparatodos.com/jugadores_ficha.asp?codigo=26170</t>
  </si>
  <si>
    <r>
      <rPr>
        <sz val="9"/>
        <rFont val="Arial MT"/>
        <family val="2"/>
      </rPr>
      <t>Godoy, Andres</t>
    </r>
  </si>
  <si>
    <t>https://www.tenisdemesaparatodos.com/jugadores_ficha.asp?codigo=29081</t>
  </si>
  <si>
    <r>
      <rPr>
        <sz val="9"/>
        <rFont val="Arial MT"/>
        <family val="2"/>
      </rPr>
      <t>Villagra, Elio Pablo</t>
    </r>
  </si>
  <si>
    <r>
      <rPr>
        <sz val="9"/>
        <rFont val="Arial MT"/>
        <family val="2"/>
      </rPr>
      <t>Kamarauskas, Rodolfo</t>
    </r>
  </si>
  <si>
    <t>https://www.tenisdemesaparatodos.com/jugadores_ficha.asp?codigo=3135</t>
  </si>
  <si>
    <r>
      <rPr>
        <sz val="9"/>
        <rFont val="Arial MT"/>
        <family val="2"/>
      </rPr>
      <t>Perticaro,, Leonardo</t>
    </r>
  </si>
  <si>
    <t>https://www.tenisdemesaparatodos.com/jugadores_ficha.asp?codigo=9190</t>
  </si>
  <si>
    <r>
      <rPr>
        <sz val="9"/>
        <rFont val="Arial MT"/>
        <family val="2"/>
      </rPr>
      <t>Rodriguez Pacheco, Oscar</t>
    </r>
  </si>
  <si>
    <t>https://www.tenisdemesaparatodos.com/jugadores_ficha.asp?codigo=28274</t>
  </si>
  <si>
    <r>
      <rPr>
        <sz val="9"/>
        <rFont val="Arial MT"/>
        <family val="2"/>
      </rPr>
      <t>Laya, Hernan</t>
    </r>
  </si>
  <si>
    <t>https://www.tenisdemesaparatodos.com/jugadores_ficha.asp?codigo=29056</t>
  </si>
  <si>
    <r>
      <rPr>
        <sz val="9"/>
        <rFont val="Arial MT"/>
        <family val="2"/>
      </rPr>
      <t>Zenit</t>
    </r>
  </si>
  <si>
    <r>
      <rPr>
        <sz val="9"/>
        <rFont val="Arial MT"/>
        <family val="2"/>
      </rPr>
      <t>Blas Lopez, Amadeo</t>
    </r>
  </si>
  <si>
    <t>https://www.tenisdemesaparatodos.com/jugadores_ficha.asp?codigo=25713</t>
  </si>
  <si>
    <r>
      <rPr>
        <sz val="9"/>
        <rFont val="Arial MT"/>
        <family val="2"/>
      </rPr>
      <t>Lima, Martin</t>
    </r>
  </si>
  <si>
    <t>https://www.tenisdemesaparatodos.com/jugadores_ficha.asp?codigo=13525</t>
  </si>
  <si>
    <r>
      <rPr>
        <sz val="9"/>
        <rFont val="Arial MT"/>
        <family val="2"/>
      </rPr>
      <t>Haylan, Gabriel</t>
    </r>
  </si>
  <si>
    <t>https://www.tenisdemesaparatodos.com/jugadores_ficha.asp?codigo=10475</t>
  </si>
  <si>
    <r>
      <rPr>
        <sz val="9"/>
        <rFont val="Arial MT"/>
        <family val="2"/>
      </rPr>
      <t>Mokorel, Antonio</t>
    </r>
  </si>
  <si>
    <t>https://www.tenisdemesaparatodos.com/jugadores_ficha.asp?codigo=1337</t>
  </si>
  <si>
    <r>
      <rPr>
        <sz val="9"/>
        <rFont val="Arial MT"/>
        <family val="2"/>
      </rPr>
      <t>Czaban, Basilio</t>
    </r>
  </si>
  <si>
    <t>https://www.tenisdemesaparatodos.com/jugadores_ficha.asp?codigo=10314</t>
  </si>
  <si>
    <r>
      <rPr>
        <sz val="9"/>
        <rFont val="Arial MT"/>
        <family val="2"/>
      </rPr>
      <t>Gonzalez, Felipe</t>
    </r>
  </si>
  <si>
    <t>https://www.tenisdemesaparatodos.com/jugadores_ficha.asp?codigo=27078</t>
  </si>
  <si>
    <r>
      <rPr>
        <sz val="9"/>
        <rFont val="Arial MT"/>
        <family val="2"/>
      </rPr>
      <t>Avila, Maria Luz</t>
    </r>
  </si>
  <si>
    <t>https://www.tenisdemesaparatodos.com/jugadores_ficha.asp?codigo=17143</t>
  </si>
  <si>
    <r>
      <rPr>
        <sz val="9"/>
        <rFont val="Arial MT"/>
        <family val="2"/>
      </rPr>
      <t>Moncagatti, Santiago</t>
    </r>
  </si>
  <si>
    <t>https://www.tenisdemesaparatodos.com/jugadores_ficha.asp?codigo=27079</t>
  </si>
  <si>
    <r>
      <rPr>
        <sz val="9"/>
        <rFont val="Arial MT"/>
        <family val="2"/>
      </rPr>
      <t>Vazquez, Sebastian</t>
    </r>
  </si>
  <si>
    <t>https://www.tenisdemesaparatodos.com/jugadores_ficha.asp?codigo=18776</t>
  </si>
  <si>
    <r>
      <rPr>
        <sz val="9"/>
        <rFont val="Arial MT"/>
        <family val="2"/>
      </rPr>
      <t>Avila, Emanuel</t>
    </r>
  </si>
  <si>
    <t>https://www.tenisdemesaparatodos.com/jugadores_ficha.asp?codigo=23108</t>
  </si>
  <si>
    <r>
      <rPr>
        <sz val="9"/>
        <rFont val="Arial MT"/>
        <family val="2"/>
      </rPr>
      <t>Liberali, Marcos</t>
    </r>
  </si>
  <si>
    <t>https://www.tenisdemesaparatodos.com/jugadores_ficha.asp?codigo=20988</t>
  </si>
  <si>
    <r>
      <rPr>
        <sz val="9"/>
        <rFont val="Arial MT"/>
        <family val="2"/>
      </rPr>
      <t>Blas, Ariel</t>
    </r>
  </si>
  <si>
    <t>https://www.tenisdemesaparatodos.com/jugadores_ficha.asp?codigo=22778</t>
  </si>
  <si>
    <r>
      <rPr>
        <sz val="9"/>
        <rFont val="Arial MT"/>
        <family val="2"/>
      </rPr>
      <t>Oleas, Norberto</t>
    </r>
  </si>
  <si>
    <t>https://www.tenisdemesaparatodos.com/jugadores_ficha.asp?codigo=27081</t>
  </si>
  <si>
    <t>Equipo</t>
  </si>
  <si>
    <t>Club</t>
  </si>
  <si>
    <t>Categoría</t>
  </si>
  <si>
    <t>Nº Eq</t>
  </si>
  <si>
    <t>Nombre Jugador</t>
  </si>
  <si>
    <t>Ranking</t>
  </si>
  <si>
    <t>categoriatmt</t>
  </si>
  <si>
    <t>https://www.tenisdemesaparatodos.com/jugadores_ficha.asp?codigo=23862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</si>
</sst>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 MT"/>
    </font>
    <font>
      <sz val="9"/>
      <name val="Arial MT"/>
      <family val="2"/>
    </font>
    <font>
      <sz val="10"/>
      <name val="Times New Roman"/>
      <family val="1"/>
    </font>
    <font>
      <sz val="11"/>
      <name val="Calibri"/>
      <family val="2"/>
      <scheme val="minor"/>
    </font>
    <font>
      <u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1" xfId="0" applyFont="1" applyFill="1" applyBorder="1" applyAlignment="1">
      <alignment horizontal="center" vertical="top" wrapText="1"/>
    </xf>
    <xf numFmtId="0" fontId="2" fillId="0" borderId="1" xfId="0" applyFont="1" applyFill="1" applyBorder="1" applyAlignment="1">
      <alignment horizontal="left" vertical="top" wrapText="1" indent="2"/>
    </xf>
    <xf numFmtId="0" fontId="2" fillId="0" borderId="1" xfId="0" applyFont="1" applyFill="1" applyBorder="1" applyAlignment="1">
      <alignment horizontal="left" vertical="top" wrapText="1" indent="5"/>
    </xf>
    <xf numFmtId="0" fontId="2" fillId="0" borderId="1" xfId="0" applyFont="1" applyFill="1" applyBorder="1" applyAlignment="1">
      <alignment horizontal="right" vertical="top" wrapText="1"/>
    </xf>
    <xf numFmtId="0" fontId="5" fillId="0" borderId="1" xfId="0" applyFont="1" applyFill="1" applyBorder="1" applyAlignment="1">
      <alignment horizontal="left" vertical="top"/>
    </xf>
    <xf numFmtId="0" fontId="6" fillId="0" borderId="1" xfId="0" applyFont="1" applyFill="1" applyBorder="1"/>
    <xf numFmtId="0" fontId="3" fillId="0" borderId="1" xfId="0" applyFont="1" applyFill="1" applyBorder="1" applyAlignment="1">
      <alignment horizontal="left" vertical="top" wrapText="1"/>
    </xf>
    <xf numFmtId="1" fontId="4" fillId="0" borderId="1" xfId="0" applyNumberFormat="1" applyFont="1" applyFill="1" applyBorder="1" applyAlignment="1">
      <alignment horizontal="center" vertical="top" shrinkToFit="1"/>
    </xf>
    <xf numFmtId="0" fontId="7" fillId="0" borderId="1" xfId="1" applyFont="1" applyFill="1" applyBorder="1" applyAlignment="1">
      <alignment horizontal="left" vertical="top"/>
    </xf>
    <xf numFmtId="1" fontId="6" fillId="0" borderId="1" xfId="0" applyNumberFormat="1" applyFont="1" applyFill="1" applyBorder="1"/>
    <xf numFmtId="0" fontId="6" fillId="0" borderId="1" xfId="0" applyFont="1" applyFill="1" applyBorder="1" applyAlignment="1">
      <alignment horizontal="left" vertical="top"/>
    </xf>
    <xf numFmtId="14" fontId="6" fillId="0" borderId="1" xfId="0" applyNumberFormat="1" applyFont="1" applyFill="1" applyBorder="1"/>
    <xf numFmtId="0" fontId="1" fillId="0" borderId="1" xfId="1" applyFill="1" applyBorder="1" applyAlignment="1">
      <alignment horizontal="left" vertical="top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nisdemesaparatodos.com/jugadores_ficha.asp?codigo=25504" TargetMode="External"/><Relationship Id="rId2" Type="http://schemas.openxmlformats.org/officeDocument/2006/relationships/hyperlink" Target="https://www.tenisdemesaparatodos.com/jugadores_ficha.asp?codigo=7310" TargetMode="External"/><Relationship Id="rId1" Type="http://schemas.openxmlformats.org/officeDocument/2006/relationships/hyperlink" Target="https://www.tenisdemesaparatodos.com/jugadores_ficha.asp?codigo=7973" TargetMode="External"/><Relationship Id="rId6" Type="http://schemas.openxmlformats.org/officeDocument/2006/relationships/hyperlink" Target="https://www.tenisdemesaparatodos.com/jugadores_ficha.asp?codigo=23862" TargetMode="External"/><Relationship Id="rId5" Type="http://schemas.openxmlformats.org/officeDocument/2006/relationships/hyperlink" Target="https://www.tenisdemesaparatodos.com/jugadores_ficha.asp?codigo=23862" TargetMode="External"/><Relationship Id="rId4" Type="http://schemas.openxmlformats.org/officeDocument/2006/relationships/hyperlink" Target="https://www.tenisdemesaparatodos.com/jugadores_ficha.asp?codigo=665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765"/>
  <sheetViews>
    <sheetView tabSelected="1" topLeftCell="E1" workbookViewId="0">
      <selection activeCell="P5" sqref="P5"/>
    </sheetView>
  </sheetViews>
  <sheetFormatPr baseColWidth="10" defaultColWidth="9.140625" defaultRowHeight="15"/>
  <cols>
    <col min="1" max="1" width="17.5703125" style="6" customWidth="1"/>
    <col min="2" max="2" width="18.42578125" style="6" customWidth="1"/>
    <col min="3" max="3" width="9.140625" style="6"/>
    <col min="4" max="4" width="23.28515625" style="6" customWidth="1"/>
    <col min="5" max="5" width="24.85546875" style="6" customWidth="1"/>
    <col min="6" max="6" width="13.5703125" style="6" customWidth="1"/>
    <col min="7" max="7" width="13.85546875" style="6" bestFit="1" customWidth="1"/>
    <col min="8" max="8" width="70.5703125" style="6" bestFit="1" customWidth="1"/>
    <col min="9" max="9" width="15.7109375" style="6" customWidth="1"/>
    <col min="10" max="10" width="14.85546875" style="6" customWidth="1"/>
    <col min="11" max="14" width="9.140625" style="6"/>
    <col min="15" max="15" width="9.7109375" style="6" bestFit="1" customWidth="1"/>
    <col min="16" max="16384" width="9.140625" style="6"/>
  </cols>
  <sheetData>
    <row r="1" spans="1:20">
      <c r="A1" s="1" t="s">
        <v>3576</v>
      </c>
      <c r="B1" s="2" t="s">
        <v>3577</v>
      </c>
      <c r="C1" s="1" t="s">
        <v>3578</v>
      </c>
      <c r="D1" s="1" t="s">
        <v>3575</v>
      </c>
      <c r="E1" s="3" t="s">
        <v>3579</v>
      </c>
      <c r="F1" s="4" t="s">
        <v>3580</v>
      </c>
      <c r="G1" s="5" t="s">
        <v>418</v>
      </c>
      <c r="H1" s="5" t="s">
        <v>419</v>
      </c>
      <c r="I1" s="6" t="s">
        <v>0</v>
      </c>
      <c r="J1" s="6" t="s">
        <v>1</v>
      </c>
      <c r="K1" s="6" t="s">
        <v>2</v>
      </c>
      <c r="L1" s="6" t="s">
        <v>3</v>
      </c>
      <c r="N1" s="6" t="s">
        <v>417</v>
      </c>
      <c r="O1" s="6" t="s">
        <v>4</v>
      </c>
      <c r="P1" s="6" t="s">
        <v>5</v>
      </c>
      <c r="Q1" s="6" t="s">
        <v>6</v>
      </c>
      <c r="R1" s="6" t="s">
        <v>7</v>
      </c>
      <c r="S1" s="6" t="s">
        <v>8</v>
      </c>
      <c r="T1" s="6" t="s">
        <v>3581</v>
      </c>
    </row>
    <row r="2" spans="1:20">
      <c r="A2" s="7" t="s">
        <v>420</v>
      </c>
      <c r="B2" s="7" t="s">
        <v>421</v>
      </c>
      <c r="C2" s="8">
        <v>1</v>
      </c>
      <c r="D2" s="7" t="s">
        <v>420</v>
      </c>
      <c r="E2" s="7" t="s">
        <v>422</v>
      </c>
      <c r="F2">
        <v>2582</v>
      </c>
      <c r="G2" s="6">
        <v>2637</v>
      </c>
      <c r="H2" s="9" t="s">
        <v>423</v>
      </c>
      <c r="I2" s="6">
        <v>25</v>
      </c>
      <c r="J2" s="6">
        <v>78</v>
      </c>
      <c r="K2" s="6">
        <v>242</v>
      </c>
      <c r="L2" s="6">
        <v>63</v>
      </c>
      <c r="M2" s="10">
        <f>IF(K2+L2=0,0,(100*K2/L2))</f>
        <v>384.12698412698415</v>
      </c>
      <c r="N2" s="10">
        <f>ROUNDUP(M2,0)</f>
        <v>385</v>
      </c>
      <c r="O2" s="12">
        <v>44716</v>
      </c>
      <c r="P2" s="6">
        <v>10</v>
      </c>
      <c r="Q2" s="6">
        <v>5</v>
      </c>
      <c r="R2" s="6">
        <v>11</v>
      </c>
      <c r="S2" s="6">
        <v>26</v>
      </c>
      <c r="T2" s="6" t="str">
        <f>IF(F2&gt;2100,"Primera",
IF(F2&gt;=1800,"Segunda",
IF(F2&gt;=1600,"Tercera",
IF(F2&gt;=1400,"Cuarta",
IF(F2&gt;=1200,"Quinta",
IF(F2&gt;=1080,"Sexta",
IF(F2&gt;=980,"Septima",
"Octava")))))))</f>
        <v>Primera</v>
      </c>
    </row>
    <row r="3" spans="1:20">
      <c r="A3" s="7" t="s">
        <v>420</v>
      </c>
      <c r="B3" s="7" t="s">
        <v>421</v>
      </c>
      <c r="C3" s="8">
        <v>1</v>
      </c>
      <c r="D3" s="7" t="s">
        <v>420</v>
      </c>
      <c r="E3" s="7" t="s">
        <v>424</v>
      </c>
      <c r="F3">
        <v>2429</v>
      </c>
      <c r="G3" s="6">
        <v>7310</v>
      </c>
      <c r="H3" s="9" t="s">
        <v>425</v>
      </c>
      <c r="I3" s="6">
        <v>23</v>
      </c>
      <c r="J3" s="6">
        <v>154</v>
      </c>
      <c r="K3" s="6">
        <v>391</v>
      </c>
      <c r="L3" s="6">
        <v>53</v>
      </c>
      <c r="M3" s="10">
        <f t="shared" ref="M3:M66" si="0">IF(K3+L3=0,0,(100*K3/L3))</f>
        <v>737.7358490566038</v>
      </c>
      <c r="N3" s="10">
        <f t="shared" ref="N3:N66" si="1">ROUNDUP(M3,0)</f>
        <v>738</v>
      </c>
      <c r="O3" s="6" t="s">
        <v>9</v>
      </c>
      <c r="P3" s="6">
        <v>18</v>
      </c>
      <c r="Q3" s="6">
        <v>12</v>
      </c>
      <c r="R3" s="6">
        <v>29</v>
      </c>
      <c r="S3" s="6">
        <v>59</v>
      </c>
      <c r="T3" s="6" t="str">
        <f t="shared" ref="T3:T66" si="2">IF(F3&gt;2100,"Primera",
IF(F3&gt;=1800,"Segunda",
IF(F3&gt;=1600,"Tercera",
IF(F3&gt;=1400,"Cuarta",
IF(F3&gt;=1200,"Quinta",
IF(F3&gt;=1080,"Sexta",
IF(F3&gt;=980,"Septima",
"Octava")))))))</f>
        <v>Primera</v>
      </c>
    </row>
    <row r="4" spans="1:20">
      <c r="A4" s="7" t="s">
        <v>420</v>
      </c>
      <c r="B4" s="7" t="s">
        <v>421</v>
      </c>
      <c r="C4" s="8">
        <v>1</v>
      </c>
      <c r="D4" s="7" t="s">
        <v>420</v>
      </c>
      <c r="E4" s="7" t="s">
        <v>426</v>
      </c>
      <c r="F4">
        <v>2812</v>
      </c>
      <c r="G4" s="6">
        <v>6654</v>
      </c>
      <c r="H4" s="9" t="s">
        <v>427</v>
      </c>
      <c r="I4" s="6">
        <v>27</v>
      </c>
      <c r="J4" s="6">
        <v>85</v>
      </c>
      <c r="K4" s="6">
        <v>372</v>
      </c>
      <c r="L4" s="6">
        <v>76</v>
      </c>
      <c r="M4" s="10">
        <f t="shared" si="0"/>
        <v>489.4736842105263</v>
      </c>
      <c r="N4" s="10">
        <f t="shared" si="1"/>
        <v>490</v>
      </c>
      <c r="O4" s="6" t="s">
        <v>9</v>
      </c>
      <c r="P4" s="6">
        <v>27</v>
      </c>
      <c r="Q4" s="6">
        <v>14</v>
      </c>
      <c r="R4" s="6">
        <v>12</v>
      </c>
      <c r="S4" s="6">
        <v>53</v>
      </c>
      <c r="T4" s="6" t="str">
        <f t="shared" si="2"/>
        <v>Primera</v>
      </c>
    </row>
    <row r="5" spans="1:20">
      <c r="A5" s="7" t="s">
        <v>420</v>
      </c>
      <c r="B5" s="7" t="s">
        <v>421</v>
      </c>
      <c r="C5" s="8">
        <v>1</v>
      </c>
      <c r="D5" s="7" t="s">
        <v>420</v>
      </c>
      <c r="E5" s="7" t="s">
        <v>428</v>
      </c>
      <c r="F5">
        <v>2628</v>
      </c>
      <c r="G5" s="6">
        <v>2634</v>
      </c>
      <c r="H5" s="11" t="s">
        <v>429</v>
      </c>
      <c r="I5" s="6">
        <v>29</v>
      </c>
      <c r="J5" s="6">
        <v>105</v>
      </c>
      <c r="K5" s="6">
        <v>453</v>
      </c>
      <c r="L5" s="6">
        <v>78</v>
      </c>
      <c r="M5" s="10">
        <f t="shared" si="0"/>
        <v>580.76923076923072</v>
      </c>
      <c r="N5" s="10">
        <f t="shared" si="1"/>
        <v>581</v>
      </c>
      <c r="O5" s="6" t="s">
        <v>10</v>
      </c>
      <c r="P5" s="6">
        <v>17</v>
      </c>
      <c r="Q5" s="6">
        <v>21</v>
      </c>
      <c r="R5" s="6">
        <v>37</v>
      </c>
      <c r="S5" s="6">
        <v>75</v>
      </c>
      <c r="T5" s="6" t="str">
        <f t="shared" si="2"/>
        <v>Primera</v>
      </c>
    </row>
    <row r="6" spans="1:20">
      <c r="A6" s="7" t="s">
        <v>420</v>
      </c>
      <c r="B6" s="7" t="s">
        <v>421</v>
      </c>
      <c r="C6" s="8">
        <v>1</v>
      </c>
      <c r="D6" s="7" t="s">
        <v>420</v>
      </c>
      <c r="E6" s="7" t="s">
        <v>430</v>
      </c>
      <c r="F6">
        <v>2379</v>
      </c>
      <c r="G6" s="6">
        <v>11858</v>
      </c>
      <c r="H6" s="11" t="s">
        <v>431</v>
      </c>
      <c r="I6" s="6">
        <v>27</v>
      </c>
      <c r="J6" s="6">
        <v>95</v>
      </c>
      <c r="K6" s="6">
        <v>285</v>
      </c>
      <c r="L6" s="6">
        <v>64</v>
      </c>
      <c r="M6" s="10">
        <f t="shared" si="0"/>
        <v>445.3125</v>
      </c>
      <c r="N6" s="10">
        <f t="shared" si="1"/>
        <v>446</v>
      </c>
      <c r="O6" s="6" t="s">
        <v>9</v>
      </c>
      <c r="P6" s="6">
        <v>14</v>
      </c>
      <c r="Q6" s="6">
        <v>6</v>
      </c>
      <c r="R6" s="6">
        <v>16</v>
      </c>
      <c r="S6" s="6">
        <v>36</v>
      </c>
      <c r="T6" s="6" t="str">
        <f t="shared" si="2"/>
        <v>Primera</v>
      </c>
    </row>
    <row r="7" spans="1:20">
      <c r="A7" s="7" t="s">
        <v>420</v>
      </c>
      <c r="B7" s="7" t="s">
        <v>421</v>
      </c>
      <c r="C7" s="8">
        <v>1</v>
      </c>
      <c r="D7" s="7" t="s">
        <v>420</v>
      </c>
      <c r="E7" s="7" t="s">
        <v>432</v>
      </c>
      <c r="F7">
        <v>2311</v>
      </c>
      <c r="G7" s="6">
        <v>27012</v>
      </c>
      <c r="H7" s="11" t="s">
        <v>433</v>
      </c>
      <c r="I7" s="6">
        <v>27</v>
      </c>
      <c r="J7" s="6">
        <v>4</v>
      </c>
      <c r="K7" s="6">
        <v>19</v>
      </c>
      <c r="L7" s="6">
        <v>79</v>
      </c>
      <c r="M7" s="10">
        <f t="shared" si="0"/>
        <v>24.050632911392405</v>
      </c>
      <c r="N7" s="10">
        <f t="shared" si="1"/>
        <v>25</v>
      </c>
      <c r="O7" s="6" t="s">
        <v>11</v>
      </c>
      <c r="P7" s="6">
        <v>0</v>
      </c>
      <c r="Q7" s="6">
        <v>2</v>
      </c>
      <c r="R7" s="6">
        <v>0</v>
      </c>
      <c r="S7" s="6">
        <v>2</v>
      </c>
      <c r="T7" s="6" t="str">
        <f t="shared" si="2"/>
        <v>Primera</v>
      </c>
    </row>
    <row r="8" spans="1:20">
      <c r="A8" s="7" t="s">
        <v>420</v>
      </c>
      <c r="B8" s="7" t="s">
        <v>434</v>
      </c>
      <c r="C8" s="8">
        <v>1</v>
      </c>
      <c r="D8" s="7" t="s">
        <v>435</v>
      </c>
      <c r="E8" s="7" t="s">
        <v>436</v>
      </c>
      <c r="F8">
        <v>1956</v>
      </c>
      <c r="G8" s="6">
        <v>15688</v>
      </c>
      <c r="H8" s="11" t="s">
        <v>437</v>
      </c>
      <c r="I8" s="6">
        <v>26</v>
      </c>
      <c r="J8" s="6">
        <v>71</v>
      </c>
      <c r="K8" s="6">
        <v>187</v>
      </c>
      <c r="L8" s="6">
        <v>50</v>
      </c>
      <c r="M8" s="10">
        <f t="shared" si="0"/>
        <v>374</v>
      </c>
      <c r="N8" s="10">
        <f t="shared" si="1"/>
        <v>374</v>
      </c>
      <c r="O8" s="12">
        <v>46096</v>
      </c>
      <c r="P8" s="6">
        <v>7</v>
      </c>
      <c r="Q8" s="6">
        <v>8</v>
      </c>
      <c r="R8" s="6">
        <v>9</v>
      </c>
      <c r="S8" s="6">
        <v>24</v>
      </c>
      <c r="T8" s="6" t="str">
        <f t="shared" si="2"/>
        <v>Segunda</v>
      </c>
    </row>
    <row r="9" spans="1:20">
      <c r="A9" s="7" t="s">
        <v>420</v>
      </c>
      <c r="B9" s="7" t="s">
        <v>434</v>
      </c>
      <c r="C9" s="8">
        <v>1</v>
      </c>
      <c r="D9" s="7" t="s">
        <v>435</v>
      </c>
      <c r="E9" s="7" t="s">
        <v>438</v>
      </c>
      <c r="F9">
        <v>2204</v>
      </c>
      <c r="G9" s="6">
        <v>1285</v>
      </c>
      <c r="H9" s="11" t="s">
        <v>439</v>
      </c>
      <c r="I9" s="6">
        <v>65</v>
      </c>
      <c r="J9" s="6">
        <v>10</v>
      </c>
      <c r="K9" s="6">
        <v>16</v>
      </c>
      <c r="L9" s="6">
        <v>46</v>
      </c>
      <c r="M9" s="10">
        <f t="shared" si="0"/>
        <v>34.782608695652172</v>
      </c>
      <c r="N9" s="10">
        <f t="shared" si="1"/>
        <v>35</v>
      </c>
      <c r="O9" s="6" t="s">
        <v>9</v>
      </c>
      <c r="P9" s="6">
        <v>0</v>
      </c>
      <c r="Q9" s="6">
        <v>0</v>
      </c>
      <c r="R9" s="6">
        <v>0</v>
      </c>
      <c r="S9" s="6">
        <v>0</v>
      </c>
      <c r="T9" s="6" t="str">
        <f t="shared" si="2"/>
        <v>Primera</v>
      </c>
    </row>
    <row r="10" spans="1:20">
      <c r="A10" s="7" t="s">
        <v>420</v>
      </c>
      <c r="B10" s="7" t="s">
        <v>434</v>
      </c>
      <c r="C10" s="8">
        <v>1</v>
      </c>
      <c r="D10" s="7" t="s">
        <v>435</v>
      </c>
      <c r="E10" s="7" t="s">
        <v>440</v>
      </c>
      <c r="F10">
        <v>2210</v>
      </c>
      <c r="G10" s="6">
        <v>23487</v>
      </c>
      <c r="H10" s="11" t="s">
        <v>441</v>
      </c>
      <c r="I10" s="6">
        <v>17</v>
      </c>
      <c r="J10" s="6">
        <v>44</v>
      </c>
      <c r="K10" s="6">
        <v>171</v>
      </c>
      <c r="L10" s="6">
        <v>64</v>
      </c>
      <c r="M10" s="10">
        <f t="shared" si="0"/>
        <v>267.1875</v>
      </c>
      <c r="N10" s="10">
        <f t="shared" si="1"/>
        <v>268</v>
      </c>
      <c r="O10" s="6" t="s">
        <v>12</v>
      </c>
      <c r="P10" s="6">
        <v>5</v>
      </c>
      <c r="Q10" s="6">
        <v>6</v>
      </c>
      <c r="R10" s="6">
        <v>11</v>
      </c>
      <c r="S10" s="6">
        <v>22</v>
      </c>
      <c r="T10" s="6" t="str">
        <f t="shared" si="2"/>
        <v>Primera</v>
      </c>
    </row>
    <row r="11" spans="1:20">
      <c r="A11" s="7" t="s">
        <v>420</v>
      </c>
      <c r="B11" s="7" t="s">
        <v>434</v>
      </c>
      <c r="C11" s="8">
        <v>2</v>
      </c>
      <c r="D11" s="7" t="s">
        <v>442</v>
      </c>
      <c r="E11" s="7" t="s">
        <v>443</v>
      </c>
      <c r="F11">
        <v>2121</v>
      </c>
      <c r="G11" s="6">
        <v>15238</v>
      </c>
      <c r="H11" s="11" t="s">
        <v>444</v>
      </c>
      <c r="I11" s="6">
        <v>22</v>
      </c>
      <c r="J11" s="6">
        <v>98</v>
      </c>
      <c r="K11" s="6">
        <v>277</v>
      </c>
      <c r="L11" s="6">
        <v>55</v>
      </c>
      <c r="M11" s="10">
        <f t="shared" si="0"/>
        <v>503.63636363636363</v>
      </c>
      <c r="N11" s="10">
        <f t="shared" si="1"/>
        <v>504</v>
      </c>
      <c r="O11" s="6" t="s">
        <v>13</v>
      </c>
      <c r="P11" s="6">
        <v>9</v>
      </c>
      <c r="Q11" s="6">
        <v>6</v>
      </c>
      <c r="R11" s="6">
        <v>10</v>
      </c>
      <c r="S11" s="6">
        <v>25</v>
      </c>
      <c r="T11" s="6" t="str">
        <f t="shared" si="2"/>
        <v>Primera</v>
      </c>
    </row>
    <row r="12" spans="1:20">
      <c r="A12" s="7" t="s">
        <v>420</v>
      </c>
      <c r="B12" s="7" t="s">
        <v>434</v>
      </c>
      <c r="C12" s="8">
        <v>2</v>
      </c>
      <c r="D12" s="7" t="s">
        <v>442</v>
      </c>
      <c r="E12" s="7" t="s">
        <v>445</v>
      </c>
      <c r="F12">
        <v>2199</v>
      </c>
      <c r="G12" s="6">
        <v>21373</v>
      </c>
      <c r="H12" s="11" t="s">
        <v>446</v>
      </c>
      <c r="I12" s="6">
        <v>19</v>
      </c>
      <c r="J12" s="6">
        <v>61</v>
      </c>
      <c r="K12" s="6">
        <v>227</v>
      </c>
      <c r="L12" s="6">
        <v>64</v>
      </c>
      <c r="M12" s="10">
        <f t="shared" si="0"/>
        <v>354.6875</v>
      </c>
      <c r="N12" s="10">
        <f t="shared" si="1"/>
        <v>355</v>
      </c>
      <c r="O12" s="6" t="s">
        <v>9</v>
      </c>
      <c r="P12" s="6">
        <v>10</v>
      </c>
      <c r="Q12" s="6">
        <v>11</v>
      </c>
      <c r="R12" s="6">
        <v>11</v>
      </c>
      <c r="S12" s="6">
        <v>32</v>
      </c>
      <c r="T12" s="6" t="str">
        <f t="shared" si="2"/>
        <v>Primera</v>
      </c>
    </row>
    <row r="13" spans="1:20">
      <c r="A13" s="7" t="s">
        <v>420</v>
      </c>
      <c r="B13" s="7" t="s">
        <v>434</v>
      </c>
      <c r="C13" s="8">
        <v>2</v>
      </c>
      <c r="D13" s="7" t="s">
        <v>442</v>
      </c>
      <c r="E13" s="7" t="s">
        <v>447</v>
      </c>
      <c r="F13">
        <v>2163</v>
      </c>
      <c r="G13" s="6">
        <v>19885</v>
      </c>
      <c r="H13" s="11" t="s">
        <v>448</v>
      </c>
      <c r="I13" s="6">
        <v>37</v>
      </c>
      <c r="J13" s="6">
        <v>40</v>
      </c>
      <c r="K13" s="6">
        <v>144</v>
      </c>
      <c r="L13" s="6">
        <v>66</v>
      </c>
      <c r="M13" s="10">
        <f t="shared" si="0"/>
        <v>218.18181818181819</v>
      </c>
      <c r="N13" s="10">
        <f t="shared" si="1"/>
        <v>219</v>
      </c>
      <c r="O13" s="6" t="s">
        <v>14</v>
      </c>
      <c r="P13" s="6">
        <v>5</v>
      </c>
      <c r="Q13" s="6">
        <v>4</v>
      </c>
      <c r="R13" s="6">
        <v>4</v>
      </c>
      <c r="S13" s="6">
        <v>13</v>
      </c>
      <c r="T13" s="6" t="str">
        <f t="shared" si="2"/>
        <v>Primera</v>
      </c>
    </row>
    <row r="14" spans="1:20">
      <c r="A14" s="7" t="s">
        <v>420</v>
      </c>
      <c r="B14" s="7" t="s">
        <v>434</v>
      </c>
      <c r="C14" s="8">
        <v>2</v>
      </c>
      <c r="D14" s="7" t="s">
        <v>442</v>
      </c>
      <c r="E14" s="7" t="s">
        <v>449</v>
      </c>
      <c r="F14">
        <v>1886</v>
      </c>
      <c r="G14" s="6">
        <v>17702</v>
      </c>
      <c r="H14" s="11" t="s">
        <v>450</v>
      </c>
      <c r="I14" s="6">
        <v>19</v>
      </c>
      <c r="J14" s="6">
        <v>46</v>
      </c>
      <c r="K14" s="6">
        <v>120</v>
      </c>
      <c r="L14" s="6">
        <v>52</v>
      </c>
      <c r="M14" s="10">
        <f t="shared" si="0"/>
        <v>230.76923076923077</v>
      </c>
      <c r="N14" s="10">
        <f t="shared" si="1"/>
        <v>231</v>
      </c>
      <c r="O14" s="6" t="s">
        <v>15</v>
      </c>
      <c r="P14" s="6">
        <v>2</v>
      </c>
      <c r="Q14" s="6">
        <v>4</v>
      </c>
      <c r="R14" s="6">
        <v>7</v>
      </c>
      <c r="S14" s="6">
        <v>13</v>
      </c>
      <c r="T14" s="6" t="str">
        <f t="shared" si="2"/>
        <v>Segunda</v>
      </c>
    </row>
    <row r="15" spans="1:20">
      <c r="A15" s="7" t="s">
        <v>420</v>
      </c>
      <c r="B15" s="7" t="s">
        <v>451</v>
      </c>
      <c r="C15" s="8">
        <v>1</v>
      </c>
      <c r="D15" s="7" t="s">
        <v>435</v>
      </c>
      <c r="E15" s="7" t="s">
        <v>452</v>
      </c>
      <c r="F15">
        <v>2031</v>
      </c>
      <c r="G15" s="6">
        <v>16442</v>
      </c>
      <c r="H15" s="11" t="s">
        <v>453</v>
      </c>
      <c r="I15" s="6">
        <v>19</v>
      </c>
      <c r="J15" s="6">
        <v>30</v>
      </c>
      <c r="K15" s="6">
        <v>106</v>
      </c>
      <c r="L15" s="6">
        <v>64</v>
      </c>
      <c r="M15" s="10">
        <f t="shared" si="0"/>
        <v>165.625</v>
      </c>
      <c r="N15" s="10">
        <f t="shared" si="1"/>
        <v>166</v>
      </c>
      <c r="O15" s="6" t="s">
        <v>14</v>
      </c>
      <c r="P15" s="6">
        <v>6</v>
      </c>
      <c r="Q15" s="6">
        <v>4</v>
      </c>
      <c r="R15" s="6">
        <v>4</v>
      </c>
      <c r="S15" s="6">
        <v>14</v>
      </c>
      <c r="T15" s="6" t="str">
        <f t="shared" si="2"/>
        <v>Segunda</v>
      </c>
    </row>
    <row r="16" spans="1:20">
      <c r="A16" s="7" t="s">
        <v>420</v>
      </c>
      <c r="B16" s="7" t="s">
        <v>451</v>
      </c>
      <c r="C16" s="8">
        <v>1</v>
      </c>
      <c r="D16" s="7" t="s">
        <v>435</v>
      </c>
      <c r="E16" s="7" t="s">
        <v>454</v>
      </c>
      <c r="F16">
        <v>1935</v>
      </c>
      <c r="G16" s="6">
        <v>17872</v>
      </c>
      <c r="H16" s="11" t="s">
        <v>455</v>
      </c>
      <c r="I16" s="6">
        <v>49</v>
      </c>
      <c r="J16" s="6">
        <v>114</v>
      </c>
      <c r="K16" s="6">
        <v>309</v>
      </c>
      <c r="L16" s="6">
        <v>46</v>
      </c>
      <c r="M16" s="10">
        <f t="shared" si="0"/>
        <v>671.73913043478262</v>
      </c>
      <c r="N16" s="10">
        <f t="shared" si="1"/>
        <v>672</v>
      </c>
      <c r="O16" s="6" t="s">
        <v>9</v>
      </c>
      <c r="P16" s="6">
        <v>10</v>
      </c>
      <c r="Q16" s="6">
        <v>11</v>
      </c>
      <c r="R16" s="6">
        <v>13</v>
      </c>
      <c r="S16" s="6">
        <v>34</v>
      </c>
      <c r="T16" s="6" t="str">
        <f t="shared" si="2"/>
        <v>Segunda</v>
      </c>
    </row>
    <row r="17" spans="1:20">
      <c r="A17" s="7" t="s">
        <v>420</v>
      </c>
      <c r="B17" s="7" t="s">
        <v>451</v>
      </c>
      <c r="C17" s="8">
        <v>1</v>
      </c>
      <c r="D17" s="7" t="s">
        <v>435</v>
      </c>
      <c r="E17" s="7" t="s">
        <v>456</v>
      </c>
      <c r="F17">
        <v>1819</v>
      </c>
      <c r="G17" s="6">
        <v>20212</v>
      </c>
      <c r="H17" s="11" t="s">
        <v>457</v>
      </c>
      <c r="I17" s="6">
        <v>34</v>
      </c>
      <c r="J17" s="6">
        <v>43</v>
      </c>
      <c r="K17" s="6">
        <v>129</v>
      </c>
      <c r="L17" s="6">
        <v>66</v>
      </c>
      <c r="M17" s="10">
        <f t="shared" si="0"/>
        <v>195.45454545454547</v>
      </c>
      <c r="N17" s="10">
        <f t="shared" si="1"/>
        <v>196</v>
      </c>
      <c r="O17" s="6" t="s">
        <v>14</v>
      </c>
      <c r="P17" s="6">
        <v>9</v>
      </c>
      <c r="Q17" s="6">
        <v>4</v>
      </c>
      <c r="R17" s="6">
        <v>4</v>
      </c>
      <c r="S17" s="6">
        <v>17</v>
      </c>
      <c r="T17" s="6" t="str">
        <f t="shared" si="2"/>
        <v>Segunda</v>
      </c>
    </row>
    <row r="18" spans="1:20">
      <c r="A18" s="7" t="s">
        <v>420</v>
      </c>
      <c r="B18" s="7" t="s">
        <v>451</v>
      </c>
      <c r="C18" s="8">
        <v>1</v>
      </c>
      <c r="D18" s="7" t="s">
        <v>435</v>
      </c>
      <c r="E18" s="7" t="s">
        <v>458</v>
      </c>
      <c r="F18">
        <v>2204</v>
      </c>
      <c r="G18" s="6">
        <v>9227</v>
      </c>
      <c r="H18" s="11" t="s">
        <v>459</v>
      </c>
      <c r="I18" s="6">
        <v>65</v>
      </c>
      <c r="J18" s="6">
        <v>31</v>
      </c>
      <c r="K18" s="6">
        <v>124</v>
      </c>
      <c r="L18" s="6">
        <v>69</v>
      </c>
      <c r="M18" s="10">
        <f t="shared" si="0"/>
        <v>179.71014492753622</v>
      </c>
      <c r="N18" s="10">
        <f t="shared" si="1"/>
        <v>180</v>
      </c>
      <c r="O18" s="6" t="s">
        <v>16</v>
      </c>
      <c r="P18" s="6">
        <v>7</v>
      </c>
      <c r="Q18" s="6">
        <v>4</v>
      </c>
      <c r="R18" s="6">
        <v>10</v>
      </c>
      <c r="S18" s="6">
        <v>21</v>
      </c>
      <c r="T18" s="6" t="str">
        <f t="shared" si="2"/>
        <v>Primera</v>
      </c>
    </row>
    <row r="19" spans="1:20">
      <c r="A19" s="7" t="s">
        <v>420</v>
      </c>
      <c r="B19" s="7" t="s">
        <v>451</v>
      </c>
      <c r="C19" s="8">
        <v>2</v>
      </c>
      <c r="D19" s="7" t="s">
        <v>442</v>
      </c>
      <c r="E19" s="7" t="s">
        <v>449</v>
      </c>
      <c r="F19">
        <v>1886</v>
      </c>
      <c r="G19" s="6">
        <v>17702</v>
      </c>
      <c r="H19" s="11" t="s">
        <v>450</v>
      </c>
      <c r="I19" s="6">
        <v>19</v>
      </c>
      <c r="J19" s="6">
        <v>46</v>
      </c>
      <c r="K19" s="6">
        <v>120</v>
      </c>
      <c r="L19" s="6">
        <v>52</v>
      </c>
      <c r="M19" s="10">
        <f t="shared" si="0"/>
        <v>230.76923076923077</v>
      </c>
      <c r="N19" s="10">
        <f t="shared" si="1"/>
        <v>231</v>
      </c>
      <c r="O19" s="6" t="s">
        <v>15</v>
      </c>
      <c r="P19" s="6">
        <v>2</v>
      </c>
      <c r="Q19" s="6">
        <v>4</v>
      </c>
      <c r="R19" s="6">
        <v>7</v>
      </c>
      <c r="S19" s="6">
        <v>13</v>
      </c>
      <c r="T19" s="6" t="str">
        <f t="shared" si="2"/>
        <v>Segunda</v>
      </c>
    </row>
    <row r="20" spans="1:20">
      <c r="A20" s="7" t="s">
        <v>420</v>
      </c>
      <c r="B20" s="7" t="s">
        <v>451</v>
      </c>
      <c r="C20" s="8">
        <v>2</v>
      </c>
      <c r="D20" s="7" t="s">
        <v>442</v>
      </c>
      <c r="E20" s="7" t="s">
        <v>460</v>
      </c>
      <c r="F20">
        <v>2036</v>
      </c>
      <c r="G20" s="6">
        <v>16090</v>
      </c>
      <c r="H20" s="11" t="s">
        <v>461</v>
      </c>
      <c r="I20" s="6">
        <v>24</v>
      </c>
      <c r="J20" s="6">
        <v>45</v>
      </c>
      <c r="K20" s="6">
        <v>155</v>
      </c>
      <c r="L20" s="6">
        <v>64</v>
      </c>
      <c r="M20" s="10">
        <f t="shared" si="0"/>
        <v>242.1875</v>
      </c>
      <c r="N20" s="10">
        <f t="shared" si="1"/>
        <v>243</v>
      </c>
      <c r="O20" s="6" t="s">
        <v>9</v>
      </c>
      <c r="P20" s="6">
        <v>11</v>
      </c>
      <c r="Q20" s="6">
        <v>2</v>
      </c>
      <c r="R20" s="6">
        <v>4</v>
      </c>
      <c r="S20" s="6">
        <v>17</v>
      </c>
      <c r="T20" s="6" t="str">
        <f t="shared" si="2"/>
        <v>Segunda</v>
      </c>
    </row>
    <row r="21" spans="1:20">
      <c r="A21" s="7" t="s">
        <v>420</v>
      </c>
      <c r="B21" s="7" t="s">
        <v>451</v>
      </c>
      <c r="C21" s="8">
        <v>2</v>
      </c>
      <c r="D21" s="7" t="s">
        <v>442</v>
      </c>
      <c r="E21" s="7" t="s">
        <v>462</v>
      </c>
      <c r="F21">
        <v>2032</v>
      </c>
      <c r="G21" s="6">
        <v>22715</v>
      </c>
      <c r="H21" s="11" t="s">
        <v>463</v>
      </c>
      <c r="I21" s="6">
        <v>16</v>
      </c>
      <c r="J21" s="6">
        <v>150</v>
      </c>
      <c r="K21" s="6">
        <v>423</v>
      </c>
      <c r="L21" s="6">
        <v>54</v>
      </c>
      <c r="M21" s="10">
        <f t="shared" si="0"/>
        <v>783.33333333333337</v>
      </c>
      <c r="N21" s="10">
        <f t="shared" si="1"/>
        <v>784</v>
      </c>
      <c r="O21" s="6" t="s">
        <v>12</v>
      </c>
      <c r="P21" s="6">
        <v>14</v>
      </c>
      <c r="Q21" s="6">
        <v>14</v>
      </c>
      <c r="R21" s="6">
        <v>33</v>
      </c>
      <c r="S21" s="6">
        <v>61</v>
      </c>
      <c r="T21" s="6" t="str">
        <f t="shared" si="2"/>
        <v>Segunda</v>
      </c>
    </row>
    <row r="22" spans="1:20">
      <c r="A22" s="7" t="s">
        <v>420</v>
      </c>
      <c r="B22" s="7" t="s">
        <v>451</v>
      </c>
      <c r="C22" s="8">
        <v>2</v>
      </c>
      <c r="D22" s="7" t="s">
        <v>442</v>
      </c>
      <c r="E22" s="7" t="s">
        <v>464</v>
      </c>
      <c r="F22">
        <v>1999</v>
      </c>
      <c r="G22" s="6">
        <v>24670</v>
      </c>
      <c r="H22" s="11" t="s">
        <v>465</v>
      </c>
      <c r="I22" s="6">
        <v>13</v>
      </c>
      <c r="J22" s="6">
        <v>71</v>
      </c>
      <c r="K22" s="6">
        <v>221</v>
      </c>
      <c r="L22" s="6">
        <v>60</v>
      </c>
      <c r="M22" s="10">
        <f t="shared" si="0"/>
        <v>368.33333333333331</v>
      </c>
      <c r="N22" s="10">
        <f t="shared" si="1"/>
        <v>369</v>
      </c>
      <c r="O22" s="6" t="s">
        <v>9</v>
      </c>
      <c r="P22" s="6">
        <v>9</v>
      </c>
      <c r="Q22" s="6">
        <v>10</v>
      </c>
      <c r="R22" s="6">
        <v>11</v>
      </c>
      <c r="S22" s="6">
        <v>30</v>
      </c>
      <c r="T22" s="6" t="str">
        <f t="shared" si="2"/>
        <v>Segunda</v>
      </c>
    </row>
    <row r="23" spans="1:20">
      <c r="A23" s="7" t="s">
        <v>420</v>
      </c>
      <c r="B23" s="7" t="s">
        <v>451</v>
      </c>
      <c r="C23" s="8">
        <v>2</v>
      </c>
      <c r="D23" s="7" t="s">
        <v>442</v>
      </c>
      <c r="E23" s="7" t="s">
        <v>466</v>
      </c>
      <c r="F23">
        <v>1381</v>
      </c>
      <c r="G23" s="6">
        <v>6658</v>
      </c>
      <c r="H23" s="11" t="s">
        <v>467</v>
      </c>
      <c r="I23" s="6">
        <v>30</v>
      </c>
      <c r="J23" s="6">
        <v>1</v>
      </c>
      <c r="K23" s="6">
        <v>0</v>
      </c>
      <c r="L23" s="6">
        <v>0</v>
      </c>
      <c r="M23" s="10">
        <f t="shared" si="0"/>
        <v>0</v>
      </c>
      <c r="N23" s="10">
        <f t="shared" si="1"/>
        <v>0</v>
      </c>
      <c r="O23" s="6" t="s">
        <v>17</v>
      </c>
      <c r="P23" s="6">
        <v>0</v>
      </c>
      <c r="Q23" s="6">
        <v>0</v>
      </c>
      <c r="R23" s="6">
        <v>0</v>
      </c>
      <c r="S23" s="6">
        <v>0</v>
      </c>
      <c r="T23" s="6" t="str">
        <f t="shared" si="2"/>
        <v>Quinta</v>
      </c>
    </row>
    <row r="24" spans="1:20">
      <c r="A24" s="7" t="s">
        <v>420</v>
      </c>
      <c r="B24" s="7" t="s">
        <v>468</v>
      </c>
      <c r="C24" s="8">
        <v>1</v>
      </c>
      <c r="D24" s="7" t="s">
        <v>420</v>
      </c>
      <c r="E24" s="7" t="s">
        <v>469</v>
      </c>
      <c r="F24">
        <v>1702</v>
      </c>
      <c r="G24" s="6">
        <v>14286</v>
      </c>
      <c r="H24" s="11" t="s">
        <v>470</v>
      </c>
      <c r="I24" s="6">
        <v>57</v>
      </c>
      <c r="J24" s="6">
        <v>124</v>
      </c>
      <c r="K24" s="6">
        <v>377</v>
      </c>
      <c r="L24" s="6">
        <v>51</v>
      </c>
      <c r="M24" s="10">
        <f t="shared" si="0"/>
        <v>739.21568627450984</v>
      </c>
      <c r="N24" s="10">
        <f t="shared" si="1"/>
        <v>740</v>
      </c>
      <c r="O24" s="6" t="s">
        <v>18</v>
      </c>
      <c r="P24" s="6">
        <v>10</v>
      </c>
      <c r="Q24" s="6">
        <v>7</v>
      </c>
      <c r="R24" s="6">
        <v>23</v>
      </c>
      <c r="S24" s="6">
        <v>40</v>
      </c>
      <c r="T24" s="6" t="str">
        <f t="shared" si="2"/>
        <v>Tercera</v>
      </c>
    </row>
    <row r="25" spans="1:20">
      <c r="A25" s="7" t="s">
        <v>420</v>
      </c>
      <c r="B25" s="7" t="s">
        <v>468</v>
      </c>
      <c r="C25" s="8">
        <v>1</v>
      </c>
      <c r="D25" s="7" t="s">
        <v>420</v>
      </c>
      <c r="E25" s="7" t="s">
        <v>471</v>
      </c>
      <c r="F25">
        <v>1527</v>
      </c>
      <c r="G25" s="6">
        <v>19125</v>
      </c>
      <c r="H25" s="11" t="s">
        <v>472</v>
      </c>
      <c r="I25" s="6">
        <v>17</v>
      </c>
      <c r="J25" s="6">
        <v>4</v>
      </c>
      <c r="K25" s="6">
        <v>6</v>
      </c>
      <c r="L25" s="6">
        <v>40</v>
      </c>
      <c r="M25" s="10">
        <f t="shared" si="0"/>
        <v>15</v>
      </c>
      <c r="N25" s="10">
        <f t="shared" si="1"/>
        <v>15</v>
      </c>
      <c r="O25" s="6" t="s">
        <v>19</v>
      </c>
      <c r="P25" s="6">
        <v>1</v>
      </c>
      <c r="Q25" s="6">
        <v>0</v>
      </c>
      <c r="R25" s="6">
        <v>0</v>
      </c>
      <c r="S25" s="6">
        <v>1</v>
      </c>
      <c r="T25" s="6" t="str">
        <f t="shared" si="2"/>
        <v>Cuarta</v>
      </c>
    </row>
    <row r="26" spans="1:20">
      <c r="A26" s="7" t="s">
        <v>420</v>
      </c>
      <c r="B26" s="7" t="s">
        <v>468</v>
      </c>
      <c r="C26" s="8">
        <v>1</v>
      </c>
      <c r="D26" s="7" t="s">
        <v>420</v>
      </c>
      <c r="E26" s="7" t="s">
        <v>473</v>
      </c>
      <c r="F26">
        <v>1000</v>
      </c>
      <c r="G26" s="6">
        <v>17355</v>
      </c>
      <c r="H26" s="11" t="s">
        <v>474</v>
      </c>
      <c r="I26" s="6">
        <v>25</v>
      </c>
      <c r="J26" s="6">
        <v>0</v>
      </c>
      <c r="K26" s="6">
        <v>0</v>
      </c>
      <c r="L26" s="6">
        <v>0</v>
      </c>
      <c r="M26" s="10">
        <f t="shared" si="0"/>
        <v>0</v>
      </c>
      <c r="N26" s="10">
        <f t="shared" si="1"/>
        <v>0</v>
      </c>
      <c r="P26" s="6">
        <v>0</v>
      </c>
      <c r="Q26" s="6">
        <v>0</v>
      </c>
      <c r="R26" s="6">
        <v>0</v>
      </c>
      <c r="S26" s="6">
        <v>0</v>
      </c>
      <c r="T26" s="6" t="str">
        <f t="shared" si="2"/>
        <v>Septima</v>
      </c>
    </row>
    <row r="27" spans="1:20" ht="24">
      <c r="A27" s="7" t="s">
        <v>420</v>
      </c>
      <c r="B27" s="7" t="s">
        <v>468</v>
      </c>
      <c r="C27" s="8">
        <v>1</v>
      </c>
      <c r="D27" s="7" t="s">
        <v>420</v>
      </c>
      <c r="E27" s="7" t="s">
        <v>475</v>
      </c>
      <c r="F27">
        <v>1780</v>
      </c>
      <c r="G27" s="6">
        <v>28253</v>
      </c>
      <c r="H27" s="11" t="s">
        <v>476</v>
      </c>
      <c r="I27" s="6">
        <v>14</v>
      </c>
      <c r="J27" s="6">
        <v>3</v>
      </c>
      <c r="K27" s="6">
        <v>27</v>
      </c>
      <c r="L27" s="6">
        <v>96</v>
      </c>
      <c r="M27" s="10">
        <f t="shared" si="0"/>
        <v>28.125</v>
      </c>
      <c r="N27" s="10">
        <f t="shared" si="1"/>
        <v>29</v>
      </c>
      <c r="O27" s="6" t="s">
        <v>20</v>
      </c>
      <c r="P27" s="6">
        <v>4</v>
      </c>
      <c r="Q27" s="6">
        <v>0</v>
      </c>
      <c r="R27" s="6">
        <v>0</v>
      </c>
      <c r="S27" s="6">
        <v>4</v>
      </c>
      <c r="T27" s="6" t="str">
        <f t="shared" si="2"/>
        <v>Tercera</v>
      </c>
    </row>
    <row r="28" spans="1:20">
      <c r="A28" s="7" t="s">
        <v>420</v>
      </c>
      <c r="B28" s="7" t="s">
        <v>468</v>
      </c>
      <c r="C28" s="8">
        <v>1</v>
      </c>
      <c r="D28" s="7" t="s">
        <v>420</v>
      </c>
      <c r="E28" s="7" t="s">
        <v>477</v>
      </c>
      <c r="F28">
        <v>1750</v>
      </c>
      <c r="G28" s="6">
        <v>14127</v>
      </c>
      <c r="H28" s="11" t="s">
        <v>478</v>
      </c>
      <c r="I28" s="6">
        <v>25</v>
      </c>
      <c r="J28" s="6">
        <v>214</v>
      </c>
      <c r="K28" s="6">
        <v>525</v>
      </c>
      <c r="L28" s="6">
        <v>40</v>
      </c>
      <c r="M28" s="10">
        <f t="shared" si="0"/>
        <v>1312.5</v>
      </c>
      <c r="N28" s="10">
        <f t="shared" si="1"/>
        <v>1313</v>
      </c>
      <c r="O28" s="6" t="s">
        <v>18</v>
      </c>
      <c r="P28" s="6">
        <v>15</v>
      </c>
      <c r="Q28" s="6">
        <v>7</v>
      </c>
      <c r="R28" s="6">
        <v>28</v>
      </c>
      <c r="S28" s="6">
        <v>50</v>
      </c>
      <c r="T28" s="6" t="str">
        <f t="shared" si="2"/>
        <v>Tercera</v>
      </c>
    </row>
    <row r="29" spans="1:20">
      <c r="A29" s="7" t="s">
        <v>420</v>
      </c>
      <c r="B29" s="7" t="s">
        <v>468</v>
      </c>
      <c r="C29" s="8">
        <v>1</v>
      </c>
      <c r="D29" s="7" t="s">
        <v>420</v>
      </c>
      <c r="E29" s="7" t="s">
        <v>479</v>
      </c>
      <c r="F29">
        <v>1694</v>
      </c>
      <c r="G29" s="6">
        <v>18554</v>
      </c>
      <c r="H29" s="11" t="s">
        <v>480</v>
      </c>
      <c r="I29" s="6">
        <v>45</v>
      </c>
      <c r="J29" s="6">
        <v>146</v>
      </c>
      <c r="K29" s="6">
        <v>235</v>
      </c>
      <c r="L29" s="6">
        <v>35</v>
      </c>
      <c r="M29" s="10">
        <f t="shared" si="0"/>
        <v>671.42857142857144</v>
      </c>
      <c r="N29" s="10">
        <f t="shared" si="1"/>
        <v>672</v>
      </c>
      <c r="O29" s="6" t="s">
        <v>20</v>
      </c>
      <c r="P29" s="6">
        <v>3</v>
      </c>
      <c r="Q29" s="6">
        <v>2</v>
      </c>
      <c r="R29" s="6">
        <v>11</v>
      </c>
      <c r="S29" s="6">
        <v>16</v>
      </c>
      <c r="T29" s="6" t="str">
        <f t="shared" si="2"/>
        <v>Tercera</v>
      </c>
    </row>
    <row r="30" spans="1:20">
      <c r="A30" s="7" t="s">
        <v>420</v>
      </c>
      <c r="B30" s="7" t="s">
        <v>468</v>
      </c>
      <c r="C30" s="8">
        <v>1</v>
      </c>
      <c r="D30" s="7" t="s">
        <v>420</v>
      </c>
      <c r="E30" s="7" t="s">
        <v>481</v>
      </c>
      <c r="F30">
        <v>1804</v>
      </c>
      <c r="G30" s="6">
        <v>23600</v>
      </c>
      <c r="H30" s="11" t="s">
        <v>482</v>
      </c>
      <c r="I30" s="6">
        <v>22</v>
      </c>
      <c r="J30" s="6">
        <v>153</v>
      </c>
      <c r="K30" s="6">
        <v>397</v>
      </c>
      <c r="L30" s="6">
        <v>58</v>
      </c>
      <c r="M30" s="10">
        <f t="shared" si="0"/>
        <v>684.48275862068965</v>
      </c>
      <c r="N30" s="10">
        <f t="shared" si="1"/>
        <v>685</v>
      </c>
      <c r="O30" s="6" t="s">
        <v>19</v>
      </c>
      <c r="P30" s="6">
        <v>15</v>
      </c>
      <c r="Q30" s="6">
        <v>17</v>
      </c>
      <c r="R30" s="6">
        <v>21</v>
      </c>
      <c r="S30" s="6">
        <v>53</v>
      </c>
      <c r="T30" s="6" t="str">
        <f t="shared" si="2"/>
        <v>Segunda</v>
      </c>
    </row>
    <row r="31" spans="1:20">
      <c r="A31" s="7" t="s">
        <v>420</v>
      </c>
      <c r="B31" s="7" t="s">
        <v>483</v>
      </c>
      <c r="C31" s="8">
        <v>1</v>
      </c>
      <c r="D31" s="7" t="s">
        <v>420</v>
      </c>
      <c r="E31" s="7" t="s">
        <v>484</v>
      </c>
      <c r="F31">
        <v>1555</v>
      </c>
      <c r="G31" s="6">
        <v>18720</v>
      </c>
      <c r="H31" s="11" t="s">
        <v>485</v>
      </c>
      <c r="I31" s="6">
        <v>23</v>
      </c>
      <c r="J31" s="6">
        <v>26</v>
      </c>
      <c r="K31" s="6">
        <v>64</v>
      </c>
      <c r="L31" s="6">
        <v>53</v>
      </c>
      <c r="M31" s="10">
        <f t="shared" si="0"/>
        <v>120.75471698113208</v>
      </c>
      <c r="N31" s="10">
        <f t="shared" si="1"/>
        <v>121</v>
      </c>
      <c r="O31" s="6" t="s">
        <v>11</v>
      </c>
      <c r="P31" s="6">
        <v>0</v>
      </c>
      <c r="Q31" s="6">
        <v>2</v>
      </c>
      <c r="R31" s="6">
        <v>4</v>
      </c>
      <c r="S31" s="6">
        <v>6</v>
      </c>
      <c r="T31" s="6" t="str">
        <f t="shared" si="2"/>
        <v>Cuarta</v>
      </c>
    </row>
    <row r="32" spans="1:20">
      <c r="A32" s="7" t="s">
        <v>420</v>
      </c>
      <c r="B32" s="7" t="s">
        <v>483</v>
      </c>
      <c r="C32" s="8">
        <v>1</v>
      </c>
      <c r="D32" s="7" t="s">
        <v>420</v>
      </c>
      <c r="E32" s="7" t="s">
        <v>486</v>
      </c>
      <c r="F32">
        <v>1632</v>
      </c>
      <c r="G32" s="6">
        <v>16816</v>
      </c>
      <c r="H32" s="11" t="s">
        <v>487</v>
      </c>
      <c r="I32" s="6">
        <v>47</v>
      </c>
      <c r="J32" s="6">
        <v>200</v>
      </c>
      <c r="K32" s="6">
        <v>506</v>
      </c>
      <c r="L32" s="6">
        <v>53</v>
      </c>
      <c r="M32" s="10">
        <f t="shared" si="0"/>
        <v>954.71698113207549</v>
      </c>
      <c r="N32" s="10">
        <f t="shared" si="1"/>
        <v>955</v>
      </c>
      <c r="O32" s="6" t="s">
        <v>9</v>
      </c>
      <c r="P32" s="6">
        <v>18</v>
      </c>
      <c r="Q32" s="6">
        <v>18</v>
      </c>
      <c r="R32" s="6">
        <v>31</v>
      </c>
      <c r="S32" s="6">
        <v>67</v>
      </c>
      <c r="T32" s="6" t="str">
        <f t="shared" si="2"/>
        <v>Tercera</v>
      </c>
    </row>
    <row r="33" spans="1:20">
      <c r="A33" s="7" t="s">
        <v>420</v>
      </c>
      <c r="B33" s="7" t="s">
        <v>483</v>
      </c>
      <c r="C33" s="8">
        <v>1</v>
      </c>
      <c r="D33" s="7" t="s">
        <v>420</v>
      </c>
      <c r="E33" s="7" t="s">
        <v>488</v>
      </c>
      <c r="F33">
        <v>1602</v>
      </c>
      <c r="G33" s="6">
        <v>949</v>
      </c>
      <c r="H33" s="11" t="s">
        <v>489</v>
      </c>
      <c r="I33" s="6">
        <v>60</v>
      </c>
      <c r="J33" s="6">
        <v>177</v>
      </c>
      <c r="K33" s="6">
        <v>477</v>
      </c>
      <c r="L33" s="6">
        <v>57</v>
      </c>
      <c r="M33" s="10">
        <f t="shared" si="0"/>
        <v>836.84210526315792</v>
      </c>
      <c r="N33" s="10">
        <f t="shared" si="1"/>
        <v>837</v>
      </c>
      <c r="O33" s="6" t="s">
        <v>21</v>
      </c>
      <c r="P33" s="6">
        <v>13</v>
      </c>
      <c r="Q33" s="6">
        <v>18</v>
      </c>
      <c r="R33" s="6">
        <v>26</v>
      </c>
      <c r="S33" s="6">
        <v>57</v>
      </c>
      <c r="T33" s="6" t="str">
        <f t="shared" si="2"/>
        <v>Tercera</v>
      </c>
    </row>
    <row r="34" spans="1:20">
      <c r="A34" s="7" t="s">
        <v>420</v>
      </c>
      <c r="B34" s="7" t="s">
        <v>483</v>
      </c>
      <c r="C34" s="8">
        <v>1</v>
      </c>
      <c r="D34" s="7" t="s">
        <v>420</v>
      </c>
      <c r="E34" s="7" t="s">
        <v>490</v>
      </c>
      <c r="F34">
        <v>1550</v>
      </c>
      <c r="G34" s="6">
        <v>4787</v>
      </c>
      <c r="H34" s="11" t="s">
        <v>491</v>
      </c>
      <c r="I34" s="6">
        <v>37</v>
      </c>
      <c r="J34" s="6">
        <v>154</v>
      </c>
      <c r="K34" s="6">
        <v>387</v>
      </c>
      <c r="L34" s="6">
        <v>52</v>
      </c>
      <c r="M34" s="10">
        <f t="shared" si="0"/>
        <v>744.23076923076928</v>
      </c>
      <c r="N34" s="10">
        <f t="shared" si="1"/>
        <v>745</v>
      </c>
      <c r="O34" s="6" t="s">
        <v>18</v>
      </c>
      <c r="P34" s="6">
        <v>6</v>
      </c>
      <c r="Q34" s="6">
        <v>12</v>
      </c>
      <c r="R34" s="6">
        <v>26</v>
      </c>
      <c r="S34" s="6">
        <v>44</v>
      </c>
      <c r="T34" s="6" t="str">
        <f t="shared" si="2"/>
        <v>Cuarta</v>
      </c>
    </row>
    <row r="35" spans="1:20">
      <c r="A35" s="7" t="s">
        <v>420</v>
      </c>
      <c r="B35" s="7" t="s">
        <v>483</v>
      </c>
      <c r="C35" s="8">
        <v>1</v>
      </c>
      <c r="D35" s="7" t="s">
        <v>420</v>
      </c>
      <c r="E35" s="7" t="s">
        <v>492</v>
      </c>
      <c r="F35">
        <v>1512</v>
      </c>
      <c r="G35" s="6">
        <v>26704</v>
      </c>
      <c r="H35" s="11" t="s">
        <v>493</v>
      </c>
      <c r="I35" s="6">
        <v>34</v>
      </c>
      <c r="J35" s="6">
        <v>18</v>
      </c>
      <c r="K35" s="6">
        <v>55</v>
      </c>
      <c r="L35" s="6">
        <v>67</v>
      </c>
      <c r="M35" s="10">
        <f t="shared" si="0"/>
        <v>82.089552238805965</v>
      </c>
      <c r="N35" s="10">
        <f t="shared" si="1"/>
        <v>83</v>
      </c>
      <c r="O35" s="6" t="s">
        <v>9</v>
      </c>
      <c r="P35" s="6">
        <v>4</v>
      </c>
      <c r="Q35" s="6">
        <v>2</v>
      </c>
      <c r="R35" s="6">
        <v>2</v>
      </c>
      <c r="S35" s="6">
        <v>8</v>
      </c>
      <c r="T35" s="6" t="str">
        <f t="shared" si="2"/>
        <v>Cuarta</v>
      </c>
    </row>
    <row r="36" spans="1:20">
      <c r="A36" s="7" t="s">
        <v>420</v>
      </c>
      <c r="B36" s="7" t="s">
        <v>483</v>
      </c>
      <c r="C36" s="8">
        <v>1</v>
      </c>
      <c r="D36" s="7" t="s">
        <v>420</v>
      </c>
      <c r="E36" s="7" t="s">
        <v>494</v>
      </c>
      <c r="F36">
        <v>1550</v>
      </c>
      <c r="G36" s="6">
        <v>24582</v>
      </c>
      <c r="H36" s="11" t="s">
        <v>495</v>
      </c>
      <c r="I36" s="6">
        <v>21</v>
      </c>
      <c r="J36" s="6">
        <v>15</v>
      </c>
      <c r="K36" s="6">
        <v>44</v>
      </c>
      <c r="L36" s="6">
        <v>63</v>
      </c>
      <c r="M36" s="10">
        <f t="shared" si="0"/>
        <v>69.841269841269835</v>
      </c>
      <c r="N36" s="10">
        <f t="shared" si="1"/>
        <v>70</v>
      </c>
      <c r="O36" s="6" t="s">
        <v>20</v>
      </c>
      <c r="P36" s="6">
        <v>2</v>
      </c>
      <c r="Q36" s="6">
        <v>3</v>
      </c>
      <c r="R36" s="6">
        <v>1</v>
      </c>
      <c r="S36" s="6">
        <v>6</v>
      </c>
      <c r="T36" s="6" t="str">
        <f t="shared" si="2"/>
        <v>Cuarta</v>
      </c>
    </row>
    <row r="37" spans="1:20">
      <c r="A37" s="7" t="s">
        <v>420</v>
      </c>
      <c r="B37" s="7" t="s">
        <v>496</v>
      </c>
      <c r="C37" s="8">
        <v>1</v>
      </c>
      <c r="D37" s="7" t="s">
        <v>420</v>
      </c>
      <c r="E37" s="7" t="s">
        <v>492</v>
      </c>
      <c r="F37">
        <v>1512</v>
      </c>
      <c r="G37" s="6">
        <v>26704</v>
      </c>
      <c r="H37" s="11" t="s">
        <v>493</v>
      </c>
      <c r="I37" s="6">
        <v>34</v>
      </c>
      <c r="J37" s="6">
        <v>18</v>
      </c>
      <c r="K37" s="6">
        <v>55</v>
      </c>
      <c r="L37" s="6">
        <v>67</v>
      </c>
      <c r="M37" s="10">
        <f t="shared" si="0"/>
        <v>82.089552238805965</v>
      </c>
      <c r="N37" s="10">
        <f t="shared" si="1"/>
        <v>83</v>
      </c>
      <c r="O37" s="6" t="s">
        <v>9</v>
      </c>
      <c r="P37" s="6">
        <v>4</v>
      </c>
      <c r="Q37" s="6">
        <v>2</v>
      </c>
      <c r="R37" s="6">
        <v>2</v>
      </c>
      <c r="S37" s="6">
        <v>8</v>
      </c>
      <c r="T37" s="6" t="str">
        <f t="shared" si="2"/>
        <v>Cuarta</v>
      </c>
    </row>
    <row r="38" spans="1:20">
      <c r="A38" s="7" t="s">
        <v>420</v>
      </c>
      <c r="B38" s="7" t="s">
        <v>496</v>
      </c>
      <c r="C38" s="8">
        <v>1</v>
      </c>
      <c r="D38" s="7" t="s">
        <v>420</v>
      </c>
      <c r="E38" s="7" t="s">
        <v>497</v>
      </c>
      <c r="F38">
        <v>1427</v>
      </c>
      <c r="G38" s="6">
        <v>15966</v>
      </c>
      <c r="H38" s="11" t="s">
        <v>498</v>
      </c>
      <c r="I38" s="6">
        <v>50</v>
      </c>
      <c r="J38" s="6">
        <v>267</v>
      </c>
      <c r="K38" s="6">
        <v>641</v>
      </c>
      <c r="L38" s="6">
        <v>43</v>
      </c>
      <c r="M38" s="10">
        <f t="shared" si="0"/>
        <v>1490.6976744186047</v>
      </c>
      <c r="N38" s="10">
        <f t="shared" si="1"/>
        <v>1491</v>
      </c>
      <c r="O38" s="6" t="s">
        <v>13</v>
      </c>
      <c r="P38" s="6">
        <v>12</v>
      </c>
      <c r="Q38" s="6">
        <v>23</v>
      </c>
      <c r="R38" s="6">
        <v>39</v>
      </c>
      <c r="S38" s="6">
        <v>74</v>
      </c>
      <c r="T38" s="6" t="str">
        <f t="shared" si="2"/>
        <v>Cuarta</v>
      </c>
    </row>
    <row r="39" spans="1:20">
      <c r="A39" s="7" t="s">
        <v>420</v>
      </c>
      <c r="B39" s="7" t="s">
        <v>496</v>
      </c>
      <c r="C39" s="8">
        <v>1</v>
      </c>
      <c r="D39" s="7" t="s">
        <v>420</v>
      </c>
      <c r="E39" s="7" t="s">
        <v>499</v>
      </c>
      <c r="F39">
        <v>1477</v>
      </c>
      <c r="G39" s="6">
        <v>22944</v>
      </c>
      <c r="H39" s="11" t="s">
        <v>500</v>
      </c>
      <c r="I39" s="6">
        <v>33</v>
      </c>
      <c r="J39" s="6">
        <v>79</v>
      </c>
      <c r="K39" s="6">
        <v>205</v>
      </c>
      <c r="L39" s="6">
        <v>46</v>
      </c>
      <c r="M39" s="10">
        <f t="shared" si="0"/>
        <v>445.6521739130435</v>
      </c>
      <c r="N39" s="10">
        <f t="shared" si="1"/>
        <v>446</v>
      </c>
      <c r="O39" s="6" t="s">
        <v>20</v>
      </c>
      <c r="P39" s="6">
        <v>6</v>
      </c>
      <c r="Q39" s="6">
        <v>6</v>
      </c>
      <c r="R39" s="6">
        <v>9</v>
      </c>
      <c r="S39" s="6">
        <v>21</v>
      </c>
      <c r="T39" s="6" t="str">
        <f t="shared" si="2"/>
        <v>Cuarta</v>
      </c>
    </row>
    <row r="40" spans="1:20">
      <c r="A40" s="7" t="s">
        <v>420</v>
      </c>
      <c r="B40" s="7" t="s">
        <v>496</v>
      </c>
      <c r="C40" s="8">
        <v>1</v>
      </c>
      <c r="D40" s="7" t="s">
        <v>420</v>
      </c>
      <c r="E40" s="7" t="s">
        <v>501</v>
      </c>
      <c r="F40">
        <v>1252</v>
      </c>
      <c r="G40" s="6">
        <v>16684</v>
      </c>
      <c r="H40" s="11" t="s">
        <v>502</v>
      </c>
      <c r="I40" s="6">
        <v>62</v>
      </c>
      <c r="J40" s="6">
        <v>40</v>
      </c>
      <c r="K40" s="6">
        <v>22</v>
      </c>
      <c r="L40" s="6">
        <v>14</v>
      </c>
      <c r="M40" s="10">
        <f t="shared" si="0"/>
        <v>157.14285714285714</v>
      </c>
      <c r="N40" s="10">
        <f t="shared" si="1"/>
        <v>158</v>
      </c>
      <c r="O40" s="6" t="s">
        <v>22</v>
      </c>
      <c r="P40" s="6">
        <v>0</v>
      </c>
      <c r="Q40" s="6">
        <v>1</v>
      </c>
      <c r="R40" s="6">
        <v>0</v>
      </c>
      <c r="S40" s="6">
        <v>1</v>
      </c>
      <c r="T40" s="6" t="str">
        <f t="shared" si="2"/>
        <v>Quinta</v>
      </c>
    </row>
    <row r="41" spans="1:20">
      <c r="A41" s="7" t="s">
        <v>420</v>
      </c>
      <c r="B41" s="7" t="s">
        <v>496</v>
      </c>
      <c r="C41" s="8">
        <v>1</v>
      </c>
      <c r="D41" s="7" t="s">
        <v>420</v>
      </c>
      <c r="E41" s="7" t="s">
        <v>503</v>
      </c>
      <c r="F41">
        <v>1326</v>
      </c>
      <c r="G41" s="6">
        <v>22438</v>
      </c>
      <c r="H41" s="11" t="s">
        <v>504</v>
      </c>
      <c r="I41" s="6">
        <v>29</v>
      </c>
      <c r="J41" s="6">
        <v>12</v>
      </c>
      <c r="K41" s="6">
        <v>31</v>
      </c>
      <c r="L41" s="6">
        <v>54</v>
      </c>
      <c r="M41" s="10">
        <f t="shared" si="0"/>
        <v>57.407407407407405</v>
      </c>
      <c r="N41" s="10">
        <f t="shared" si="1"/>
        <v>58</v>
      </c>
      <c r="O41" s="6" t="s">
        <v>20</v>
      </c>
      <c r="P41" s="6">
        <v>3</v>
      </c>
      <c r="Q41" s="6">
        <v>0</v>
      </c>
      <c r="R41" s="6">
        <v>0</v>
      </c>
      <c r="S41" s="6">
        <v>3</v>
      </c>
      <c r="T41" s="6" t="str">
        <f t="shared" si="2"/>
        <v>Quinta</v>
      </c>
    </row>
    <row r="42" spans="1:20">
      <c r="A42" s="7" t="s">
        <v>420</v>
      </c>
      <c r="B42" s="7" t="s">
        <v>496</v>
      </c>
      <c r="C42" s="8">
        <v>1</v>
      </c>
      <c r="D42" s="7" t="s">
        <v>420</v>
      </c>
      <c r="E42" s="7" t="s">
        <v>505</v>
      </c>
      <c r="F42">
        <v>1426</v>
      </c>
      <c r="G42" s="6">
        <v>22461</v>
      </c>
      <c r="H42" s="11" t="s">
        <v>506</v>
      </c>
      <c r="I42" s="6">
        <v>13</v>
      </c>
      <c r="J42" s="6">
        <v>43</v>
      </c>
      <c r="K42" s="6">
        <v>87</v>
      </c>
      <c r="L42" s="6">
        <v>47</v>
      </c>
      <c r="M42" s="10">
        <f t="shared" si="0"/>
        <v>185.10638297872342</v>
      </c>
      <c r="N42" s="10">
        <f t="shared" si="1"/>
        <v>186</v>
      </c>
      <c r="O42" s="6" t="s">
        <v>19</v>
      </c>
      <c r="P42" s="6">
        <v>1</v>
      </c>
      <c r="Q42" s="6">
        <v>2</v>
      </c>
      <c r="R42" s="6">
        <v>7</v>
      </c>
      <c r="S42" s="6">
        <v>10</v>
      </c>
      <c r="T42" s="6" t="str">
        <f t="shared" si="2"/>
        <v>Cuarta</v>
      </c>
    </row>
    <row r="43" spans="1:20">
      <c r="A43" s="7" t="s">
        <v>420</v>
      </c>
      <c r="B43" s="7" t="s">
        <v>507</v>
      </c>
      <c r="C43" s="8">
        <v>1</v>
      </c>
      <c r="D43" s="7" t="s">
        <v>435</v>
      </c>
      <c r="E43" s="7" t="s">
        <v>508</v>
      </c>
      <c r="F43">
        <v>1225</v>
      </c>
      <c r="G43" s="6">
        <v>17783</v>
      </c>
      <c r="H43" s="11" t="s">
        <v>509</v>
      </c>
      <c r="I43" s="6">
        <v>26</v>
      </c>
      <c r="J43" s="6">
        <v>14</v>
      </c>
      <c r="K43" s="6">
        <v>18</v>
      </c>
      <c r="L43" s="6">
        <v>26</v>
      </c>
      <c r="M43" s="10">
        <f t="shared" si="0"/>
        <v>69.230769230769226</v>
      </c>
      <c r="N43" s="10">
        <f t="shared" si="1"/>
        <v>70</v>
      </c>
      <c r="O43" s="6" t="s">
        <v>18</v>
      </c>
      <c r="P43" s="6">
        <v>0</v>
      </c>
      <c r="Q43" s="6">
        <v>0</v>
      </c>
      <c r="R43" s="6">
        <v>2</v>
      </c>
      <c r="S43" s="6">
        <v>2</v>
      </c>
      <c r="T43" s="6" t="str">
        <f t="shared" si="2"/>
        <v>Quinta</v>
      </c>
    </row>
    <row r="44" spans="1:20">
      <c r="A44" s="7" t="s">
        <v>420</v>
      </c>
      <c r="B44" s="7" t="s">
        <v>507</v>
      </c>
      <c r="C44" s="8">
        <v>1</v>
      </c>
      <c r="D44" s="7" t="s">
        <v>435</v>
      </c>
      <c r="E44" s="7" t="s">
        <v>501</v>
      </c>
      <c r="F44">
        <v>1252</v>
      </c>
      <c r="G44" s="6">
        <v>16684</v>
      </c>
      <c r="H44" s="11" t="s">
        <v>502</v>
      </c>
      <c r="I44" s="6">
        <v>62</v>
      </c>
      <c r="J44" s="6">
        <v>40</v>
      </c>
      <c r="K44" s="6">
        <v>22</v>
      </c>
      <c r="L44" s="6">
        <v>14</v>
      </c>
      <c r="M44" s="10">
        <f t="shared" si="0"/>
        <v>157.14285714285714</v>
      </c>
      <c r="N44" s="10">
        <f t="shared" si="1"/>
        <v>158</v>
      </c>
      <c r="O44" s="6" t="s">
        <v>22</v>
      </c>
      <c r="P44" s="6">
        <v>0</v>
      </c>
      <c r="Q44" s="6">
        <v>1</v>
      </c>
      <c r="R44" s="6">
        <v>0</v>
      </c>
      <c r="S44" s="6">
        <v>1</v>
      </c>
      <c r="T44" s="6" t="str">
        <f t="shared" si="2"/>
        <v>Quinta</v>
      </c>
    </row>
    <row r="45" spans="1:20">
      <c r="A45" s="7" t="s">
        <v>420</v>
      </c>
      <c r="B45" s="7" t="s">
        <v>507</v>
      </c>
      <c r="C45" s="8">
        <v>1</v>
      </c>
      <c r="D45" s="7" t="s">
        <v>435</v>
      </c>
      <c r="E45" s="7" t="s">
        <v>510</v>
      </c>
      <c r="F45">
        <v>1209</v>
      </c>
      <c r="G45" s="6">
        <v>6718</v>
      </c>
      <c r="H45" s="11" t="s">
        <v>511</v>
      </c>
      <c r="I45" s="6">
        <v>48</v>
      </c>
      <c r="J45" s="6">
        <v>21</v>
      </c>
      <c r="K45" s="6">
        <v>40</v>
      </c>
      <c r="L45" s="6">
        <v>47</v>
      </c>
      <c r="M45" s="10">
        <f t="shared" si="0"/>
        <v>85.106382978723403</v>
      </c>
      <c r="N45" s="10">
        <f t="shared" si="1"/>
        <v>86</v>
      </c>
      <c r="O45" s="6" t="s">
        <v>23</v>
      </c>
      <c r="P45" s="6">
        <v>1</v>
      </c>
      <c r="Q45" s="6">
        <v>0</v>
      </c>
      <c r="R45" s="6">
        <v>1</v>
      </c>
      <c r="S45" s="6">
        <v>2</v>
      </c>
      <c r="T45" s="6" t="str">
        <f t="shared" si="2"/>
        <v>Quinta</v>
      </c>
    </row>
    <row r="46" spans="1:20">
      <c r="A46" s="7" t="s">
        <v>420</v>
      </c>
      <c r="B46" s="7" t="s">
        <v>507</v>
      </c>
      <c r="C46" s="8">
        <v>1</v>
      </c>
      <c r="D46" s="7" t="s">
        <v>435</v>
      </c>
      <c r="E46" s="7" t="s">
        <v>512</v>
      </c>
      <c r="F46">
        <v>1209</v>
      </c>
      <c r="G46" s="6">
        <v>8904</v>
      </c>
      <c r="H46" s="11" t="s">
        <v>513</v>
      </c>
      <c r="I46" s="6">
        <v>52</v>
      </c>
      <c r="J46" s="6">
        <v>121</v>
      </c>
      <c r="K46" s="6">
        <v>202</v>
      </c>
      <c r="L46" s="6">
        <v>38</v>
      </c>
      <c r="M46" s="10">
        <f t="shared" si="0"/>
        <v>531.57894736842104</v>
      </c>
      <c r="N46" s="10">
        <f t="shared" si="1"/>
        <v>532</v>
      </c>
      <c r="O46" s="6" t="s">
        <v>20</v>
      </c>
      <c r="P46" s="6">
        <v>1</v>
      </c>
      <c r="Q46" s="6">
        <v>6</v>
      </c>
      <c r="R46" s="6">
        <v>11</v>
      </c>
      <c r="S46" s="6">
        <v>18</v>
      </c>
      <c r="T46" s="6" t="str">
        <f t="shared" si="2"/>
        <v>Quinta</v>
      </c>
    </row>
    <row r="47" spans="1:20">
      <c r="A47" s="7" t="s">
        <v>420</v>
      </c>
      <c r="B47" s="7" t="s">
        <v>507</v>
      </c>
      <c r="C47" s="8">
        <v>1</v>
      </c>
      <c r="D47" s="7" t="s">
        <v>435</v>
      </c>
      <c r="E47" s="7" t="s">
        <v>514</v>
      </c>
      <c r="F47">
        <v>1469</v>
      </c>
      <c r="G47" s="6">
        <v>8219</v>
      </c>
      <c r="H47" s="11" t="s">
        <v>515</v>
      </c>
      <c r="I47" s="6">
        <v>69</v>
      </c>
      <c r="J47" s="6">
        <v>1</v>
      </c>
      <c r="K47" s="6">
        <v>0</v>
      </c>
      <c r="L47" s="6">
        <v>0</v>
      </c>
      <c r="M47" s="10">
        <f t="shared" si="0"/>
        <v>0</v>
      </c>
      <c r="N47" s="10">
        <f t="shared" si="1"/>
        <v>0</v>
      </c>
      <c r="O47" s="6" t="s">
        <v>24</v>
      </c>
      <c r="P47" s="6">
        <v>0</v>
      </c>
      <c r="Q47" s="6">
        <v>0</v>
      </c>
      <c r="R47" s="6">
        <v>0</v>
      </c>
      <c r="S47" s="6">
        <v>0</v>
      </c>
      <c r="T47" s="6" t="str">
        <f t="shared" si="2"/>
        <v>Cuarta</v>
      </c>
    </row>
    <row r="48" spans="1:20">
      <c r="A48" s="7" t="s">
        <v>420</v>
      </c>
      <c r="B48" s="7" t="s">
        <v>507</v>
      </c>
      <c r="C48" s="8">
        <v>2</v>
      </c>
      <c r="D48" s="7" t="s">
        <v>442</v>
      </c>
      <c r="E48" s="7" t="s">
        <v>516</v>
      </c>
      <c r="F48">
        <v>1309</v>
      </c>
      <c r="G48" s="6">
        <v>7353</v>
      </c>
      <c r="H48" s="11" t="s">
        <v>517</v>
      </c>
      <c r="I48" s="6">
        <v>36</v>
      </c>
      <c r="J48" s="6">
        <v>34</v>
      </c>
      <c r="K48" s="6">
        <v>51</v>
      </c>
      <c r="L48" s="6">
        <v>39</v>
      </c>
      <c r="M48" s="10">
        <f t="shared" si="0"/>
        <v>130.76923076923077</v>
      </c>
      <c r="N48" s="10">
        <f t="shared" si="1"/>
        <v>131</v>
      </c>
      <c r="O48" s="6" t="s">
        <v>11</v>
      </c>
      <c r="P48" s="6">
        <v>4</v>
      </c>
      <c r="Q48" s="6">
        <v>0</v>
      </c>
      <c r="R48" s="6">
        <v>2</v>
      </c>
      <c r="S48" s="6">
        <v>6</v>
      </c>
      <c r="T48" s="6" t="str">
        <f t="shared" si="2"/>
        <v>Quinta</v>
      </c>
    </row>
    <row r="49" spans="1:20">
      <c r="A49" s="7" t="s">
        <v>420</v>
      </c>
      <c r="B49" s="7" t="s">
        <v>507</v>
      </c>
      <c r="C49" s="8">
        <v>2</v>
      </c>
      <c r="D49" s="7" t="s">
        <v>442</v>
      </c>
      <c r="E49" s="7" t="s">
        <v>518</v>
      </c>
      <c r="F49">
        <v>1293</v>
      </c>
      <c r="G49" s="6">
        <v>16126</v>
      </c>
      <c r="H49" s="11" t="s">
        <v>519</v>
      </c>
      <c r="I49" s="6">
        <v>39</v>
      </c>
      <c r="J49" s="6">
        <v>10</v>
      </c>
      <c r="K49" s="6">
        <v>22</v>
      </c>
      <c r="L49" s="6">
        <v>55</v>
      </c>
      <c r="M49" s="10">
        <f t="shared" si="0"/>
        <v>40</v>
      </c>
      <c r="N49" s="10">
        <f t="shared" si="1"/>
        <v>40</v>
      </c>
      <c r="O49" s="6" t="s">
        <v>25</v>
      </c>
      <c r="P49" s="6">
        <v>0</v>
      </c>
      <c r="Q49" s="6">
        <v>0</v>
      </c>
      <c r="R49" s="6">
        <v>2</v>
      </c>
      <c r="S49" s="6">
        <v>2</v>
      </c>
      <c r="T49" s="6" t="str">
        <f t="shared" si="2"/>
        <v>Quinta</v>
      </c>
    </row>
    <row r="50" spans="1:20">
      <c r="A50" s="7" t="s">
        <v>420</v>
      </c>
      <c r="B50" s="7" t="s">
        <v>507</v>
      </c>
      <c r="C50" s="8">
        <v>2</v>
      </c>
      <c r="D50" s="7" t="s">
        <v>442</v>
      </c>
      <c r="E50" s="7" t="s">
        <v>520</v>
      </c>
      <c r="F50">
        <v>1299</v>
      </c>
      <c r="G50" s="6">
        <v>20041</v>
      </c>
      <c r="H50" s="11" t="s">
        <v>521</v>
      </c>
      <c r="I50" s="6">
        <v>33</v>
      </c>
      <c r="J50" s="6">
        <v>55</v>
      </c>
      <c r="K50" s="6">
        <v>118</v>
      </c>
      <c r="L50" s="6">
        <v>53</v>
      </c>
      <c r="M50" s="10">
        <f t="shared" si="0"/>
        <v>222.64150943396226</v>
      </c>
      <c r="N50" s="10">
        <f t="shared" si="1"/>
        <v>223</v>
      </c>
      <c r="O50" s="6" t="s">
        <v>26</v>
      </c>
      <c r="P50" s="6">
        <v>2</v>
      </c>
      <c r="Q50" s="6">
        <v>6</v>
      </c>
      <c r="R50" s="6">
        <v>10</v>
      </c>
      <c r="S50" s="6">
        <v>18</v>
      </c>
      <c r="T50" s="6" t="str">
        <f t="shared" si="2"/>
        <v>Quinta</v>
      </c>
    </row>
    <row r="51" spans="1:20">
      <c r="A51" s="7" t="s">
        <v>420</v>
      </c>
      <c r="B51" s="7" t="s">
        <v>507</v>
      </c>
      <c r="C51" s="8">
        <v>2</v>
      </c>
      <c r="D51" s="7" t="s">
        <v>442</v>
      </c>
      <c r="E51" s="7" t="s">
        <v>522</v>
      </c>
      <c r="F51">
        <v>1099</v>
      </c>
      <c r="G51" s="6">
        <v>17898</v>
      </c>
      <c r="H51" s="11" t="s">
        <v>523</v>
      </c>
      <c r="I51" s="6">
        <v>53</v>
      </c>
      <c r="J51" s="6">
        <v>34</v>
      </c>
      <c r="K51" s="6">
        <v>45</v>
      </c>
      <c r="L51" s="6">
        <v>34</v>
      </c>
      <c r="M51" s="10">
        <f t="shared" si="0"/>
        <v>132.35294117647058</v>
      </c>
      <c r="N51" s="10">
        <f t="shared" si="1"/>
        <v>133</v>
      </c>
      <c r="O51" s="6" t="s">
        <v>70</v>
      </c>
      <c r="P51" s="6">
        <v>0</v>
      </c>
      <c r="Q51" s="6">
        <v>1</v>
      </c>
      <c r="R51" s="6">
        <v>2</v>
      </c>
      <c r="S51" s="6">
        <v>3</v>
      </c>
      <c r="T51" s="6" t="str">
        <f t="shared" si="2"/>
        <v>Sexta</v>
      </c>
    </row>
    <row r="52" spans="1:20">
      <c r="A52" s="7" t="s">
        <v>420</v>
      </c>
      <c r="B52" s="7" t="s">
        <v>507</v>
      </c>
      <c r="C52" s="8">
        <v>2</v>
      </c>
      <c r="D52" s="7" t="s">
        <v>442</v>
      </c>
      <c r="E52" s="7" t="s">
        <v>524</v>
      </c>
      <c r="F52">
        <v>1137</v>
      </c>
      <c r="G52" s="6">
        <v>26491</v>
      </c>
      <c r="H52" s="11" t="s">
        <v>525</v>
      </c>
      <c r="I52" s="6">
        <v>37</v>
      </c>
      <c r="J52" s="6">
        <v>32</v>
      </c>
      <c r="K52" s="6">
        <v>91</v>
      </c>
      <c r="L52" s="6">
        <v>52</v>
      </c>
      <c r="M52" s="10">
        <f t="shared" si="0"/>
        <v>175</v>
      </c>
      <c r="N52" s="10">
        <f t="shared" si="1"/>
        <v>175</v>
      </c>
      <c r="O52" s="6" t="s">
        <v>20</v>
      </c>
      <c r="P52" s="6">
        <v>4</v>
      </c>
      <c r="Q52" s="6">
        <v>4</v>
      </c>
      <c r="R52" s="6">
        <v>6</v>
      </c>
      <c r="S52" s="6">
        <v>14</v>
      </c>
      <c r="T52" s="6" t="str">
        <f t="shared" si="2"/>
        <v>Sexta</v>
      </c>
    </row>
    <row r="53" spans="1:20">
      <c r="A53" s="7" t="s">
        <v>420</v>
      </c>
      <c r="B53" s="7" t="s">
        <v>526</v>
      </c>
      <c r="C53" s="8">
        <v>1</v>
      </c>
      <c r="D53" s="7" t="s">
        <v>435</v>
      </c>
      <c r="E53" s="7" t="s">
        <v>527</v>
      </c>
      <c r="F53">
        <v>1106</v>
      </c>
      <c r="G53" s="6">
        <v>18033</v>
      </c>
      <c r="H53" s="11" t="s">
        <v>528</v>
      </c>
      <c r="I53" s="6">
        <v>17</v>
      </c>
      <c r="J53" s="6">
        <v>15</v>
      </c>
      <c r="K53" s="6">
        <v>27</v>
      </c>
      <c r="L53" s="6">
        <v>42</v>
      </c>
      <c r="M53" s="10">
        <f t="shared" si="0"/>
        <v>64.285714285714292</v>
      </c>
      <c r="N53" s="10">
        <f t="shared" si="1"/>
        <v>65</v>
      </c>
      <c r="O53" s="6" t="s">
        <v>27</v>
      </c>
      <c r="P53" s="6">
        <v>1</v>
      </c>
      <c r="Q53" s="6">
        <v>1</v>
      </c>
      <c r="R53" s="6">
        <v>2</v>
      </c>
      <c r="S53" s="6">
        <v>4</v>
      </c>
      <c r="T53" s="6" t="str">
        <f t="shared" si="2"/>
        <v>Sexta</v>
      </c>
    </row>
    <row r="54" spans="1:20">
      <c r="A54" s="7" t="s">
        <v>420</v>
      </c>
      <c r="B54" s="7" t="s">
        <v>526</v>
      </c>
      <c r="C54" s="8">
        <v>1</v>
      </c>
      <c r="D54" s="7" t="s">
        <v>435</v>
      </c>
      <c r="E54" s="7" t="s">
        <v>529</v>
      </c>
      <c r="F54">
        <v>1000</v>
      </c>
      <c r="G54" s="6">
        <v>28741</v>
      </c>
      <c r="H54" s="11" t="s">
        <v>530</v>
      </c>
      <c r="I54" s="6">
        <v>14</v>
      </c>
      <c r="J54" s="6">
        <v>0</v>
      </c>
      <c r="K54" s="6">
        <v>0</v>
      </c>
      <c r="L54" s="6">
        <v>0</v>
      </c>
      <c r="M54" s="10">
        <f t="shared" si="0"/>
        <v>0</v>
      </c>
      <c r="N54" s="10">
        <f t="shared" si="1"/>
        <v>0</v>
      </c>
      <c r="O54" s="6" t="s">
        <v>28</v>
      </c>
      <c r="P54" s="6">
        <v>0</v>
      </c>
      <c r="Q54" s="6">
        <v>0</v>
      </c>
      <c r="R54" s="6">
        <v>0</v>
      </c>
      <c r="S54" s="6">
        <v>0</v>
      </c>
      <c r="T54" s="6" t="str">
        <f t="shared" si="2"/>
        <v>Septima</v>
      </c>
    </row>
    <row r="55" spans="1:20">
      <c r="A55" s="7" t="s">
        <v>420</v>
      </c>
      <c r="B55" s="7" t="s">
        <v>526</v>
      </c>
      <c r="C55" s="8">
        <v>1</v>
      </c>
      <c r="D55" s="7" t="s">
        <v>435</v>
      </c>
      <c r="E55" s="7" t="s">
        <v>531</v>
      </c>
      <c r="F55">
        <v>1152</v>
      </c>
      <c r="G55" s="6">
        <v>18034</v>
      </c>
      <c r="H55" s="11" t="s">
        <v>532</v>
      </c>
      <c r="I55" s="6">
        <v>15</v>
      </c>
      <c r="J55" s="6">
        <v>18</v>
      </c>
      <c r="K55" s="6">
        <v>48</v>
      </c>
      <c r="L55" s="6">
        <v>56</v>
      </c>
      <c r="M55" s="10">
        <f t="shared" si="0"/>
        <v>85.714285714285708</v>
      </c>
      <c r="N55" s="10">
        <f t="shared" si="1"/>
        <v>86</v>
      </c>
      <c r="O55" s="6" t="s">
        <v>27</v>
      </c>
      <c r="P55" s="6">
        <v>1</v>
      </c>
      <c r="Q55" s="6">
        <v>2</v>
      </c>
      <c r="R55" s="6">
        <v>5</v>
      </c>
      <c r="S55" s="6">
        <v>8</v>
      </c>
      <c r="T55" s="6" t="str">
        <f t="shared" si="2"/>
        <v>Sexta</v>
      </c>
    </row>
    <row r="56" spans="1:20">
      <c r="A56" s="7" t="s">
        <v>420</v>
      </c>
      <c r="B56" s="7" t="s">
        <v>526</v>
      </c>
      <c r="C56" s="8">
        <v>1</v>
      </c>
      <c r="D56" s="7" t="s">
        <v>435</v>
      </c>
      <c r="E56" s="7" t="s">
        <v>524</v>
      </c>
      <c r="F56">
        <v>1137</v>
      </c>
      <c r="G56" s="6">
        <v>26491</v>
      </c>
      <c r="H56" s="11" t="s">
        <v>525</v>
      </c>
      <c r="I56" s="6">
        <v>37</v>
      </c>
      <c r="J56" s="6">
        <v>32</v>
      </c>
      <c r="K56" s="6">
        <v>91</v>
      </c>
      <c r="L56" s="6">
        <v>52</v>
      </c>
      <c r="M56" s="10">
        <f t="shared" si="0"/>
        <v>175</v>
      </c>
      <c r="N56" s="10">
        <f t="shared" si="1"/>
        <v>175</v>
      </c>
      <c r="O56" s="6" t="s">
        <v>20</v>
      </c>
      <c r="P56" s="6">
        <v>4</v>
      </c>
      <c r="Q56" s="6">
        <v>4</v>
      </c>
      <c r="R56" s="6">
        <v>6</v>
      </c>
      <c r="S56" s="6">
        <v>14</v>
      </c>
      <c r="T56" s="6" t="str">
        <f t="shared" si="2"/>
        <v>Sexta</v>
      </c>
    </row>
    <row r="57" spans="1:20">
      <c r="A57" s="7" t="s">
        <v>420</v>
      </c>
      <c r="B57" s="7" t="s">
        <v>526</v>
      </c>
      <c r="C57" s="8">
        <v>1</v>
      </c>
      <c r="D57" s="7" t="s">
        <v>435</v>
      </c>
      <c r="E57" s="7" t="s">
        <v>533</v>
      </c>
      <c r="F57">
        <v>967</v>
      </c>
      <c r="G57" s="6">
        <v>27656</v>
      </c>
      <c r="H57" s="11" t="s">
        <v>534</v>
      </c>
      <c r="I57" s="6">
        <v>14</v>
      </c>
      <c r="J57" s="6">
        <v>21</v>
      </c>
      <c r="K57" s="6">
        <v>20</v>
      </c>
      <c r="L57" s="6">
        <v>25</v>
      </c>
      <c r="M57" s="10">
        <f t="shared" si="0"/>
        <v>80</v>
      </c>
      <c r="N57" s="10">
        <f t="shared" si="1"/>
        <v>80</v>
      </c>
      <c r="O57" s="6" t="s">
        <v>12</v>
      </c>
      <c r="P57" s="6">
        <v>0</v>
      </c>
      <c r="Q57" s="6">
        <v>0</v>
      </c>
      <c r="R57" s="6">
        <v>1</v>
      </c>
      <c r="S57" s="6">
        <v>1</v>
      </c>
      <c r="T57" s="6" t="str">
        <f t="shared" si="2"/>
        <v>Octava</v>
      </c>
    </row>
    <row r="58" spans="1:20">
      <c r="A58" s="7" t="s">
        <v>420</v>
      </c>
      <c r="B58" s="7" t="s">
        <v>526</v>
      </c>
      <c r="C58" s="8">
        <v>2</v>
      </c>
      <c r="D58" s="7" t="s">
        <v>442</v>
      </c>
      <c r="E58" s="7" t="s">
        <v>535</v>
      </c>
      <c r="F58">
        <v>1159</v>
      </c>
      <c r="G58" s="6">
        <v>29199</v>
      </c>
      <c r="H58" s="11" t="s">
        <v>536</v>
      </c>
      <c r="I58" s="6">
        <v>41</v>
      </c>
      <c r="J58" s="6">
        <v>1</v>
      </c>
      <c r="K58" s="6">
        <v>6</v>
      </c>
      <c r="L58" s="6">
        <v>100</v>
      </c>
      <c r="M58" s="10">
        <f t="shared" si="0"/>
        <v>6</v>
      </c>
      <c r="N58" s="10">
        <f t="shared" si="1"/>
        <v>6</v>
      </c>
      <c r="O58" s="6" t="s">
        <v>29</v>
      </c>
      <c r="P58" s="6">
        <v>1</v>
      </c>
      <c r="Q58" s="6">
        <v>0</v>
      </c>
      <c r="R58" s="6">
        <v>0</v>
      </c>
      <c r="S58" s="6">
        <v>1</v>
      </c>
      <c r="T58" s="6" t="str">
        <f t="shared" si="2"/>
        <v>Sexta</v>
      </c>
    </row>
    <row r="59" spans="1:20">
      <c r="A59" s="7" t="s">
        <v>420</v>
      </c>
      <c r="B59" s="7" t="s">
        <v>526</v>
      </c>
      <c r="C59" s="8">
        <v>2</v>
      </c>
      <c r="D59" s="7" t="s">
        <v>442</v>
      </c>
      <c r="E59" s="7" t="s">
        <v>537</v>
      </c>
      <c r="F59">
        <v>1000</v>
      </c>
      <c r="G59" s="6">
        <v>4631</v>
      </c>
      <c r="H59" s="11" t="s">
        <v>538</v>
      </c>
      <c r="I59" s="6">
        <v>43</v>
      </c>
      <c r="J59" s="6">
        <v>0</v>
      </c>
      <c r="K59" s="6">
        <v>0</v>
      </c>
      <c r="L59" s="6">
        <v>0</v>
      </c>
      <c r="M59" s="10">
        <f t="shared" si="0"/>
        <v>0</v>
      </c>
      <c r="N59" s="10">
        <f t="shared" si="1"/>
        <v>0</v>
      </c>
      <c r="P59" s="6">
        <v>0</v>
      </c>
      <c r="Q59" s="6">
        <v>0</v>
      </c>
      <c r="R59" s="6">
        <v>0</v>
      </c>
      <c r="S59" s="6">
        <v>0</v>
      </c>
      <c r="T59" s="6" t="str">
        <f t="shared" si="2"/>
        <v>Septima</v>
      </c>
    </row>
    <row r="60" spans="1:20">
      <c r="A60" s="7" t="s">
        <v>420</v>
      </c>
      <c r="B60" s="7" t="s">
        <v>526</v>
      </c>
      <c r="C60" s="8">
        <v>2</v>
      </c>
      <c r="D60" s="7" t="s">
        <v>442</v>
      </c>
      <c r="E60" s="7" t="s">
        <v>539</v>
      </c>
      <c r="F60">
        <v>0</v>
      </c>
      <c r="G60" s="6">
        <v>28588</v>
      </c>
      <c r="H60" s="11" t="s">
        <v>540</v>
      </c>
      <c r="I60" s="6">
        <v>27</v>
      </c>
      <c r="M60" s="10">
        <f t="shared" si="0"/>
        <v>0</v>
      </c>
      <c r="N60" s="10">
        <f t="shared" si="1"/>
        <v>0</v>
      </c>
      <c r="P60" s="6">
        <v>0</v>
      </c>
      <c r="Q60" s="6">
        <v>0</v>
      </c>
      <c r="R60" s="6">
        <v>0</v>
      </c>
      <c r="S60" s="6">
        <v>0</v>
      </c>
      <c r="T60" s="6" t="str">
        <f t="shared" si="2"/>
        <v>Octava</v>
      </c>
    </row>
    <row r="61" spans="1:20">
      <c r="A61" s="7" t="s">
        <v>420</v>
      </c>
      <c r="B61" s="7" t="s">
        <v>526</v>
      </c>
      <c r="C61" s="8">
        <v>2</v>
      </c>
      <c r="D61" s="7" t="s">
        <v>442</v>
      </c>
      <c r="E61" s="7" t="s">
        <v>541</v>
      </c>
      <c r="F61">
        <v>1018</v>
      </c>
      <c r="G61" s="6">
        <v>29118</v>
      </c>
      <c r="H61" s="11" t="s">
        <v>542</v>
      </c>
      <c r="I61" s="6">
        <v>33</v>
      </c>
      <c r="J61" s="6">
        <v>6</v>
      </c>
      <c r="K61" s="6">
        <v>14</v>
      </c>
      <c r="L61" s="6">
        <v>44</v>
      </c>
      <c r="M61" s="10">
        <f t="shared" si="0"/>
        <v>31.818181818181817</v>
      </c>
      <c r="N61" s="10">
        <f t="shared" si="1"/>
        <v>32</v>
      </c>
      <c r="O61" s="6" t="s">
        <v>27</v>
      </c>
      <c r="P61" s="6">
        <v>0</v>
      </c>
      <c r="Q61" s="6">
        <v>0</v>
      </c>
      <c r="R61" s="6">
        <v>3</v>
      </c>
      <c r="S61" s="6">
        <v>3</v>
      </c>
      <c r="T61" s="6" t="str">
        <f t="shared" si="2"/>
        <v>Septima</v>
      </c>
    </row>
    <row r="62" spans="1:20">
      <c r="A62" s="7" t="s">
        <v>420</v>
      </c>
      <c r="B62" s="7" t="s">
        <v>526</v>
      </c>
      <c r="C62" s="8">
        <v>2</v>
      </c>
      <c r="D62" s="7" t="s">
        <v>442</v>
      </c>
      <c r="E62" s="7" t="s">
        <v>543</v>
      </c>
      <c r="F62">
        <v>873</v>
      </c>
      <c r="G62" s="6">
        <v>27905</v>
      </c>
      <c r="H62" s="11" t="s">
        <v>544</v>
      </c>
      <c r="I62" s="6">
        <v>32</v>
      </c>
      <c r="J62" s="6">
        <v>9</v>
      </c>
      <c r="K62" s="6">
        <v>6</v>
      </c>
      <c r="L62" s="6">
        <v>17</v>
      </c>
      <c r="M62" s="10">
        <f t="shared" si="0"/>
        <v>35.294117647058826</v>
      </c>
      <c r="N62" s="10">
        <f t="shared" si="1"/>
        <v>36</v>
      </c>
      <c r="O62" s="6" t="s">
        <v>20</v>
      </c>
      <c r="P62" s="6">
        <v>0</v>
      </c>
      <c r="Q62" s="6">
        <v>0</v>
      </c>
      <c r="R62" s="6">
        <v>0</v>
      </c>
      <c r="S62" s="6">
        <v>0</v>
      </c>
      <c r="T62" s="6" t="str">
        <f t="shared" si="2"/>
        <v>Octava</v>
      </c>
    </row>
    <row r="63" spans="1:20">
      <c r="A63" s="7" t="s">
        <v>545</v>
      </c>
      <c r="B63" s="7" t="s">
        <v>468</v>
      </c>
      <c r="C63" s="8">
        <v>1</v>
      </c>
      <c r="D63" s="7" t="s">
        <v>545</v>
      </c>
      <c r="E63" s="7" t="s">
        <v>546</v>
      </c>
      <c r="F63">
        <v>1664</v>
      </c>
      <c r="G63" s="6">
        <v>9834</v>
      </c>
      <c r="H63" s="11" t="s">
        <v>547</v>
      </c>
      <c r="I63" s="6">
        <v>47</v>
      </c>
      <c r="J63" s="6">
        <v>73</v>
      </c>
      <c r="K63" s="6">
        <v>171</v>
      </c>
      <c r="L63" s="6">
        <v>55</v>
      </c>
      <c r="M63" s="10">
        <f t="shared" si="0"/>
        <v>310.90909090909093</v>
      </c>
      <c r="N63" s="10">
        <f t="shared" si="1"/>
        <v>311</v>
      </c>
      <c r="O63" s="6" t="s">
        <v>30</v>
      </c>
      <c r="P63" s="6">
        <v>4</v>
      </c>
      <c r="Q63" s="6">
        <v>1</v>
      </c>
      <c r="R63" s="6">
        <v>10</v>
      </c>
      <c r="S63" s="6">
        <v>15</v>
      </c>
      <c r="T63" s="6" t="str">
        <f t="shared" si="2"/>
        <v>Tercera</v>
      </c>
    </row>
    <row r="64" spans="1:20">
      <c r="A64" s="7" t="s">
        <v>545</v>
      </c>
      <c r="B64" s="7" t="s">
        <v>468</v>
      </c>
      <c r="C64" s="8">
        <v>1</v>
      </c>
      <c r="D64" s="7" t="s">
        <v>545</v>
      </c>
      <c r="E64" s="7" t="s">
        <v>548</v>
      </c>
      <c r="F64">
        <v>1538</v>
      </c>
      <c r="G64" s="6">
        <v>25702</v>
      </c>
      <c r="H64" s="11" t="s">
        <v>549</v>
      </c>
      <c r="I64" s="6">
        <v>13</v>
      </c>
      <c r="J64" s="6">
        <v>15</v>
      </c>
      <c r="K64" s="6">
        <v>66</v>
      </c>
      <c r="L64" s="6">
        <v>70</v>
      </c>
      <c r="M64" s="10">
        <f t="shared" si="0"/>
        <v>94.285714285714292</v>
      </c>
      <c r="N64" s="10">
        <f t="shared" si="1"/>
        <v>95</v>
      </c>
      <c r="O64" s="6" t="s">
        <v>31</v>
      </c>
      <c r="P64" s="6">
        <v>4</v>
      </c>
      <c r="Q64" s="6">
        <v>1</v>
      </c>
      <c r="R64" s="6">
        <v>4</v>
      </c>
      <c r="S64" s="6">
        <v>9</v>
      </c>
      <c r="T64" s="6" t="str">
        <f t="shared" si="2"/>
        <v>Cuarta</v>
      </c>
    </row>
    <row r="65" spans="1:20">
      <c r="A65" s="7" t="s">
        <v>545</v>
      </c>
      <c r="B65" s="7" t="s">
        <v>468</v>
      </c>
      <c r="C65" s="8">
        <v>1</v>
      </c>
      <c r="D65" s="7" t="s">
        <v>545</v>
      </c>
      <c r="E65" s="7" t="s">
        <v>550</v>
      </c>
      <c r="F65">
        <v>1633</v>
      </c>
      <c r="G65" s="6">
        <v>1487</v>
      </c>
      <c r="H65" s="11" t="s">
        <v>551</v>
      </c>
      <c r="I65" s="6">
        <v>32</v>
      </c>
      <c r="J65" s="6">
        <v>2</v>
      </c>
      <c r="K65" s="6">
        <v>10</v>
      </c>
      <c r="L65" s="6">
        <v>56</v>
      </c>
      <c r="M65" s="10">
        <f t="shared" si="0"/>
        <v>17.857142857142858</v>
      </c>
      <c r="N65" s="10">
        <f t="shared" si="1"/>
        <v>18</v>
      </c>
      <c r="O65" s="6" t="s">
        <v>32</v>
      </c>
      <c r="P65" s="6">
        <v>0</v>
      </c>
      <c r="Q65" s="6">
        <v>0</v>
      </c>
      <c r="R65" s="6">
        <v>1</v>
      </c>
      <c r="S65" s="6">
        <v>1</v>
      </c>
      <c r="T65" s="6" t="str">
        <f t="shared" si="2"/>
        <v>Tercera</v>
      </c>
    </row>
    <row r="66" spans="1:20">
      <c r="A66" s="7" t="s">
        <v>545</v>
      </c>
      <c r="B66" s="7" t="s">
        <v>468</v>
      </c>
      <c r="C66" s="8">
        <v>1</v>
      </c>
      <c r="D66" s="7" t="s">
        <v>545</v>
      </c>
      <c r="E66" s="7" t="s">
        <v>552</v>
      </c>
      <c r="F66">
        <v>1485</v>
      </c>
      <c r="G66" s="6">
        <v>24412</v>
      </c>
      <c r="H66" s="11" t="s">
        <v>553</v>
      </c>
      <c r="I66" s="6">
        <v>59</v>
      </c>
      <c r="J66" s="6">
        <v>3</v>
      </c>
      <c r="K66" s="6">
        <v>12</v>
      </c>
      <c r="L66" s="6">
        <v>63</v>
      </c>
      <c r="M66" s="10">
        <f t="shared" si="0"/>
        <v>19.047619047619047</v>
      </c>
      <c r="N66" s="10">
        <f t="shared" si="1"/>
        <v>20</v>
      </c>
      <c r="O66" s="6" t="s">
        <v>33</v>
      </c>
      <c r="P66" s="6">
        <v>0</v>
      </c>
      <c r="Q66" s="6">
        <v>2</v>
      </c>
      <c r="R66" s="6">
        <v>1</v>
      </c>
      <c r="S66" s="6">
        <v>3</v>
      </c>
      <c r="T66" s="6" t="str">
        <f t="shared" si="2"/>
        <v>Cuarta</v>
      </c>
    </row>
    <row r="67" spans="1:20">
      <c r="A67" s="7" t="s">
        <v>545</v>
      </c>
      <c r="B67" s="7" t="s">
        <v>468</v>
      </c>
      <c r="C67" s="8">
        <v>1</v>
      </c>
      <c r="D67" s="7" t="s">
        <v>545</v>
      </c>
      <c r="E67" s="7" t="s">
        <v>554</v>
      </c>
      <c r="F67">
        <v>1534</v>
      </c>
      <c r="G67" s="6">
        <v>14293</v>
      </c>
      <c r="H67" s="11" t="s">
        <v>555</v>
      </c>
      <c r="I67" s="6">
        <v>57</v>
      </c>
      <c r="J67" s="6">
        <v>12</v>
      </c>
      <c r="K67" s="6">
        <v>37</v>
      </c>
      <c r="L67" s="6">
        <v>69</v>
      </c>
      <c r="M67" s="10">
        <f t="shared" ref="M67:M130" si="3">IF(K67+L67=0,0,(100*K67/L67))</f>
        <v>53.623188405797102</v>
      </c>
      <c r="N67" s="10">
        <f t="shared" ref="N67:N130" si="4">ROUNDUP(M67,0)</f>
        <v>54</v>
      </c>
      <c r="O67" s="6" t="s">
        <v>34</v>
      </c>
      <c r="P67" s="6">
        <v>2</v>
      </c>
      <c r="Q67" s="6">
        <v>2</v>
      </c>
      <c r="R67" s="6">
        <v>0</v>
      </c>
      <c r="S67" s="6">
        <v>4</v>
      </c>
      <c r="T67" s="6" t="str">
        <f t="shared" ref="T67:T130" si="5">IF(F67&gt;2100,"Primera",
IF(F67&gt;=1800,"Segunda",
IF(F67&gt;=1600,"Tercera",
IF(F67&gt;=1400,"Cuarta",
IF(F67&gt;=1200,"Quinta",
IF(F67&gt;=1080,"Sexta",
IF(F67&gt;=980,"Septima",
"Octava")))))))</f>
        <v>Cuarta</v>
      </c>
    </row>
    <row r="68" spans="1:20">
      <c r="A68" s="7" t="s">
        <v>545</v>
      </c>
      <c r="B68" s="7" t="s">
        <v>468</v>
      </c>
      <c r="C68" s="8">
        <v>1</v>
      </c>
      <c r="D68" s="7" t="s">
        <v>545</v>
      </c>
      <c r="E68" s="7" t="s">
        <v>556</v>
      </c>
      <c r="F68">
        <v>1596</v>
      </c>
      <c r="G68" s="6">
        <v>9148</v>
      </c>
      <c r="H68" s="11" t="s">
        <v>557</v>
      </c>
      <c r="I68" s="6">
        <v>57</v>
      </c>
      <c r="J68" s="6">
        <v>27</v>
      </c>
      <c r="K68" s="6">
        <v>56</v>
      </c>
      <c r="L68" s="6">
        <v>50</v>
      </c>
      <c r="M68" s="10">
        <f t="shared" si="3"/>
        <v>112</v>
      </c>
      <c r="N68" s="10">
        <f t="shared" si="4"/>
        <v>112</v>
      </c>
      <c r="O68" s="6" t="s">
        <v>35</v>
      </c>
      <c r="P68" s="6">
        <v>1</v>
      </c>
      <c r="Q68" s="6">
        <v>0</v>
      </c>
      <c r="R68" s="6">
        <v>2</v>
      </c>
      <c r="S68" s="6">
        <v>3</v>
      </c>
      <c r="T68" s="6" t="str">
        <f t="shared" si="5"/>
        <v>Cuarta</v>
      </c>
    </row>
    <row r="69" spans="1:20">
      <c r="A69" s="7" t="s">
        <v>545</v>
      </c>
      <c r="B69" s="7" t="s">
        <v>468</v>
      </c>
      <c r="C69" s="8">
        <v>1</v>
      </c>
      <c r="D69" s="7" t="s">
        <v>545</v>
      </c>
      <c r="E69" s="7" t="s">
        <v>558</v>
      </c>
      <c r="F69">
        <v>1387</v>
      </c>
      <c r="G69" s="6">
        <v>20584</v>
      </c>
      <c r="H69" s="11" t="s">
        <v>559</v>
      </c>
      <c r="I69" s="6">
        <v>35</v>
      </c>
      <c r="J69" s="6">
        <v>155</v>
      </c>
      <c r="K69" s="6">
        <v>368</v>
      </c>
      <c r="L69" s="6">
        <v>57</v>
      </c>
      <c r="M69" s="10">
        <f t="shared" si="3"/>
        <v>645.61403508771934</v>
      </c>
      <c r="N69" s="10">
        <f t="shared" si="4"/>
        <v>646</v>
      </c>
      <c r="O69" s="6" t="s">
        <v>36</v>
      </c>
      <c r="P69" s="6">
        <v>10</v>
      </c>
      <c r="Q69" s="6">
        <v>12</v>
      </c>
      <c r="R69" s="6">
        <v>24</v>
      </c>
      <c r="S69" s="6">
        <v>46</v>
      </c>
      <c r="T69" s="6" t="str">
        <f t="shared" si="5"/>
        <v>Quinta</v>
      </c>
    </row>
    <row r="70" spans="1:20">
      <c r="A70" s="7" t="s">
        <v>545</v>
      </c>
      <c r="B70" s="7" t="s">
        <v>496</v>
      </c>
      <c r="C70" s="8">
        <v>1</v>
      </c>
      <c r="D70" s="7" t="s">
        <v>545</v>
      </c>
      <c r="E70" s="7" t="s">
        <v>552</v>
      </c>
      <c r="F70">
        <v>1485</v>
      </c>
      <c r="G70" s="6">
        <v>24412</v>
      </c>
      <c r="H70" s="11" t="s">
        <v>553</v>
      </c>
      <c r="I70" s="6">
        <v>59</v>
      </c>
      <c r="J70" s="6">
        <v>3</v>
      </c>
      <c r="K70" s="6">
        <v>12</v>
      </c>
      <c r="L70" s="6">
        <v>63</v>
      </c>
      <c r="M70" s="10">
        <f t="shared" si="3"/>
        <v>19.047619047619047</v>
      </c>
      <c r="N70" s="10">
        <f t="shared" si="4"/>
        <v>20</v>
      </c>
      <c r="O70" s="6" t="s">
        <v>33</v>
      </c>
      <c r="P70" s="6">
        <v>0</v>
      </c>
      <c r="Q70" s="6">
        <v>2</v>
      </c>
      <c r="R70" s="6">
        <v>1</v>
      </c>
      <c r="S70" s="6">
        <v>3</v>
      </c>
      <c r="T70" s="6" t="str">
        <f t="shared" si="5"/>
        <v>Cuarta</v>
      </c>
    </row>
    <row r="71" spans="1:20">
      <c r="A71" s="7" t="s">
        <v>545</v>
      </c>
      <c r="B71" s="7" t="s">
        <v>496</v>
      </c>
      <c r="C71" s="8">
        <v>1</v>
      </c>
      <c r="D71" s="7" t="s">
        <v>545</v>
      </c>
      <c r="E71" s="7" t="s">
        <v>554</v>
      </c>
      <c r="F71">
        <v>1534</v>
      </c>
      <c r="G71" s="6">
        <v>14293</v>
      </c>
      <c r="H71" s="11" t="s">
        <v>555</v>
      </c>
      <c r="I71" s="6">
        <v>57</v>
      </c>
      <c r="J71" s="6">
        <v>12</v>
      </c>
      <c r="K71" s="6">
        <v>37</v>
      </c>
      <c r="L71" s="6">
        <v>69</v>
      </c>
      <c r="M71" s="10">
        <f t="shared" si="3"/>
        <v>53.623188405797102</v>
      </c>
      <c r="N71" s="10">
        <f t="shared" si="4"/>
        <v>54</v>
      </c>
      <c r="O71" s="6" t="s">
        <v>34</v>
      </c>
      <c r="P71" s="6">
        <v>2</v>
      </c>
      <c r="Q71" s="6">
        <v>2</v>
      </c>
      <c r="R71" s="6">
        <v>0</v>
      </c>
      <c r="S71" s="6">
        <v>4</v>
      </c>
      <c r="T71" s="6" t="str">
        <f t="shared" si="5"/>
        <v>Cuarta</v>
      </c>
    </row>
    <row r="72" spans="1:20">
      <c r="A72" s="7" t="s">
        <v>545</v>
      </c>
      <c r="B72" s="7" t="s">
        <v>496</v>
      </c>
      <c r="C72" s="8">
        <v>1</v>
      </c>
      <c r="D72" s="7" t="s">
        <v>545</v>
      </c>
      <c r="E72" s="7" t="s">
        <v>556</v>
      </c>
      <c r="F72">
        <v>1596</v>
      </c>
      <c r="G72" s="6">
        <v>9148</v>
      </c>
      <c r="H72" s="11" t="s">
        <v>557</v>
      </c>
      <c r="I72" s="6">
        <v>57</v>
      </c>
      <c r="J72" s="6">
        <v>27</v>
      </c>
      <c r="K72" s="6">
        <v>56</v>
      </c>
      <c r="L72" s="6">
        <v>50</v>
      </c>
      <c r="M72" s="10">
        <f t="shared" si="3"/>
        <v>112</v>
      </c>
      <c r="N72" s="10">
        <f t="shared" si="4"/>
        <v>112</v>
      </c>
      <c r="O72" s="6" t="s">
        <v>35</v>
      </c>
      <c r="P72" s="6">
        <v>1</v>
      </c>
      <c r="Q72" s="6">
        <v>0</v>
      </c>
      <c r="R72" s="6">
        <v>2</v>
      </c>
      <c r="S72" s="6">
        <v>3</v>
      </c>
      <c r="T72" s="6" t="str">
        <f t="shared" si="5"/>
        <v>Cuarta</v>
      </c>
    </row>
    <row r="73" spans="1:20">
      <c r="A73" s="7" t="s">
        <v>545</v>
      </c>
      <c r="B73" s="7" t="s">
        <v>496</v>
      </c>
      <c r="C73" s="8">
        <v>1</v>
      </c>
      <c r="D73" s="7" t="s">
        <v>545</v>
      </c>
      <c r="E73" s="7" t="s">
        <v>558</v>
      </c>
      <c r="F73">
        <v>1387</v>
      </c>
      <c r="G73" s="6">
        <v>20584</v>
      </c>
      <c r="H73" s="11" t="s">
        <v>559</v>
      </c>
      <c r="I73" s="6">
        <v>35</v>
      </c>
      <c r="J73" s="6">
        <v>155</v>
      </c>
      <c r="K73" s="6">
        <v>368</v>
      </c>
      <c r="L73" s="6">
        <v>57</v>
      </c>
      <c r="M73" s="10">
        <f t="shared" si="3"/>
        <v>645.61403508771934</v>
      </c>
      <c r="N73" s="10">
        <f t="shared" si="4"/>
        <v>646</v>
      </c>
      <c r="O73" s="6" t="s">
        <v>36</v>
      </c>
      <c r="P73" s="6">
        <v>10</v>
      </c>
      <c r="Q73" s="6">
        <v>12</v>
      </c>
      <c r="R73" s="6">
        <v>24</v>
      </c>
      <c r="S73" s="6">
        <v>46</v>
      </c>
      <c r="T73" s="6" t="str">
        <f t="shared" si="5"/>
        <v>Quinta</v>
      </c>
    </row>
    <row r="74" spans="1:20">
      <c r="A74" s="7" t="s">
        <v>545</v>
      </c>
      <c r="B74" s="7" t="s">
        <v>496</v>
      </c>
      <c r="C74" s="8">
        <v>1</v>
      </c>
      <c r="D74" s="7" t="s">
        <v>545</v>
      </c>
      <c r="E74" s="7" t="s">
        <v>560</v>
      </c>
      <c r="F74">
        <v>1307</v>
      </c>
      <c r="G74" s="6">
        <v>17483</v>
      </c>
      <c r="H74" s="11" t="s">
        <v>561</v>
      </c>
      <c r="I74" s="6">
        <v>33</v>
      </c>
      <c r="J74" s="6">
        <v>34</v>
      </c>
      <c r="K74" s="6">
        <v>83</v>
      </c>
      <c r="L74" s="6">
        <v>52</v>
      </c>
      <c r="M74" s="10">
        <f t="shared" si="3"/>
        <v>159.61538461538461</v>
      </c>
      <c r="N74" s="10">
        <f t="shared" si="4"/>
        <v>160</v>
      </c>
      <c r="O74" s="6" t="s">
        <v>37</v>
      </c>
      <c r="P74" s="6">
        <v>1</v>
      </c>
      <c r="Q74" s="6">
        <v>0</v>
      </c>
      <c r="R74" s="6">
        <v>7</v>
      </c>
      <c r="S74" s="6">
        <v>8</v>
      </c>
      <c r="T74" s="6" t="str">
        <f t="shared" si="5"/>
        <v>Quinta</v>
      </c>
    </row>
    <row r="75" spans="1:20">
      <c r="A75" s="7" t="s">
        <v>545</v>
      </c>
      <c r="B75" s="7" t="s">
        <v>496</v>
      </c>
      <c r="C75" s="8">
        <v>1</v>
      </c>
      <c r="D75" s="7" t="s">
        <v>545</v>
      </c>
      <c r="E75" s="7" t="s">
        <v>562</v>
      </c>
      <c r="F75">
        <v>1342</v>
      </c>
      <c r="G75" s="6">
        <v>22749</v>
      </c>
      <c r="H75" s="11" t="s">
        <v>563</v>
      </c>
      <c r="I75" s="6">
        <v>35</v>
      </c>
      <c r="J75" s="6">
        <v>16</v>
      </c>
      <c r="K75" s="6">
        <v>38</v>
      </c>
      <c r="L75" s="6">
        <v>60</v>
      </c>
      <c r="M75" s="10">
        <f t="shared" si="3"/>
        <v>63.333333333333336</v>
      </c>
      <c r="N75" s="10">
        <f t="shared" si="4"/>
        <v>64</v>
      </c>
      <c r="O75" s="6" t="s">
        <v>37</v>
      </c>
      <c r="P75" s="6">
        <v>0</v>
      </c>
      <c r="Q75" s="6">
        <v>0</v>
      </c>
      <c r="R75" s="6">
        <v>3</v>
      </c>
      <c r="S75" s="6">
        <v>3</v>
      </c>
      <c r="T75" s="6" t="str">
        <f t="shared" si="5"/>
        <v>Quinta</v>
      </c>
    </row>
    <row r="76" spans="1:20">
      <c r="A76" s="7" t="s">
        <v>545</v>
      </c>
      <c r="B76" s="7" t="s">
        <v>496</v>
      </c>
      <c r="C76" s="8">
        <v>1</v>
      </c>
      <c r="D76" s="7" t="s">
        <v>545</v>
      </c>
      <c r="E76" s="7" t="s">
        <v>564</v>
      </c>
      <c r="F76">
        <v>1162</v>
      </c>
      <c r="G76" s="6">
        <v>28010</v>
      </c>
      <c r="H76" s="11" t="s">
        <v>565</v>
      </c>
      <c r="I76" s="6">
        <v>39</v>
      </c>
      <c r="J76" s="6">
        <v>2</v>
      </c>
      <c r="K76" s="6">
        <v>2</v>
      </c>
      <c r="L76" s="6">
        <v>29</v>
      </c>
      <c r="M76" s="10">
        <f t="shared" si="3"/>
        <v>6.8965517241379306</v>
      </c>
      <c r="N76" s="10">
        <f t="shared" si="4"/>
        <v>7</v>
      </c>
      <c r="O76" s="6" t="s">
        <v>38</v>
      </c>
      <c r="P76" s="6">
        <v>0</v>
      </c>
      <c r="Q76" s="6">
        <v>0</v>
      </c>
      <c r="R76" s="6">
        <v>0</v>
      </c>
      <c r="S76" s="6">
        <v>0</v>
      </c>
      <c r="T76" s="6" t="str">
        <f t="shared" si="5"/>
        <v>Sexta</v>
      </c>
    </row>
    <row r="77" spans="1:20">
      <c r="A77" s="7" t="s">
        <v>545</v>
      </c>
      <c r="B77" s="7" t="s">
        <v>496</v>
      </c>
      <c r="C77" s="8">
        <v>1</v>
      </c>
      <c r="D77" s="7" t="s">
        <v>545</v>
      </c>
      <c r="E77" s="7" t="s">
        <v>566</v>
      </c>
      <c r="F77">
        <v>1297</v>
      </c>
      <c r="G77" s="6">
        <v>7218</v>
      </c>
      <c r="H77" s="11" t="s">
        <v>567</v>
      </c>
      <c r="I77" s="6">
        <v>52</v>
      </c>
      <c r="J77" s="6">
        <v>56</v>
      </c>
      <c r="K77" s="6">
        <v>99</v>
      </c>
      <c r="L77" s="6">
        <v>46</v>
      </c>
      <c r="M77" s="10">
        <f t="shared" si="3"/>
        <v>215.21739130434781</v>
      </c>
      <c r="N77" s="10">
        <f t="shared" si="4"/>
        <v>216</v>
      </c>
      <c r="O77" s="6" t="s">
        <v>39</v>
      </c>
      <c r="P77" s="6">
        <v>4</v>
      </c>
      <c r="Q77" s="6">
        <v>1</v>
      </c>
      <c r="R77" s="6">
        <v>2</v>
      </c>
      <c r="S77" s="6">
        <v>7</v>
      </c>
      <c r="T77" s="6" t="str">
        <f t="shared" si="5"/>
        <v>Quinta</v>
      </c>
    </row>
    <row r="78" spans="1:20">
      <c r="A78" s="7" t="s">
        <v>568</v>
      </c>
      <c r="B78" s="7" t="s">
        <v>434</v>
      </c>
      <c r="C78" s="8">
        <v>1</v>
      </c>
      <c r="D78" s="7" t="s">
        <v>568</v>
      </c>
      <c r="E78" s="7" t="s">
        <v>569</v>
      </c>
      <c r="F78">
        <v>2099</v>
      </c>
      <c r="G78" s="6">
        <v>15337</v>
      </c>
      <c r="H78" s="11" t="s">
        <v>570</v>
      </c>
      <c r="I78" s="6">
        <v>21</v>
      </c>
      <c r="J78" s="6">
        <v>40</v>
      </c>
      <c r="K78" s="6">
        <v>141</v>
      </c>
      <c r="L78" s="6">
        <v>70</v>
      </c>
      <c r="M78" s="10">
        <f t="shared" si="3"/>
        <v>201.42857142857142</v>
      </c>
      <c r="N78" s="10">
        <f t="shared" si="4"/>
        <v>202</v>
      </c>
      <c r="O78" s="6" t="s">
        <v>19</v>
      </c>
      <c r="P78" s="6">
        <v>10</v>
      </c>
      <c r="Q78" s="6">
        <v>3</v>
      </c>
      <c r="R78" s="6">
        <v>6</v>
      </c>
      <c r="S78" s="6">
        <v>19</v>
      </c>
      <c r="T78" s="6" t="str">
        <f t="shared" si="5"/>
        <v>Segunda</v>
      </c>
    </row>
    <row r="79" spans="1:20">
      <c r="A79" s="7" t="s">
        <v>568</v>
      </c>
      <c r="B79" s="7" t="s">
        <v>434</v>
      </c>
      <c r="C79" s="8">
        <v>1</v>
      </c>
      <c r="D79" s="7" t="s">
        <v>568</v>
      </c>
      <c r="E79" s="7" t="s">
        <v>571</v>
      </c>
      <c r="F79">
        <v>2014</v>
      </c>
      <c r="G79" s="6">
        <v>27440</v>
      </c>
      <c r="H79" s="11" t="s">
        <v>572</v>
      </c>
      <c r="I79" s="6">
        <v>21</v>
      </c>
      <c r="J79" s="6">
        <v>14</v>
      </c>
      <c r="K79" s="6">
        <v>45</v>
      </c>
      <c r="L79" s="6">
        <v>56</v>
      </c>
      <c r="M79" s="10">
        <f t="shared" si="3"/>
        <v>80.357142857142861</v>
      </c>
      <c r="N79" s="10">
        <f t="shared" si="4"/>
        <v>81</v>
      </c>
      <c r="O79" s="6" t="s">
        <v>19</v>
      </c>
      <c r="P79" s="6">
        <v>3</v>
      </c>
      <c r="Q79" s="6">
        <v>0</v>
      </c>
      <c r="R79" s="6">
        <v>2</v>
      </c>
      <c r="S79" s="6">
        <v>5</v>
      </c>
      <c r="T79" s="6" t="str">
        <f t="shared" si="5"/>
        <v>Segunda</v>
      </c>
    </row>
    <row r="80" spans="1:20">
      <c r="A80" s="7" t="s">
        <v>568</v>
      </c>
      <c r="B80" s="7" t="s">
        <v>434</v>
      </c>
      <c r="C80" s="8">
        <v>1</v>
      </c>
      <c r="D80" s="7" t="s">
        <v>568</v>
      </c>
      <c r="E80" s="7" t="s">
        <v>573</v>
      </c>
      <c r="F80">
        <v>1919</v>
      </c>
      <c r="G80" s="6">
        <v>11707</v>
      </c>
      <c r="H80" s="11" t="s">
        <v>574</v>
      </c>
      <c r="I80" s="6">
        <v>27</v>
      </c>
      <c r="J80" s="6">
        <v>65</v>
      </c>
      <c r="K80" s="6">
        <v>203</v>
      </c>
      <c r="L80" s="6">
        <v>59</v>
      </c>
      <c r="M80" s="10">
        <f t="shared" si="3"/>
        <v>344.06779661016947</v>
      </c>
      <c r="N80" s="10">
        <f t="shared" si="4"/>
        <v>345</v>
      </c>
      <c r="O80" s="6" t="s">
        <v>27</v>
      </c>
      <c r="P80" s="6">
        <v>8</v>
      </c>
      <c r="Q80" s="6">
        <v>4</v>
      </c>
      <c r="R80" s="6">
        <v>10</v>
      </c>
      <c r="S80" s="6">
        <v>22</v>
      </c>
      <c r="T80" s="6" t="str">
        <f t="shared" si="5"/>
        <v>Segunda</v>
      </c>
    </row>
    <row r="81" spans="1:20">
      <c r="A81" s="7" t="s">
        <v>568</v>
      </c>
      <c r="B81" s="7" t="s">
        <v>434</v>
      </c>
      <c r="C81" s="8">
        <v>1</v>
      </c>
      <c r="D81" s="7" t="s">
        <v>568</v>
      </c>
      <c r="E81" s="7" t="s">
        <v>575</v>
      </c>
      <c r="F81">
        <v>1912</v>
      </c>
      <c r="G81" s="6">
        <v>21173</v>
      </c>
      <c r="H81" s="11" t="s">
        <v>576</v>
      </c>
      <c r="I81" s="6">
        <v>27</v>
      </c>
      <c r="J81" s="6">
        <v>81</v>
      </c>
      <c r="K81" s="6">
        <v>247</v>
      </c>
      <c r="L81" s="6">
        <v>51</v>
      </c>
      <c r="M81" s="10">
        <f t="shared" si="3"/>
        <v>484.31372549019608</v>
      </c>
      <c r="N81" s="10">
        <f t="shared" si="4"/>
        <v>485</v>
      </c>
      <c r="O81" s="6" t="s">
        <v>12</v>
      </c>
      <c r="P81" s="6">
        <v>5</v>
      </c>
      <c r="Q81" s="6">
        <v>6</v>
      </c>
      <c r="R81" s="6">
        <v>11</v>
      </c>
      <c r="S81" s="6">
        <v>22</v>
      </c>
      <c r="T81" s="6" t="str">
        <f t="shared" si="5"/>
        <v>Segunda</v>
      </c>
    </row>
    <row r="82" spans="1:20">
      <c r="A82" s="7" t="s">
        <v>568</v>
      </c>
      <c r="B82" s="7" t="s">
        <v>434</v>
      </c>
      <c r="C82" s="8">
        <v>1</v>
      </c>
      <c r="D82" s="7" t="s">
        <v>568</v>
      </c>
      <c r="E82" s="7" t="s">
        <v>577</v>
      </c>
      <c r="F82">
        <v>1857</v>
      </c>
      <c r="G82" s="6">
        <v>26986</v>
      </c>
      <c r="H82" s="11" t="s">
        <v>578</v>
      </c>
      <c r="I82" s="6">
        <v>39</v>
      </c>
      <c r="J82" s="6">
        <v>2</v>
      </c>
      <c r="K82" s="6">
        <v>4</v>
      </c>
      <c r="L82" s="6">
        <v>50</v>
      </c>
      <c r="M82" s="10">
        <f t="shared" si="3"/>
        <v>8</v>
      </c>
      <c r="N82" s="10">
        <f t="shared" si="4"/>
        <v>8</v>
      </c>
      <c r="O82" s="6" t="s">
        <v>40</v>
      </c>
      <c r="P82" s="6">
        <v>0</v>
      </c>
      <c r="Q82" s="6">
        <v>0</v>
      </c>
      <c r="R82" s="6">
        <v>1</v>
      </c>
      <c r="S82" s="6">
        <v>1</v>
      </c>
      <c r="T82" s="6" t="str">
        <f t="shared" si="5"/>
        <v>Segunda</v>
      </c>
    </row>
    <row r="83" spans="1:20">
      <c r="A83" s="7" t="s">
        <v>568</v>
      </c>
      <c r="B83" s="7" t="s">
        <v>451</v>
      </c>
      <c r="C83" s="8">
        <v>1</v>
      </c>
      <c r="D83" s="7" t="s">
        <v>568</v>
      </c>
      <c r="E83" s="7" t="s">
        <v>571</v>
      </c>
      <c r="F83">
        <v>2014</v>
      </c>
      <c r="G83" s="6">
        <v>27440</v>
      </c>
      <c r="H83" s="11" t="s">
        <v>572</v>
      </c>
      <c r="I83" s="6">
        <v>21</v>
      </c>
      <c r="J83" s="6">
        <v>14</v>
      </c>
      <c r="K83" s="6">
        <v>45</v>
      </c>
      <c r="L83" s="6">
        <v>56</v>
      </c>
      <c r="M83" s="10">
        <f t="shared" si="3"/>
        <v>80.357142857142861</v>
      </c>
      <c r="N83" s="10">
        <f t="shared" si="4"/>
        <v>81</v>
      </c>
      <c r="O83" s="6" t="s">
        <v>19</v>
      </c>
      <c r="P83" s="6">
        <v>3</v>
      </c>
      <c r="Q83" s="6">
        <v>0</v>
      </c>
      <c r="R83" s="6">
        <v>2</v>
      </c>
      <c r="S83" s="6">
        <v>5</v>
      </c>
      <c r="T83" s="6" t="str">
        <f t="shared" si="5"/>
        <v>Segunda</v>
      </c>
    </row>
    <row r="84" spans="1:20">
      <c r="A84" s="7" t="s">
        <v>568</v>
      </c>
      <c r="B84" s="7" t="s">
        <v>451</v>
      </c>
      <c r="C84" s="8">
        <v>1</v>
      </c>
      <c r="D84" s="7" t="s">
        <v>568</v>
      </c>
      <c r="E84" s="7" t="s">
        <v>573</v>
      </c>
      <c r="F84">
        <v>1919</v>
      </c>
      <c r="G84" s="6">
        <v>11707</v>
      </c>
      <c r="H84" s="11" t="s">
        <v>574</v>
      </c>
      <c r="I84" s="6">
        <v>27</v>
      </c>
      <c r="J84" s="6">
        <v>65</v>
      </c>
      <c r="K84" s="6">
        <v>203</v>
      </c>
      <c r="L84" s="6">
        <v>59</v>
      </c>
      <c r="M84" s="10">
        <f t="shared" si="3"/>
        <v>344.06779661016947</v>
      </c>
      <c r="N84" s="10">
        <f t="shared" si="4"/>
        <v>345</v>
      </c>
      <c r="O84" s="6" t="s">
        <v>27</v>
      </c>
      <c r="P84" s="6">
        <v>8</v>
      </c>
      <c r="Q84" s="6">
        <v>4</v>
      </c>
      <c r="R84" s="6">
        <v>10</v>
      </c>
      <c r="S84" s="6">
        <v>22</v>
      </c>
      <c r="T84" s="6" t="str">
        <f t="shared" si="5"/>
        <v>Segunda</v>
      </c>
    </row>
    <row r="85" spans="1:20">
      <c r="A85" s="7" t="s">
        <v>568</v>
      </c>
      <c r="B85" s="7" t="s">
        <v>451</v>
      </c>
      <c r="C85" s="8">
        <v>1</v>
      </c>
      <c r="D85" s="7" t="s">
        <v>568</v>
      </c>
      <c r="E85" s="7" t="s">
        <v>579</v>
      </c>
      <c r="F85">
        <v>1953</v>
      </c>
      <c r="G85" s="6">
        <v>27412</v>
      </c>
      <c r="H85" s="11" t="s">
        <v>580</v>
      </c>
      <c r="I85" s="6">
        <v>25</v>
      </c>
      <c r="J85" s="6">
        <v>1</v>
      </c>
      <c r="K85" s="6">
        <v>6</v>
      </c>
      <c r="L85" s="6">
        <v>86</v>
      </c>
      <c r="M85" s="10">
        <f t="shared" si="3"/>
        <v>6.9767441860465116</v>
      </c>
      <c r="N85" s="10">
        <f t="shared" si="4"/>
        <v>7</v>
      </c>
      <c r="O85" s="6" t="s">
        <v>41</v>
      </c>
      <c r="P85" s="6">
        <v>1</v>
      </c>
      <c r="Q85" s="6">
        <v>0</v>
      </c>
      <c r="R85" s="6">
        <v>0</v>
      </c>
      <c r="S85" s="6">
        <v>1</v>
      </c>
      <c r="T85" s="6" t="str">
        <f t="shared" si="5"/>
        <v>Segunda</v>
      </c>
    </row>
    <row r="86" spans="1:20">
      <c r="A86" s="7" t="s">
        <v>568</v>
      </c>
      <c r="B86" s="7" t="s">
        <v>451</v>
      </c>
      <c r="C86" s="8">
        <v>1</v>
      </c>
      <c r="D86" s="7" t="s">
        <v>568</v>
      </c>
      <c r="E86" s="7" t="s">
        <v>581</v>
      </c>
      <c r="F86">
        <v>1867</v>
      </c>
      <c r="G86" s="6">
        <v>11773</v>
      </c>
      <c r="H86" s="11" t="s">
        <v>582</v>
      </c>
      <c r="I86" s="6">
        <v>27</v>
      </c>
      <c r="J86" s="6">
        <v>27</v>
      </c>
      <c r="K86" s="6">
        <v>94</v>
      </c>
      <c r="L86" s="6">
        <v>62</v>
      </c>
      <c r="M86" s="10">
        <f t="shared" si="3"/>
        <v>151.61290322580646</v>
      </c>
      <c r="N86" s="10">
        <f t="shared" si="4"/>
        <v>152</v>
      </c>
      <c r="O86" s="6" t="s">
        <v>33</v>
      </c>
      <c r="P86" s="6">
        <v>5</v>
      </c>
      <c r="Q86" s="6">
        <v>3</v>
      </c>
      <c r="R86" s="6">
        <v>5</v>
      </c>
      <c r="S86" s="6">
        <v>13</v>
      </c>
      <c r="T86" s="6" t="str">
        <f t="shared" si="5"/>
        <v>Segunda</v>
      </c>
    </row>
    <row r="87" spans="1:20">
      <c r="A87" s="7" t="s">
        <v>568</v>
      </c>
      <c r="B87" s="7" t="s">
        <v>451</v>
      </c>
      <c r="C87" s="8">
        <v>1</v>
      </c>
      <c r="D87" s="7" t="s">
        <v>568</v>
      </c>
      <c r="E87" s="7" t="s">
        <v>575</v>
      </c>
      <c r="F87">
        <v>1912</v>
      </c>
      <c r="G87" s="6">
        <v>21173</v>
      </c>
      <c r="H87" s="11" t="s">
        <v>576</v>
      </c>
      <c r="I87" s="6">
        <v>27</v>
      </c>
      <c r="J87" s="6">
        <v>81</v>
      </c>
      <c r="K87" s="6">
        <v>247</v>
      </c>
      <c r="L87" s="6">
        <v>51</v>
      </c>
      <c r="M87" s="10">
        <f t="shared" si="3"/>
        <v>484.31372549019608</v>
      </c>
      <c r="N87" s="10">
        <f t="shared" si="4"/>
        <v>485</v>
      </c>
      <c r="O87" s="6" t="s">
        <v>12</v>
      </c>
      <c r="P87" s="6">
        <v>5</v>
      </c>
      <c r="Q87" s="6">
        <v>6</v>
      </c>
      <c r="R87" s="6">
        <v>11</v>
      </c>
      <c r="S87" s="6">
        <v>22</v>
      </c>
      <c r="T87" s="6" t="str">
        <f t="shared" si="5"/>
        <v>Segunda</v>
      </c>
    </row>
    <row r="88" spans="1:20">
      <c r="A88" s="7" t="s">
        <v>568</v>
      </c>
      <c r="B88" s="7" t="s">
        <v>451</v>
      </c>
      <c r="C88" s="8">
        <v>1</v>
      </c>
      <c r="D88" s="7" t="s">
        <v>568</v>
      </c>
      <c r="E88" s="7" t="s">
        <v>583</v>
      </c>
      <c r="F88">
        <v>1900</v>
      </c>
      <c r="G88" s="6">
        <v>2106</v>
      </c>
      <c r="H88" s="11" t="s">
        <v>584</v>
      </c>
      <c r="I88" s="6">
        <v>42</v>
      </c>
      <c r="J88" s="6">
        <v>6</v>
      </c>
      <c r="K88" s="6">
        <v>25</v>
      </c>
      <c r="L88" s="6">
        <v>71</v>
      </c>
      <c r="M88" s="10">
        <f t="shared" si="3"/>
        <v>35.2112676056338</v>
      </c>
      <c r="N88" s="10">
        <f t="shared" si="4"/>
        <v>36</v>
      </c>
      <c r="O88" s="6" t="s">
        <v>42</v>
      </c>
      <c r="P88" s="6">
        <v>3</v>
      </c>
      <c r="Q88" s="6">
        <v>0</v>
      </c>
      <c r="R88" s="6">
        <v>1</v>
      </c>
      <c r="S88" s="6">
        <v>4</v>
      </c>
      <c r="T88" s="6" t="str">
        <f t="shared" si="5"/>
        <v>Segunda</v>
      </c>
    </row>
    <row r="89" spans="1:20">
      <c r="A89" s="7" t="s">
        <v>568</v>
      </c>
      <c r="B89" s="7" t="s">
        <v>451</v>
      </c>
      <c r="C89" s="8">
        <v>1</v>
      </c>
      <c r="D89" s="7" t="s">
        <v>568</v>
      </c>
      <c r="E89" s="7" t="s">
        <v>585</v>
      </c>
      <c r="F89">
        <v>1938</v>
      </c>
      <c r="G89" s="6">
        <v>22796</v>
      </c>
      <c r="H89" s="11" t="s">
        <v>586</v>
      </c>
      <c r="I89" s="6">
        <v>17</v>
      </c>
      <c r="J89" s="6">
        <v>28</v>
      </c>
      <c r="K89" s="6">
        <v>123</v>
      </c>
      <c r="L89" s="6">
        <v>74</v>
      </c>
      <c r="M89" s="10">
        <f t="shared" si="3"/>
        <v>166.21621621621622</v>
      </c>
      <c r="N89" s="10">
        <f t="shared" si="4"/>
        <v>167</v>
      </c>
      <c r="O89" s="6" t="s">
        <v>43</v>
      </c>
      <c r="P89" s="6">
        <v>7</v>
      </c>
      <c r="Q89" s="6">
        <v>4</v>
      </c>
      <c r="R89" s="6">
        <v>7</v>
      </c>
      <c r="S89" s="6">
        <v>18</v>
      </c>
      <c r="T89" s="6" t="str">
        <f t="shared" si="5"/>
        <v>Segunda</v>
      </c>
    </row>
    <row r="90" spans="1:20">
      <c r="A90" s="7" t="s">
        <v>568</v>
      </c>
      <c r="B90" s="7" t="s">
        <v>468</v>
      </c>
      <c r="C90" s="8">
        <v>1</v>
      </c>
      <c r="D90" s="7" t="s">
        <v>568</v>
      </c>
      <c r="E90" s="7" t="s">
        <v>587</v>
      </c>
      <c r="F90">
        <v>1890</v>
      </c>
      <c r="G90" s="6">
        <v>14191</v>
      </c>
      <c r="H90" s="11" t="s">
        <v>588</v>
      </c>
      <c r="I90" s="6">
        <v>35</v>
      </c>
      <c r="J90" s="6">
        <v>72</v>
      </c>
      <c r="K90" s="6">
        <v>200</v>
      </c>
      <c r="L90" s="6">
        <v>52</v>
      </c>
      <c r="M90" s="10">
        <f t="shared" si="3"/>
        <v>384.61538461538464</v>
      </c>
      <c r="N90" s="10">
        <f t="shared" si="4"/>
        <v>385</v>
      </c>
      <c r="O90" s="6" t="s">
        <v>27</v>
      </c>
      <c r="P90" s="6">
        <v>4</v>
      </c>
      <c r="Q90" s="6">
        <v>9</v>
      </c>
      <c r="R90" s="6">
        <v>6</v>
      </c>
      <c r="S90" s="6">
        <v>19</v>
      </c>
      <c r="T90" s="6" t="str">
        <f t="shared" si="5"/>
        <v>Segunda</v>
      </c>
    </row>
    <row r="91" spans="1:20">
      <c r="A91" s="7" t="s">
        <v>568</v>
      </c>
      <c r="B91" s="7" t="s">
        <v>468</v>
      </c>
      <c r="C91" s="8">
        <v>1</v>
      </c>
      <c r="D91" s="7" t="s">
        <v>568</v>
      </c>
      <c r="E91" s="7" t="s">
        <v>589</v>
      </c>
      <c r="F91">
        <v>1769</v>
      </c>
      <c r="G91" s="6">
        <v>15485</v>
      </c>
      <c r="H91" s="11" t="s">
        <v>590</v>
      </c>
      <c r="I91" s="6">
        <v>23</v>
      </c>
      <c r="J91" s="6">
        <v>109</v>
      </c>
      <c r="K91" s="6">
        <v>253</v>
      </c>
      <c r="L91" s="6">
        <v>48</v>
      </c>
      <c r="M91" s="10">
        <f t="shared" si="3"/>
        <v>527.08333333333337</v>
      </c>
      <c r="N91" s="10">
        <f t="shared" si="4"/>
        <v>528</v>
      </c>
      <c r="O91" s="6" t="s">
        <v>12</v>
      </c>
      <c r="P91" s="6">
        <v>3</v>
      </c>
      <c r="Q91" s="6">
        <v>6</v>
      </c>
      <c r="R91" s="6">
        <v>14</v>
      </c>
      <c r="S91" s="6">
        <v>23</v>
      </c>
      <c r="T91" s="6" t="str">
        <f t="shared" si="5"/>
        <v>Tercera</v>
      </c>
    </row>
    <row r="92" spans="1:20">
      <c r="A92" s="7" t="s">
        <v>568</v>
      </c>
      <c r="B92" s="7" t="s">
        <v>468</v>
      </c>
      <c r="C92" s="8">
        <v>1</v>
      </c>
      <c r="D92" s="7" t="s">
        <v>568</v>
      </c>
      <c r="E92" s="7" t="s">
        <v>585</v>
      </c>
      <c r="F92">
        <v>1938</v>
      </c>
      <c r="G92" s="6">
        <v>22796</v>
      </c>
      <c r="H92" s="11" t="s">
        <v>586</v>
      </c>
      <c r="I92" s="6">
        <v>17</v>
      </c>
      <c r="J92" s="6">
        <v>28</v>
      </c>
      <c r="K92" s="6">
        <v>123</v>
      </c>
      <c r="L92" s="6">
        <v>74</v>
      </c>
      <c r="M92" s="10">
        <f t="shared" si="3"/>
        <v>166.21621621621622</v>
      </c>
      <c r="N92" s="10">
        <f t="shared" si="4"/>
        <v>167</v>
      </c>
      <c r="O92" s="6" t="s">
        <v>43</v>
      </c>
      <c r="P92" s="6">
        <v>7</v>
      </c>
      <c r="Q92" s="6">
        <v>4</v>
      </c>
      <c r="R92" s="6">
        <v>7</v>
      </c>
      <c r="S92" s="6">
        <v>18</v>
      </c>
      <c r="T92" s="6" t="str">
        <f t="shared" si="5"/>
        <v>Segunda</v>
      </c>
    </row>
    <row r="93" spans="1:20">
      <c r="A93" s="7" t="s">
        <v>568</v>
      </c>
      <c r="B93" s="7" t="s">
        <v>468</v>
      </c>
      <c r="C93" s="8">
        <v>1</v>
      </c>
      <c r="D93" s="7" t="s">
        <v>568</v>
      </c>
      <c r="E93" s="7" t="s">
        <v>591</v>
      </c>
      <c r="F93">
        <v>1684</v>
      </c>
      <c r="G93" s="6">
        <v>19340</v>
      </c>
      <c r="H93" s="11" t="s">
        <v>592</v>
      </c>
      <c r="I93" s="6">
        <v>29</v>
      </c>
      <c r="J93" s="6">
        <v>42</v>
      </c>
      <c r="K93" s="6">
        <v>105</v>
      </c>
      <c r="L93" s="6">
        <v>49</v>
      </c>
      <c r="M93" s="10">
        <f t="shared" si="3"/>
        <v>214.28571428571428</v>
      </c>
      <c r="N93" s="10">
        <f t="shared" si="4"/>
        <v>215</v>
      </c>
      <c r="O93" s="6" t="s">
        <v>12</v>
      </c>
      <c r="P93" s="6">
        <v>3</v>
      </c>
      <c r="Q93" s="6">
        <v>2</v>
      </c>
      <c r="R93" s="6">
        <v>2</v>
      </c>
      <c r="S93" s="6">
        <v>7</v>
      </c>
      <c r="T93" s="6" t="str">
        <f t="shared" si="5"/>
        <v>Tercera</v>
      </c>
    </row>
    <row r="94" spans="1:20">
      <c r="A94" s="7" t="s">
        <v>568</v>
      </c>
      <c r="B94" s="7" t="s">
        <v>468</v>
      </c>
      <c r="C94" s="8">
        <v>1</v>
      </c>
      <c r="D94" s="7" t="s">
        <v>568</v>
      </c>
      <c r="E94" s="7" t="s">
        <v>593</v>
      </c>
      <c r="F94">
        <v>1560</v>
      </c>
      <c r="G94" s="6">
        <v>22005</v>
      </c>
      <c r="H94" s="11" t="s">
        <v>594</v>
      </c>
      <c r="I94" s="6">
        <v>26</v>
      </c>
      <c r="J94" s="6">
        <v>54</v>
      </c>
      <c r="K94" s="6">
        <v>127</v>
      </c>
      <c r="L94" s="6">
        <v>43</v>
      </c>
      <c r="M94" s="10">
        <f t="shared" si="3"/>
        <v>295.3488372093023</v>
      </c>
      <c r="N94" s="10">
        <f t="shared" si="4"/>
        <v>296</v>
      </c>
      <c r="O94" s="6" t="s">
        <v>12</v>
      </c>
      <c r="P94" s="6">
        <v>4</v>
      </c>
      <c r="Q94" s="6">
        <v>2</v>
      </c>
      <c r="R94" s="6">
        <v>5</v>
      </c>
      <c r="S94" s="6">
        <v>11</v>
      </c>
      <c r="T94" s="6" t="str">
        <f t="shared" si="5"/>
        <v>Cuarta</v>
      </c>
    </row>
    <row r="95" spans="1:20">
      <c r="A95" s="7" t="s">
        <v>568</v>
      </c>
      <c r="B95" s="7" t="s">
        <v>468</v>
      </c>
      <c r="C95" s="8">
        <v>1</v>
      </c>
      <c r="D95" s="7" t="s">
        <v>568</v>
      </c>
      <c r="E95" s="7" t="s">
        <v>595</v>
      </c>
      <c r="F95">
        <v>1434</v>
      </c>
      <c r="G95" s="6">
        <v>10693</v>
      </c>
      <c r="H95" s="11" t="s">
        <v>596</v>
      </c>
      <c r="I95" s="6">
        <v>57</v>
      </c>
      <c r="J95" s="6">
        <v>86</v>
      </c>
      <c r="K95" s="6">
        <v>216</v>
      </c>
      <c r="L95" s="6">
        <v>47</v>
      </c>
      <c r="M95" s="10">
        <f t="shared" si="3"/>
        <v>459.57446808510639</v>
      </c>
      <c r="N95" s="10">
        <f t="shared" si="4"/>
        <v>460</v>
      </c>
      <c r="O95" s="6" t="s">
        <v>20</v>
      </c>
      <c r="P95" s="6">
        <v>7</v>
      </c>
      <c r="Q95" s="6">
        <v>3</v>
      </c>
      <c r="R95" s="6">
        <v>9</v>
      </c>
      <c r="S95" s="6">
        <v>19</v>
      </c>
      <c r="T95" s="6" t="str">
        <f t="shared" si="5"/>
        <v>Cuarta</v>
      </c>
    </row>
    <row r="96" spans="1:20">
      <c r="A96" s="7" t="s">
        <v>568</v>
      </c>
      <c r="B96" s="7" t="s">
        <v>468</v>
      </c>
      <c r="C96" s="8">
        <v>1</v>
      </c>
      <c r="D96" s="7" t="s">
        <v>568</v>
      </c>
      <c r="E96" s="7" t="s">
        <v>597</v>
      </c>
      <c r="F96">
        <v>1524</v>
      </c>
      <c r="G96" s="6">
        <v>21137</v>
      </c>
      <c r="H96" s="11" t="s">
        <v>598</v>
      </c>
      <c r="I96" s="6">
        <v>37</v>
      </c>
      <c r="J96" s="6">
        <v>64</v>
      </c>
      <c r="K96" s="6">
        <v>150</v>
      </c>
      <c r="L96" s="6">
        <v>46</v>
      </c>
      <c r="M96" s="10">
        <f t="shared" si="3"/>
        <v>326.08695652173913</v>
      </c>
      <c r="N96" s="10">
        <f t="shared" si="4"/>
        <v>327</v>
      </c>
      <c r="O96" s="6" t="s">
        <v>27</v>
      </c>
      <c r="P96" s="6">
        <v>2</v>
      </c>
      <c r="Q96" s="6">
        <v>0</v>
      </c>
      <c r="R96" s="6">
        <v>5</v>
      </c>
      <c r="S96" s="6">
        <v>7</v>
      </c>
      <c r="T96" s="6" t="str">
        <f t="shared" si="5"/>
        <v>Cuarta</v>
      </c>
    </row>
    <row r="97" spans="1:20" ht="24">
      <c r="A97" s="7" t="s">
        <v>599</v>
      </c>
      <c r="B97" s="7" t="s">
        <v>496</v>
      </c>
      <c r="C97" s="8">
        <v>1</v>
      </c>
      <c r="D97" s="7" t="s">
        <v>599</v>
      </c>
      <c r="E97" s="7" t="s">
        <v>600</v>
      </c>
      <c r="F97">
        <v>1554</v>
      </c>
      <c r="G97" s="6">
        <v>21332</v>
      </c>
      <c r="H97" s="11" t="s">
        <v>601</v>
      </c>
      <c r="I97" s="6">
        <v>22</v>
      </c>
      <c r="J97" s="6">
        <v>109</v>
      </c>
      <c r="K97" s="6">
        <v>223</v>
      </c>
      <c r="L97" s="6">
        <v>41</v>
      </c>
      <c r="M97" s="10">
        <f t="shared" si="3"/>
        <v>543.90243902439022</v>
      </c>
      <c r="N97" s="10">
        <f t="shared" si="4"/>
        <v>544</v>
      </c>
      <c r="O97" s="6" t="s">
        <v>18</v>
      </c>
      <c r="P97" s="6">
        <v>9</v>
      </c>
      <c r="Q97" s="6">
        <v>9</v>
      </c>
      <c r="R97" s="6">
        <v>12</v>
      </c>
      <c r="S97" s="6">
        <v>30</v>
      </c>
      <c r="T97" s="6" t="str">
        <f t="shared" si="5"/>
        <v>Cuarta</v>
      </c>
    </row>
    <row r="98" spans="1:20" ht="24">
      <c r="A98" s="7" t="s">
        <v>599</v>
      </c>
      <c r="B98" s="7" t="s">
        <v>496</v>
      </c>
      <c r="C98" s="8">
        <v>1</v>
      </c>
      <c r="D98" s="7" t="s">
        <v>599</v>
      </c>
      <c r="E98" s="7" t="s">
        <v>602</v>
      </c>
      <c r="F98">
        <v>1461</v>
      </c>
      <c r="G98" s="6">
        <v>17371</v>
      </c>
      <c r="H98" s="11" t="s">
        <v>603</v>
      </c>
      <c r="I98" s="6">
        <v>17</v>
      </c>
      <c r="J98" s="6">
        <v>35</v>
      </c>
      <c r="K98" s="6">
        <v>98</v>
      </c>
      <c r="L98" s="6">
        <v>53</v>
      </c>
      <c r="M98" s="10">
        <f t="shared" si="3"/>
        <v>184.90566037735849</v>
      </c>
      <c r="N98" s="10">
        <f t="shared" si="4"/>
        <v>185</v>
      </c>
      <c r="O98" s="6" t="s">
        <v>19</v>
      </c>
      <c r="P98" s="6">
        <v>5</v>
      </c>
      <c r="Q98" s="6">
        <v>1</v>
      </c>
      <c r="R98" s="6">
        <v>6</v>
      </c>
      <c r="S98" s="6">
        <v>12</v>
      </c>
      <c r="T98" s="6" t="str">
        <f t="shared" si="5"/>
        <v>Cuarta</v>
      </c>
    </row>
    <row r="99" spans="1:20" ht="24">
      <c r="A99" s="7" t="s">
        <v>599</v>
      </c>
      <c r="B99" s="7" t="s">
        <v>496</v>
      </c>
      <c r="C99" s="8">
        <v>1</v>
      </c>
      <c r="D99" s="7" t="s">
        <v>599</v>
      </c>
      <c r="E99" s="7" t="s">
        <v>604</v>
      </c>
      <c r="F99">
        <v>1551</v>
      </c>
      <c r="G99" s="6">
        <v>19604</v>
      </c>
      <c r="H99" s="11" t="s">
        <v>605</v>
      </c>
      <c r="I99" s="6">
        <v>59</v>
      </c>
      <c r="J99" s="6">
        <v>9</v>
      </c>
      <c r="K99" s="6">
        <v>28</v>
      </c>
      <c r="L99" s="6">
        <v>76</v>
      </c>
      <c r="M99" s="10">
        <f t="shared" si="3"/>
        <v>36.842105263157897</v>
      </c>
      <c r="N99" s="10">
        <f t="shared" si="4"/>
        <v>37</v>
      </c>
      <c r="O99" s="6" t="s">
        <v>44</v>
      </c>
      <c r="P99" s="6">
        <v>2</v>
      </c>
      <c r="Q99" s="6">
        <v>0</v>
      </c>
      <c r="R99" s="6">
        <v>1</v>
      </c>
      <c r="S99" s="6">
        <v>3</v>
      </c>
      <c r="T99" s="6" t="str">
        <f t="shared" si="5"/>
        <v>Cuarta</v>
      </c>
    </row>
    <row r="100" spans="1:20" ht="24">
      <c r="A100" s="7" t="s">
        <v>599</v>
      </c>
      <c r="B100" s="7" t="s">
        <v>496</v>
      </c>
      <c r="C100" s="8">
        <v>1</v>
      </c>
      <c r="D100" s="7" t="s">
        <v>599</v>
      </c>
      <c r="E100" s="7" t="s">
        <v>606</v>
      </c>
      <c r="F100">
        <v>1480</v>
      </c>
      <c r="G100" s="6">
        <v>813</v>
      </c>
      <c r="H100" s="11" t="s">
        <v>607</v>
      </c>
      <c r="I100" s="6">
        <v>64</v>
      </c>
      <c r="J100" s="6">
        <v>3</v>
      </c>
      <c r="K100" s="6">
        <v>13</v>
      </c>
      <c r="L100" s="6">
        <v>81</v>
      </c>
      <c r="M100" s="10">
        <f t="shared" si="3"/>
        <v>16.049382716049383</v>
      </c>
      <c r="N100" s="10">
        <f t="shared" si="4"/>
        <v>17</v>
      </c>
      <c r="O100" s="6" t="s">
        <v>45</v>
      </c>
      <c r="P100" s="6">
        <v>1</v>
      </c>
      <c r="Q100" s="6">
        <v>1</v>
      </c>
      <c r="R100" s="6">
        <v>0</v>
      </c>
      <c r="S100" s="6">
        <v>2</v>
      </c>
      <c r="T100" s="6" t="str">
        <f t="shared" si="5"/>
        <v>Cuarta</v>
      </c>
    </row>
    <row r="101" spans="1:20" ht="24">
      <c r="A101" s="7" t="s">
        <v>599</v>
      </c>
      <c r="B101" s="7" t="s">
        <v>496</v>
      </c>
      <c r="C101" s="8">
        <v>1</v>
      </c>
      <c r="D101" s="7" t="s">
        <v>599</v>
      </c>
      <c r="E101" s="7" t="s">
        <v>608</v>
      </c>
      <c r="F101">
        <v>1437</v>
      </c>
      <c r="G101" s="6">
        <v>19494</v>
      </c>
      <c r="H101" s="11" t="s">
        <v>609</v>
      </c>
      <c r="I101" s="6">
        <v>30</v>
      </c>
      <c r="J101" s="6">
        <v>14</v>
      </c>
      <c r="K101" s="6">
        <v>38</v>
      </c>
      <c r="L101" s="6">
        <v>58</v>
      </c>
      <c r="M101" s="10">
        <f t="shared" si="3"/>
        <v>65.517241379310349</v>
      </c>
      <c r="N101" s="10">
        <f t="shared" si="4"/>
        <v>66</v>
      </c>
      <c r="O101" s="6" t="s">
        <v>45</v>
      </c>
      <c r="P101" s="6">
        <v>1</v>
      </c>
      <c r="Q101" s="6">
        <v>2</v>
      </c>
      <c r="R101" s="6">
        <v>3</v>
      </c>
      <c r="S101" s="6">
        <v>6</v>
      </c>
      <c r="T101" s="6" t="str">
        <f t="shared" si="5"/>
        <v>Cuarta</v>
      </c>
    </row>
    <row r="102" spans="1:20" ht="24">
      <c r="A102" s="7" t="s">
        <v>599</v>
      </c>
      <c r="B102" s="7" t="s">
        <v>496</v>
      </c>
      <c r="C102" s="8">
        <v>1</v>
      </c>
      <c r="D102" s="7" t="s">
        <v>599</v>
      </c>
      <c r="E102" s="7" t="s">
        <v>610</v>
      </c>
      <c r="F102">
        <v>1578</v>
      </c>
      <c r="G102" s="6">
        <v>23043</v>
      </c>
      <c r="H102" s="11" t="s">
        <v>611</v>
      </c>
      <c r="I102" s="6">
        <v>48</v>
      </c>
      <c r="J102" s="6">
        <v>95</v>
      </c>
      <c r="K102" s="6">
        <v>256</v>
      </c>
      <c r="L102" s="6">
        <v>54</v>
      </c>
      <c r="M102" s="10">
        <f t="shared" si="3"/>
        <v>474.07407407407408</v>
      </c>
      <c r="N102" s="10">
        <f t="shared" si="4"/>
        <v>475</v>
      </c>
      <c r="O102" s="6" t="s">
        <v>12</v>
      </c>
      <c r="P102" s="6">
        <v>14</v>
      </c>
      <c r="Q102" s="6">
        <v>14</v>
      </c>
      <c r="R102" s="6">
        <v>18</v>
      </c>
      <c r="S102" s="6">
        <v>46</v>
      </c>
      <c r="T102" s="6" t="str">
        <f t="shared" si="5"/>
        <v>Cuarta</v>
      </c>
    </row>
    <row r="103" spans="1:20" ht="24">
      <c r="A103" s="7" t="s">
        <v>599</v>
      </c>
      <c r="B103" s="7" t="s">
        <v>496</v>
      </c>
      <c r="C103" s="8">
        <v>1</v>
      </c>
      <c r="D103" s="7" t="s">
        <v>599</v>
      </c>
      <c r="E103" s="7" t="s">
        <v>612</v>
      </c>
      <c r="F103">
        <v>1712</v>
      </c>
      <c r="G103" s="6">
        <v>1923</v>
      </c>
      <c r="H103" s="11" t="s">
        <v>613</v>
      </c>
      <c r="I103" s="6">
        <v>39</v>
      </c>
      <c r="J103" s="6">
        <v>23</v>
      </c>
      <c r="K103" s="6">
        <v>75</v>
      </c>
      <c r="L103" s="6">
        <v>47</v>
      </c>
      <c r="M103" s="10">
        <f t="shared" si="3"/>
        <v>159.57446808510639</v>
      </c>
      <c r="N103" s="10">
        <f t="shared" si="4"/>
        <v>160</v>
      </c>
      <c r="O103" s="6" t="s">
        <v>46</v>
      </c>
      <c r="P103" s="6">
        <v>1</v>
      </c>
      <c r="Q103" s="6">
        <v>4</v>
      </c>
      <c r="R103" s="6">
        <v>4</v>
      </c>
      <c r="S103" s="6">
        <v>9</v>
      </c>
      <c r="T103" s="6" t="str">
        <f t="shared" si="5"/>
        <v>Tercera</v>
      </c>
    </row>
    <row r="104" spans="1:20" ht="24">
      <c r="A104" s="7" t="s">
        <v>599</v>
      </c>
      <c r="B104" s="7" t="s">
        <v>496</v>
      </c>
      <c r="C104" s="8">
        <v>1</v>
      </c>
      <c r="D104" s="7" t="s">
        <v>599</v>
      </c>
      <c r="E104" s="7" t="s">
        <v>614</v>
      </c>
      <c r="F104">
        <v>1000</v>
      </c>
      <c r="G104" s="6">
        <v>6805</v>
      </c>
      <c r="H104" s="11" t="s">
        <v>615</v>
      </c>
      <c r="I104" s="6">
        <v>43</v>
      </c>
      <c r="J104" s="6">
        <v>0</v>
      </c>
      <c r="K104" s="6">
        <v>0</v>
      </c>
      <c r="L104" s="6">
        <v>0</v>
      </c>
      <c r="M104" s="10">
        <f t="shared" si="3"/>
        <v>0</v>
      </c>
      <c r="N104" s="10">
        <f t="shared" si="4"/>
        <v>0</v>
      </c>
      <c r="P104" s="6">
        <v>0</v>
      </c>
      <c r="Q104" s="6">
        <v>0</v>
      </c>
      <c r="R104" s="6">
        <v>0</v>
      </c>
      <c r="S104" s="6">
        <v>0</v>
      </c>
      <c r="T104" s="6" t="str">
        <f t="shared" si="5"/>
        <v>Septima</v>
      </c>
    </row>
    <row r="105" spans="1:20" ht="24">
      <c r="A105" s="7" t="s">
        <v>599</v>
      </c>
      <c r="B105" s="7" t="s">
        <v>507</v>
      </c>
      <c r="C105" s="8">
        <v>1</v>
      </c>
      <c r="D105" s="7" t="s">
        <v>599</v>
      </c>
      <c r="E105" s="7" t="s">
        <v>616</v>
      </c>
      <c r="F105">
        <v>1312</v>
      </c>
      <c r="G105" s="6">
        <v>19953</v>
      </c>
      <c r="H105" s="11" t="s">
        <v>617</v>
      </c>
      <c r="I105" s="6">
        <v>20</v>
      </c>
      <c r="J105" s="6">
        <v>32</v>
      </c>
      <c r="K105" s="6">
        <v>58</v>
      </c>
      <c r="L105" s="6">
        <v>40</v>
      </c>
      <c r="M105" s="10">
        <f t="shared" si="3"/>
        <v>145</v>
      </c>
      <c r="N105" s="10">
        <f t="shared" si="4"/>
        <v>145</v>
      </c>
      <c r="O105" s="6" t="s">
        <v>19</v>
      </c>
      <c r="P105" s="6">
        <v>1</v>
      </c>
      <c r="Q105" s="6">
        <v>2</v>
      </c>
      <c r="R105" s="6">
        <v>1</v>
      </c>
      <c r="S105" s="6">
        <v>4</v>
      </c>
      <c r="T105" s="6" t="str">
        <f t="shared" si="5"/>
        <v>Quinta</v>
      </c>
    </row>
    <row r="106" spans="1:20" ht="24">
      <c r="A106" s="7" t="s">
        <v>599</v>
      </c>
      <c r="B106" s="7" t="s">
        <v>507</v>
      </c>
      <c r="C106" s="8">
        <v>1</v>
      </c>
      <c r="D106" s="7" t="s">
        <v>599</v>
      </c>
      <c r="E106" s="7" t="s">
        <v>618</v>
      </c>
      <c r="F106">
        <v>1220</v>
      </c>
      <c r="G106" s="6">
        <v>9251</v>
      </c>
      <c r="H106" s="11" t="s">
        <v>619</v>
      </c>
      <c r="I106" s="6">
        <v>56</v>
      </c>
      <c r="J106" s="6">
        <v>14</v>
      </c>
      <c r="K106" s="6">
        <v>30</v>
      </c>
      <c r="L106" s="6">
        <v>50</v>
      </c>
      <c r="M106" s="10">
        <f t="shared" si="3"/>
        <v>60</v>
      </c>
      <c r="N106" s="10">
        <f t="shared" si="4"/>
        <v>60</v>
      </c>
      <c r="O106" s="6" t="s">
        <v>45</v>
      </c>
      <c r="P106" s="6">
        <v>3</v>
      </c>
      <c r="Q106" s="6">
        <v>0</v>
      </c>
      <c r="R106" s="6">
        <v>3</v>
      </c>
      <c r="S106" s="6">
        <v>6</v>
      </c>
      <c r="T106" s="6" t="str">
        <f t="shared" si="5"/>
        <v>Quinta</v>
      </c>
    </row>
    <row r="107" spans="1:20" ht="24">
      <c r="A107" s="7" t="s">
        <v>599</v>
      </c>
      <c r="B107" s="7" t="s">
        <v>507</v>
      </c>
      <c r="C107" s="8">
        <v>1</v>
      </c>
      <c r="D107" s="7" t="s">
        <v>599</v>
      </c>
      <c r="E107" s="7" t="s">
        <v>620</v>
      </c>
      <c r="F107">
        <v>1255</v>
      </c>
      <c r="G107" s="6">
        <v>23889</v>
      </c>
      <c r="H107" s="11" t="s">
        <v>621</v>
      </c>
      <c r="I107" s="6">
        <v>16</v>
      </c>
      <c r="J107" s="6">
        <v>16</v>
      </c>
      <c r="K107" s="6">
        <v>41</v>
      </c>
      <c r="L107" s="6">
        <v>52</v>
      </c>
      <c r="M107" s="10">
        <f t="shared" si="3"/>
        <v>78.84615384615384</v>
      </c>
      <c r="N107" s="10">
        <f t="shared" si="4"/>
        <v>79</v>
      </c>
      <c r="O107" s="6" t="s">
        <v>43</v>
      </c>
      <c r="P107" s="6">
        <v>2</v>
      </c>
      <c r="Q107" s="6">
        <v>1</v>
      </c>
      <c r="R107" s="6">
        <v>2</v>
      </c>
      <c r="S107" s="6">
        <v>5</v>
      </c>
      <c r="T107" s="6" t="str">
        <f t="shared" si="5"/>
        <v>Quinta</v>
      </c>
    </row>
    <row r="108" spans="1:20" ht="24">
      <c r="A108" s="7" t="s">
        <v>599</v>
      </c>
      <c r="B108" s="7" t="s">
        <v>507</v>
      </c>
      <c r="C108" s="8">
        <v>1</v>
      </c>
      <c r="D108" s="7" t="s">
        <v>599</v>
      </c>
      <c r="E108" s="7" t="s">
        <v>622</v>
      </c>
      <c r="F108">
        <v>1210</v>
      </c>
      <c r="G108" s="6">
        <v>22714</v>
      </c>
      <c r="H108" s="11" t="s">
        <v>623</v>
      </c>
      <c r="I108" s="6">
        <v>17</v>
      </c>
      <c r="J108" s="6">
        <v>32</v>
      </c>
      <c r="K108" s="6">
        <v>73</v>
      </c>
      <c r="L108" s="6">
        <v>49</v>
      </c>
      <c r="M108" s="10">
        <f t="shared" si="3"/>
        <v>148.9795918367347</v>
      </c>
      <c r="N108" s="10">
        <f t="shared" si="4"/>
        <v>149</v>
      </c>
      <c r="O108" s="6" t="s">
        <v>43</v>
      </c>
      <c r="P108" s="6">
        <v>2</v>
      </c>
      <c r="Q108" s="6">
        <v>1</v>
      </c>
      <c r="R108" s="6">
        <v>6</v>
      </c>
      <c r="S108" s="6">
        <v>9</v>
      </c>
      <c r="T108" s="6" t="str">
        <f t="shared" si="5"/>
        <v>Quinta</v>
      </c>
    </row>
    <row r="109" spans="1:20" ht="24">
      <c r="A109" s="7" t="s">
        <v>599</v>
      </c>
      <c r="B109" s="7" t="s">
        <v>507</v>
      </c>
      <c r="C109" s="8">
        <v>1</v>
      </c>
      <c r="D109" s="7" t="s">
        <v>599</v>
      </c>
      <c r="E109" s="7" t="s">
        <v>624</v>
      </c>
      <c r="F109">
        <v>1270</v>
      </c>
      <c r="G109" s="6">
        <v>27145</v>
      </c>
      <c r="H109" s="11" t="s">
        <v>625</v>
      </c>
      <c r="I109" s="6">
        <v>59</v>
      </c>
      <c r="J109" s="6">
        <v>3</v>
      </c>
      <c r="K109" s="6">
        <v>13</v>
      </c>
      <c r="L109" s="6">
        <v>54</v>
      </c>
      <c r="M109" s="10">
        <f t="shared" si="3"/>
        <v>24.074074074074073</v>
      </c>
      <c r="N109" s="10">
        <f t="shared" si="4"/>
        <v>25</v>
      </c>
      <c r="O109" s="6" t="s">
        <v>45</v>
      </c>
      <c r="P109" s="6">
        <v>1</v>
      </c>
      <c r="Q109" s="6">
        <v>1</v>
      </c>
      <c r="R109" s="6">
        <v>0</v>
      </c>
      <c r="S109" s="6">
        <v>2</v>
      </c>
      <c r="T109" s="6" t="str">
        <f t="shared" si="5"/>
        <v>Quinta</v>
      </c>
    </row>
    <row r="110" spans="1:20" ht="24">
      <c r="A110" s="7" t="s">
        <v>599</v>
      </c>
      <c r="B110" s="7" t="s">
        <v>507</v>
      </c>
      <c r="C110" s="8">
        <v>1</v>
      </c>
      <c r="D110" s="7" t="s">
        <v>599</v>
      </c>
      <c r="E110" s="7" t="s">
        <v>626</v>
      </c>
      <c r="F110">
        <v>1216</v>
      </c>
      <c r="G110" s="6">
        <v>20120</v>
      </c>
      <c r="H110" s="11" t="s">
        <v>627</v>
      </c>
      <c r="I110" s="6">
        <v>28</v>
      </c>
      <c r="J110" s="6">
        <v>8</v>
      </c>
      <c r="K110" s="6">
        <v>16</v>
      </c>
      <c r="L110" s="6">
        <v>50</v>
      </c>
      <c r="M110" s="10">
        <f t="shared" si="3"/>
        <v>32</v>
      </c>
      <c r="N110" s="10">
        <f t="shared" si="4"/>
        <v>32</v>
      </c>
      <c r="O110" s="6" t="s">
        <v>45</v>
      </c>
      <c r="P110" s="6">
        <v>0</v>
      </c>
      <c r="Q110" s="6">
        <v>1</v>
      </c>
      <c r="R110" s="6">
        <v>3</v>
      </c>
      <c r="S110" s="6">
        <v>4</v>
      </c>
      <c r="T110" s="6" t="str">
        <f t="shared" si="5"/>
        <v>Quinta</v>
      </c>
    </row>
    <row r="111" spans="1:20" ht="24">
      <c r="A111" s="7" t="s">
        <v>599</v>
      </c>
      <c r="B111" s="7" t="s">
        <v>507</v>
      </c>
      <c r="C111" s="8">
        <v>1</v>
      </c>
      <c r="D111" s="7" t="s">
        <v>599</v>
      </c>
      <c r="E111" s="7" t="s">
        <v>628</v>
      </c>
      <c r="F111">
        <v>1290</v>
      </c>
      <c r="G111" s="6">
        <v>13962</v>
      </c>
      <c r="H111" s="11" t="s">
        <v>629</v>
      </c>
      <c r="I111" s="6">
        <v>63</v>
      </c>
      <c r="J111" s="6">
        <v>23</v>
      </c>
      <c r="K111" s="6">
        <v>51</v>
      </c>
      <c r="L111" s="6">
        <v>46</v>
      </c>
      <c r="M111" s="10">
        <f t="shared" si="3"/>
        <v>110.8695652173913</v>
      </c>
      <c r="N111" s="10">
        <f t="shared" si="4"/>
        <v>111</v>
      </c>
      <c r="O111" s="6" t="s">
        <v>47</v>
      </c>
      <c r="P111" s="6">
        <v>1</v>
      </c>
      <c r="Q111" s="6">
        <v>4</v>
      </c>
      <c r="R111" s="6">
        <v>4</v>
      </c>
      <c r="S111" s="6">
        <v>9</v>
      </c>
      <c r="T111" s="6" t="str">
        <f t="shared" si="5"/>
        <v>Quinta</v>
      </c>
    </row>
    <row r="112" spans="1:20" ht="24">
      <c r="A112" s="7" t="s">
        <v>599</v>
      </c>
      <c r="B112" s="7" t="s">
        <v>507</v>
      </c>
      <c r="C112" s="8">
        <v>1</v>
      </c>
      <c r="D112" s="7" t="s">
        <v>599</v>
      </c>
      <c r="E112" s="7" t="s">
        <v>630</v>
      </c>
      <c r="F112">
        <v>1000</v>
      </c>
      <c r="G112" s="6">
        <v>15685</v>
      </c>
      <c r="H112" s="11" t="s">
        <v>631</v>
      </c>
      <c r="I112" s="6">
        <v>57</v>
      </c>
      <c r="J112" s="6">
        <v>0</v>
      </c>
      <c r="K112" s="6">
        <v>0</v>
      </c>
      <c r="L112" s="6">
        <v>0</v>
      </c>
      <c r="M112" s="10">
        <f t="shared" si="3"/>
        <v>0</v>
      </c>
      <c r="N112" s="10">
        <f t="shared" si="4"/>
        <v>0</v>
      </c>
      <c r="P112" s="6">
        <v>0</v>
      </c>
      <c r="Q112" s="6">
        <v>0</v>
      </c>
      <c r="R112" s="6">
        <v>0</v>
      </c>
      <c r="S112" s="6">
        <v>0</v>
      </c>
      <c r="T112" s="6" t="str">
        <f t="shared" si="5"/>
        <v>Septima</v>
      </c>
    </row>
    <row r="113" spans="1:20" ht="24">
      <c r="A113" s="7" t="s">
        <v>632</v>
      </c>
      <c r="B113" s="7" t="s">
        <v>496</v>
      </c>
      <c r="C113" s="8">
        <v>1</v>
      </c>
      <c r="D113" s="7" t="s">
        <v>632</v>
      </c>
      <c r="E113" s="7" t="s">
        <v>633</v>
      </c>
      <c r="F113">
        <v>1637</v>
      </c>
      <c r="G113" s="6">
        <v>25895</v>
      </c>
      <c r="H113" s="11" t="s">
        <v>634</v>
      </c>
      <c r="I113" s="6">
        <v>31</v>
      </c>
      <c r="J113" s="6">
        <v>194</v>
      </c>
      <c r="K113" s="6">
        <v>594</v>
      </c>
      <c r="L113" s="6">
        <v>48</v>
      </c>
      <c r="M113" s="10">
        <f t="shared" si="3"/>
        <v>1237.5</v>
      </c>
      <c r="N113" s="10">
        <f t="shared" si="4"/>
        <v>1238</v>
      </c>
      <c r="O113" s="6" t="s">
        <v>37</v>
      </c>
      <c r="P113" s="6">
        <v>13</v>
      </c>
      <c r="Q113" s="6">
        <v>26</v>
      </c>
      <c r="R113" s="6">
        <v>34</v>
      </c>
      <c r="S113" s="6">
        <v>73</v>
      </c>
      <c r="T113" s="6" t="str">
        <f t="shared" si="5"/>
        <v>Tercera</v>
      </c>
    </row>
    <row r="114" spans="1:20" ht="24">
      <c r="A114" s="7" t="s">
        <v>632</v>
      </c>
      <c r="B114" s="7" t="s">
        <v>496</v>
      </c>
      <c r="C114" s="8">
        <v>1</v>
      </c>
      <c r="D114" s="7" t="s">
        <v>632</v>
      </c>
      <c r="E114" s="7" t="s">
        <v>635</v>
      </c>
      <c r="F114">
        <v>1521</v>
      </c>
      <c r="G114" s="6">
        <v>14278</v>
      </c>
      <c r="H114" s="11" t="s">
        <v>636</v>
      </c>
      <c r="I114" s="6">
        <v>55</v>
      </c>
      <c r="J114" s="6">
        <v>55</v>
      </c>
      <c r="K114" s="6">
        <v>123</v>
      </c>
      <c r="L114" s="6">
        <v>55</v>
      </c>
      <c r="M114" s="10">
        <f t="shared" si="3"/>
        <v>223.63636363636363</v>
      </c>
      <c r="N114" s="10">
        <f t="shared" si="4"/>
        <v>224</v>
      </c>
      <c r="O114" s="6" t="s">
        <v>48</v>
      </c>
      <c r="P114" s="6">
        <v>3</v>
      </c>
      <c r="Q114" s="6">
        <v>4</v>
      </c>
      <c r="R114" s="6">
        <v>7</v>
      </c>
      <c r="S114" s="6">
        <v>14</v>
      </c>
      <c r="T114" s="6" t="str">
        <f t="shared" si="5"/>
        <v>Cuarta</v>
      </c>
    </row>
    <row r="115" spans="1:20" ht="24">
      <c r="A115" s="7" t="s">
        <v>632</v>
      </c>
      <c r="B115" s="7" t="s">
        <v>496</v>
      </c>
      <c r="C115" s="8">
        <v>1</v>
      </c>
      <c r="D115" s="7" t="s">
        <v>632</v>
      </c>
      <c r="E115" s="7" t="s">
        <v>637</v>
      </c>
      <c r="F115">
        <v>1515</v>
      </c>
      <c r="G115" s="6">
        <v>1090</v>
      </c>
      <c r="H115" s="11" t="s">
        <v>638</v>
      </c>
      <c r="I115" s="6">
        <v>49</v>
      </c>
      <c r="J115" s="6">
        <v>10</v>
      </c>
      <c r="K115" s="6">
        <v>25</v>
      </c>
      <c r="L115" s="6">
        <v>54</v>
      </c>
      <c r="M115" s="10">
        <f t="shared" si="3"/>
        <v>46.296296296296298</v>
      </c>
      <c r="N115" s="10">
        <f t="shared" si="4"/>
        <v>47</v>
      </c>
      <c r="O115" s="6" t="s">
        <v>49</v>
      </c>
      <c r="P115" s="6">
        <v>1</v>
      </c>
      <c r="Q115" s="6">
        <v>0</v>
      </c>
      <c r="R115" s="6">
        <v>3</v>
      </c>
      <c r="S115" s="6">
        <v>4</v>
      </c>
      <c r="T115" s="6" t="str">
        <f t="shared" si="5"/>
        <v>Cuarta</v>
      </c>
    </row>
    <row r="116" spans="1:20" ht="24">
      <c r="A116" s="7" t="s">
        <v>632</v>
      </c>
      <c r="B116" s="7" t="s">
        <v>496</v>
      </c>
      <c r="C116" s="8">
        <v>1</v>
      </c>
      <c r="D116" s="7" t="s">
        <v>632</v>
      </c>
      <c r="E116" s="7" t="s">
        <v>639</v>
      </c>
      <c r="F116">
        <v>1330</v>
      </c>
      <c r="G116" s="6">
        <v>25951</v>
      </c>
      <c r="H116" s="11" t="s">
        <v>640</v>
      </c>
      <c r="I116" s="6">
        <v>28</v>
      </c>
      <c r="J116" s="6">
        <v>4</v>
      </c>
      <c r="K116" s="6">
        <v>6</v>
      </c>
      <c r="L116" s="6">
        <v>40</v>
      </c>
      <c r="M116" s="10">
        <f t="shared" si="3"/>
        <v>15</v>
      </c>
      <c r="N116" s="10">
        <f t="shared" si="4"/>
        <v>15</v>
      </c>
      <c r="O116" s="6" t="s">
        <v>50</v>
      </c>
      <c r="P116" s="6">
        <v>0</v>
      </c>
      <c r="Q116" s="6">
        <v>0</v>
      </c>
      <c r="R116" s="6">
        <v>1</v>
      </c>
      <c r="S116" s="6">
        <v>1</v>
      </c>
      <c r="T116" s="6" t="str">
        <f t="shared" si="5"/>
        <v>Quinta</v>
      </c>
    </row>
    <row r="117" spans="1:20" ht="24">
      <c r="A117" s="7" t="s">
        <v>632</v>
      </c>
      <c r="B117" s="7" t="s">
        <v>496</v>
      </c>
      <c r="C117" s="8">
        <v>1</v>
      </c>
      <c r="D117" s="7" t="s">
        <v>632</v>
      </c>
      <c r="E117" s="7" t="s">
        <v>641</v>
      </c>
      <c r="F117">
        <v>1154</v>
      </c>
      <c r="G117" s="6">
        <v>25897</v>
      </c>
      <c r="H117" s="11" t="s">
        <v>642</v>
      </c>
      <c r="I117" s="6">
        <v>53</v>
      </c>
      <c r="J117" s="6">
        <v>8</v>
      </c>
      <c r="K117" s="6">
        <v>26</v>
      </c>
      <c r="L117" s="6">
        <v>68</v>
      </c>
      <c r="M117" s="10">
        <f t="shared" si="3"/>
        <v>38.235294117647058</v>
      </c>
      <c r="N117" s="10">
        <f t="shared" si="4"/>
        <v>39</v>
      </c>
      <c r="O117" s="6" t="s">
        <v>51</v>
      </c>
      <c r="P117" s="6">
        <v>2</v>
      </c>
      <c r="Q117" s="6">
        <v>0</v>
      </c>
      <c r="R117" s="6">
        <v>2</v>
      </c>
      <c r="S117" s="6">
        <v>4</v>
      </c>
      <c r="T117" s="6" t="str">
        <f t="shared" si="5"/>
        <v>Sexta</v>
      </c>
    </row>
    <row r="118" spans="1:20" ht="24">
      <c r="A118" s="7" t="s">
        <v>632</v>
      </c>
      <c r="B118" s="7" t="s">
        <v>496</v>
      </c>
      <c r="C118" s="8">
        <v>1</v>
      </c>
      <c r="D118" s="7" t="s">
        <v>632</v>
      </c>
      <c r="E118" s="7" t="s">
        <v>643</v>
      </c>
      <c r="F118">
        <v>1190</v>
      </c>
      <c r="G118" s="6">
        <v>25896</v>
      </c>
      <c r="H118" s="11" t="s">
        <v>644</v>
      </c>
      <c r="I118" s="6">
        <v>27</v>
      </c>
      <c r="J118" s="6">
        <v>7</v>
      </c>
      <c r="K118" s="6">
        <v>24</v>
      </c>
      <c r="L118" s="6">
        <v>69</v>
      </c>
      <c r="M118" s="10">
        <f t="shared" si="3"/>
        <v>34.782608695652172</v>
      </c>
      <c r="N118" s="10">
        <f t="shared" si="4"/>
        <v>35</v>
      </c>
      <c r="O118" s="6" t="s">
        <v>52</v>
      </c>
      <c r="P118" s="6">
        <v>0</v>
      </c>
      <c r="Q118" s="6">
        <v>3</v>
      </c>
      <c r="R118" s="6">
        <v>1</v>
      </c>
      <c r="S118" s="6">
        <v>4</v>
      </c>
      <c r="T118" s="6" t="str">
        <f t="shared" si="5"/>
        <v>Sexta</v>
      </c>
    </row>
    <row r="119" spans="1:20" ht="24">
      <c r="A119" s="7" t="s">
        <v>632</v>
      </c>
      <c r="B119" s="7" t="s">
        <v>507</v>
      </c>
      <c r="C119" s="8">
        <v>1</v>
      </c>
      <c r="D119" s="7" t="s">
        <v>632</v>
      </c>
      <c r="E119" s="7" t="s">
        <v>645</v>
      </c>
      <c r="F119">
        <v>1389</v>
      </c>
      <c r="G119" s="6">
        <v>26281</v>
      </c>
      <c r="H119" s="11" t="s">
        <v>646</v>
      </c>
      <c r="I119" s="6">
        <v>37</v>
      </c>
      <c r="J119" s="6">
        <v>62</v>
      </c>
      <c r="K119" s="6">
        <v>178</v>
      </c>
      <c r="L119" s="6">
        <v>51</v>
      </c>
      <c r="M119" s="10">
        <f t="shared" si="3"/>
        <v>349.01960784313724</v>
      </c>
      <c r="N119" s="10">
        <f t="shared" si="4"/>
        <v>350</v>
      </c>
      <c r="O119" s="6" t="s">
        <v>12</v>
      </c>
      <c r="P119" s="6">
        <v>2</v>
      </c>
      <c r="Q119" s="6">
        <v>7</v>
      </c>
      <c r="R119" s="6">
        <v>9</v>
      </c>
      <c r="S119" s="6">
        <v>18</v>
      </c>
      <c r="T119" s="6" t="str">
        <f t="shared" si="5"/>
        <v>Quinta</v>
      </c>
    </row>
    <row r="120" spans="1:20" ht="24">
      <c r="A120" s="7" t="s">
        <v>632</v>
      </c>
      <c r="B120" s="7" t="s">
        <v>507</v>
      </c>
      <c r="C120" s="8">
        <v>1</v>
      </c>
      <c r="D120" s="7" t="s">
        <v>632</v>
      </c>
      <c r="E120" s="7" t="s">
        <v>647</v>
      </c>
      <c r="F120">
        <v>1291</v>
      </c>
      <c r="G120" s="6">
        <v>8643</v>
      </c>
      <c r="H120" s="11" t="s">
        <v>648</v>
      </c>
      <c r="I120" s="6">
        <v>27</v>
      </c>
      <c r="J120" s="6">
        <v>2</v>
      </c>
      <c r="K120" s="6">
        <v>3</v>
      </c>
      <c r="L120" s="6">
        <v>27</v>
      </c>
      <c r="M120" s="10">
        <f t="shared" si="3"/>
        <v>11.111111111111111</v>
      </c>
      <c r="N120" s="10">
        <f t="shared" si="4"/>
        <v>12</v>
      </c>
      <c r="O120" s="6" t="s">
        <v>53</v>
      </c>
      <c r="P120" s="6">
        <v>0</v>
      </c>
      <c r="Q120" s="6">
        <v>0</v>
      </c>
      <c r="R120" s="6">
        <v>0</v>
      </c>
      <c r="S120" s="6">
        <v>0</v>
      </c>
      <c r="T120" s="6" t="str">
        <f t="shared" si="5"/>
        <v>Quinta</v>
      </c>
    </row>
    <row r="121" spans="1:20" ht="24">
      <c r="A121" s="7" t="s">
        <v>632</v>
      </c>
      <c r="B121" s="7" t="s">
        <v>507</v>
      </c>
      <c r="C121" s="8">
        <v>1</v>
      </c>
      <c r="D121" s="7" t="s">
        <v>632</v>
      </c>
      <c r="E121" s="7" t="s">
        <v>643</v>
      </c>
      <c r="F121">
        <v>1190</v>
      </c>
      <c r="G121" s="6">
        <v>25896</v>
      </c>
      <c r="H121" s="11" t="s">
        <v>644</v>
      </c>
      <c r="I121" s="6">
        <v>27</v>
      </c>
      <c r="J121" s="6">
        <v>7</v>
      </c>
      <c r="K121" s="6">
        <v>24</v>
      </c>
      <c r="L121" s="6">
        <v>69</v>
      </c>
      <c r="M121" s="10">
        <f t="shared" si="3"/>
        <v>34.782608695652172</v>
      </c>
      <c r="N121" s="10">
        <f t="shared" si="4"/>
        <v>35</v>
      </c>
      <c r="O121" s="6" t="s">
        <v>52</v>
      </c>
      <c r="P121" s="6">
        <v>0</v>
      </c>
      <c r="Q121" s="6">
        <v>3</v>
      </c>
      <c r="R121" s="6">
        <v>1</v>
      </c>
      <c r="S121" s="6">
        <v>4</v>
      </c>
      <c r="T121" s="6" t="str">
        <f t="shared" si="5"/>
        <v>Sexta</v>
      </c>
    </row>
    <row r="122" spans="1:20" ht="24">
      <c r="A122" s="7" t="s">
        <v>632</v>
      </c>
      <c r="B122" s="7" t="s">
        <v>507</v>
      </c>
      <c r="C122" s="8">
        <v>1</v>
      </c>
      <c r="D122" s="7" t="s">
        <v>632</v>
      </c>
      <c r="E122" s="7" t="s">
        <v>649</v>
      </c>
      <c r="F122">
        <v>1687</v>
      </c>
      <c r="G122" s="6">
        <v>2134</v>
      </c>
      <c r="H122" s="11" t="s">
        <v>650</v>
      </c>
      <c r="I122" s="6">
        <v>35</v>
      </c>
      <c r="J122" s="6">
        <v>1</v>
      </c>
      <c r="K122" s="6">
        <v>4</v>
      </c>
      <c r="L122" s="6">
        <v>57</v>
      </c>
      <c r="M122" s="10">
        <f t="shared" si="3"/>
        <v>7.0175438596491224</v>
      </c>
      <c r="N122" s="10">
        <f t="shared" si="4"/>
        <v>8</v>
      </c>
      <c r="O122" s="6" t="s">
        <v>54</v>
      </c>
      <c r="P122" s="6">
        <v>0</v>
      </c>
      <c r="Q122" s="6">
        <v>0</v>
      </c>
      <c r="R122" s="6">
        <v>0</v>
      </c>
      <c r="S122" s="6">
        <v>0</v>
      </c>
      <c r="T122" s="6" t="str">
        <f t="shared" si="5"/>
        <v>Tercera</v>
      </c>
    </row>
    <row r="123" spans="1:20" ht="24">
      <c r="A123" s="7" t="s">
        <v>632</v>
      </c>
      <c r="B123" s="7" t="s">
        <v>507</v>
      </c>
      <c r="C123" s="8">
        <v>1</v>
      </c>
      <c r="D123" s="7" t="s">
        <v>632</v>
      </c>
      <c r="E123" s="7" t="s">
        <v>651</v>
      </c>
      <c r="F123">
        <v>1137</v>
      </c>
      <c r="G123" s="6">
        <v>25490</v>
      </c>
      <c r="H123" s="11" t="s">
        <v>652</v>
      </c>
      <c r="I123" s="6">
        <v>56</v>
      </c>
      <c r="J123" s="6">
        <v>14</v>
      </c>
      <c r="K123" s="6">
        <v>39</v>
      </c>
      <c r="L123" s="6">
        <v>60</v>
      </c>
      <c r="M123" s="10">
        <f t="shared" si="3"/>
        <v>65</v>
      </c>
      <c r="N123" s="10">
        <f t="shared" si="4"/>
        <v>65</v>
      </c>
      <c r="O123" s="6" t="s">
        <v>52</v>
      </c>
      <c r="P123" s="6">
        <v>3</v>
      </c>
      <c r="Q123" s="6">
        <v>0</v>
      </c>
      <c r="R123" s="6">
        <v>2</v>
      </c>
      <c r="S123" s="6">
        <v>5</v>
      </c>
      <c r="T123" s="6" t="str">
        <f t="shared" si="5"/>
        <v>Sexta</v>
      </c>
    </row>
    <row r="124" spans="1:20" ht="24">
      <c r="A124" s="7" t="s">
        <v>632</v>
      </c>
      <c r="B124" s="7" t="s">
        <v>507</v>
      </c>
      <c r="C124" s="8">
        <v>1</v>
      </c>
      <c r="D124" s="7" t="s">
        <v>632</v>
      </c>
      <c r="E124" s="7" t="s">
        <v>653</v>
      </c>
      <c r="F124">
        <v>1252</v>
      </c>
      <c r="G124" s="6">
        <v>4902</v>
      </c>
      <c r="H124" s="11" t="s">
        <v>654</v>
      </c>
      <c r="I124" s="6">
        <v>46</v>
      </c>
      <c r="J124" s="6">
        <v>4</v>
      </c>
      <c r="K124" s="6">
        <v>3</v>
      </c>
      <c r="L124" s="6">
        <v>23</v>
      </c>
      <c r="M124" s="10">
        <f t="shared" si="3"/>
        <v>13.043478260869565</v>
      </c>
      <c r="N124" s="10">
        <f t="shared" si="4"/>
        <v>14</v>
      </c>
      <c r="O124" s="6" t="s">
        <v>55</v>
      </c>
      <c r="P124" s="6">
        <v>0</v>
      </c>
      <c r="Q124" s="6">
        <v>0</v>
      </c>
      <c r="R124" s="6">
        <v>0</v>
      </c>
      <c r="S124" s="6">
        <v>0</v>
      </c>
      <c r="T124" s="6" t="str">
        <f t="shared" si="5"/>
        <v>Quinta</v>
      </c>
    </row>
    <row r="125" spans="1:20" ht="24">
      <c r="A125" s="7" t="s">
        <v>632</v>
      </c>
      <c r="B125" s="7" t="s">
        <v>507</v>
      </c>
      <c r="C125" s="8">
        <v>1</v>
      </c>
      <c r="D125" s="7" t="s">
        <v>632</v>
      </c>
      <c r="E125" s="7" t="s">
        <v>655</v>
      </c>
      <c r="F125">
        <v>1000</v>
      </c>
      <c r="G125" s="6">
        <v>12969</v>
      </c>
      <c r="H125" s="11" t="s">
        <v>656</v>
      </c>
      <c r="I125" s="6">
        <v>44</v>
      </c>
      <c r="J125" s="6">
        <v>0</v>
      </c>
      <c r="K125" s="6">
        <v>0</v>
      </c>
      <c r="L125" s="6">
        <v>0</v>
      </c>
      <c r="M125" s="10">
        <f t="shared" si="3"/>
        <v>0</v>
      </c>
      <c r="N125" s="10">
        <f t="shared" si="4"/>
        <v>0</v>
      </c>
      <c r="P125" s="6">
        <v>0</v>
      </c>
      <c r="Q125" s="6">
        <v>0</v>
      </c>
      <c r="R125" s="6">
        <v>0</v>
      </c>
      <c r="S125" s="6">
        <v>0</v>
      </c>
      <c r="T125" s="6" t="str">
        <f t="shared" si="5"/>
        <v>Septima</v>
      </c>
    </row>
    <row r="126" spans="1:20" ht="24">
      <c r="A126" s="7" t="s">
        <v>632</v>
      </c>
      <c r="B126" s="7" t="s">
        <v>507</v>
      </c>
      <c r="C126" s="8">
        <v>1</v>
      </c>
      <c r="D126" s="7" t="s">
        <v>632</v>
      </c>
      <c r="E126" s="7" t="s">
        <v>657</v>
      </c>
      <c r="F126">
        <v>1092</v>
      </c>
      <c r="G126" s="6">
        <v>27007</v>
      </c>
      <c r="H126" s="11" t="s">
        <v>658</v>
      </c>
      <c r="I126" s="6">
        <v>14</v>
      </c>
      <c r="J126" s="6">
        <v>10</v>
      </c>
      <c r="K126" s="6">
        <v>21</v>
      </c>
      <c r="L126" s="6">
        <v>58</v>
      </c>
      <c r="M126" s="10">
        <f t="shared" si="3"/>
        <v>36.206896551724135</v>
      </c>
      <c r="N126" s="10">
        <f t="shared" si="4"/>
        <v>37</v>
      </c>
      <c r="O126" s="6" t="s">
        <v>31</v>
      </c>
      <c r="P126" s="6">
        <v>2</v>
      </c>
      <c r="Q126" s="6">
        <v>0</v>
      </c>
      <c r="R126" s="6">
        <v>1</v>
      </c>
      <c r="S126" s="6">
        <v>3</v>
      </c>
      <c r="T126" s="6" t="str">
        <f t="shared" si="5"/>
        <v>Sexta</v>
      </c>
    </row>
    <row r="127" spans="1:20" ht="24">
      <c r="A127" s="7" t="s">
        <v>632</v>
      </c>
      <c r="B127" s="7" t="s">
        <v>526</v>
      </c>
      <c r="C127" s="8">
        <v>1</v>
      </c>
      <c r="D127" s="7" t="s">
        <v>632</v>
      </c>
      <c r="E127" s="7" t="s">
        <v>649</v>
      </c>
      <c r="F127">
        <v>1687</v>
      </c>
      <c r="G127" s="6">
        <v>2134</v>
      </c>
      <c r="H127" s="11" t="s">
        <v>650</v>
      </c>
      <c r="I127" s="6">
        <v>35</v>
      </c>
      <c r="J127" s="6">
        <v>1</v>
      </c>
      <c r="K127" s="6">
        <v>4</v>
      </c>
      <c r="L127" s="6">
        <v>57</v>
      </c>
      <c r="M127" s="10">
        <f t="shared" si="3"/>
        <v>7.0175438596491224</v>
      </c>
      <c r="N127" s="10">
        <f t="shared" si="4"/>
        <v>8</v>
      </c>
      <c r="O127" s="6" t="s">
        <v>54</v>
      </c>
      <c r="P127" s="6">
        <v>0</v>
      </c>
      <c r="Q127" s="6">
        <v>0</v>
      </c>
      <c r="R127" s="6">
        <v>0</v>
      </c>
      <c r="S127" s="6">
        <v>0</v>
      </c>
      <c r="T127" s="6" t="str">
        <f t="shared" si="5"/>
        <v>Tercera</v>
      </c>
    </row>
    <row r="128" spans="1:20" ht="24">
      <c r="A128" s="7" t="s">
        <v>632</v>
      </c>
      <c r="B128" s="7" t="s">
        <v>526</v>
      </c>
      <c r="C128" s="8">
        <v>1</v>
      </c>
      <c r="D128" s="7" t="s">
        <v>632</v>
      </c>
      <c r="E128" s="7" t="s">
        <v>653</v>
      </c>
      <c r="F128">
        <v>1252</v>
      </c>
      <c r="G128" s="6">
        <v>4902</v>
      </c>
      <c r="H128" s="11" t="s">
        <v>654</v>
      </c>
      <c r="I128" s="6">
        <v>46</v>
      </c>
      <c r="J128" s="6">
        <v>4</v>
      </c>
      <c r="K128" s="6">
        <v>3</v>
      </c>
      <c r="L128" s="6">
        <v>23</v>
      </c>
      <c r="M128" s="10">
        <f t="shared" si="3"/>
        <v>13.043478260869565</v>
      </c>
      <c r="N128" s="10">
        <f t="shared" si="4"/>
        <v>14</v>
      </c>
      <c r="O128" s="6" t="s">
        <v>55</v>
      </c>
      <c r="P128" s="6">
        <v>0</v>
      </c>
      <c r="Q128" s="6">
        <v>0</v>
      </c>
      <c r="R128" s="6">
        <v>0</v>
      </c>
      <c r="S128" s="6">
        <v>0</v>
      </c>
      <c r="T128" s="6" t="str">
        <f t="shared" si="5"/>
        <v>Quinta</v>
      </c>
    </row>
    <row r="129" spans="1:20" ht="24">
      <c r="A129" s="7" t="s">
        <v>632</v>
      </c>
      <c r="B129" s="7" t="s">
        <v>526</v>
      </c>
      <c r="C129" s="8">
        <v>1</v>
      </c>
      <c r="D129" s="7" t="s">
        <v>632</v>
      </c>
      <c r="E129" s="7" t="s">
        <v>659</v>
      </c>
      <c r="F129">
        <v>1037</v>
      </c>
      <c r="G129" s="6">
        <v>29366</v>
      </c>
      <c r="H129" s="11" t="s">
        <v>660</v>
      </c>
      <c r="I129" s="6">
        <v>30</v>
      </c>
      <c r="J129" s="6">
        <v>1</v>
      </c>
      <c r="K129" s="6">
        <v>6</v>
      </c>
      <c r="L129" s="6">
        <v>86</v>
      </c>
      <c r="M129" s="10">
        <f t="shared" si="3"/>
        <v>6.9767441860465116</v>
      </c>
      <c r="N129" s="10">
        <f t="shared" si="4"/>
        <v>7</v>
      </c>
      <c r="O129" s="6" t="s">
        <v>52</v>
      </c>
      <c r="P129" s="6">
        <v>0</v>
      </c>
      <c r="Q129" s="6">
        <v>1</v>
      </c>
      <c r="R129" s="6">
        <v>0</v>
      </c>
      <c r="S129" s="6">
        <v>1</v>
      </c>
      <c r="T129" s="6" t="str">
        <f t="shared" si="5"/>
        <v>Septima</v>
      </c>
    </row>
    <row r="130" spans="1:20" ht="24">
      <c r="A130" s="7" t="s">
        <v>632</v>
      </c>
      <c r="B130" s="7" t="s">
        <v>526</v>
      </c>
      <c r="C130" s="8">
        <v>1</v>
      </c>
      <c r="D130" s="7" t="s">
        <v>632</v>
      </c>
      <c r="E130" s="7" t="s">
        <v>661</v>
      </c>
      <c r="F130">
        <v>1000</v>
      </c>
      <c r="G130" s="6">
        <v>6031</v>
      </c>
      <c r="H130" s="11" t="s">
        <v>662</v>
      </c>
      <c r="I130" s="6">
        <v>32</v>
      </c>
      <c r="J130" s="6">
        <v>0</v>
      </c>
      <c r="K130" s="6">
        <v>0</v>
      </c>
      <c r="L130" s="6">
        <v>0</v>
      </c>
      <c r="M130" s="10">
        <f t="shared" si="3"/>
        <v>0</v>
      </c>
      <c r="N130" s="10">
        <f t="shared" si="4"/>
        <v>0</v>
      </c>
      <c r="P130" s="6">
        <v>0</v>
      </c>
      <c r="Q130" s="6">
        <v>0</v>
      </c>
      <c r="R130" s="6">
        <v>0</v>
      </c>
      <c r="S130" s="6">
        <v>0</v>
      </c>
      <c r="T130" s="6" t="str">
        <f t="shared" si="5"/>
        <v>Septima</v>
      </c>
    </row>
    <row r="131" spans="1:20" ht="24">
      <c r="A131" s="7" t="s">
        <v>632</v>
      </c>
      <c r="B131" s="7" t="s">
        <v>526</v>
      </c>
      <c r="C131" s="8">
        <v>1</v>
      </c>
      <c r="D131" s="7" t="s">
        <v>632</v>
      </c>
      <c r="E131" s="7" t="s">
        <v>663</v>
      </c>
      <c r="F131">
        <v>970</v>
      </c>
      <c r="G131" s="6">
        <v>27264</v>
      </c>
      <c r="H131" s="11" t="s">
        <v>664</v>
      </c>
      <c r="I131" s="6">
        <v>50</v>
      </c>
      <c r="J131" s="6">
        <v>1</v>
      </c>
      <c r="K131" s="6">
        <v>0</v>
      </c>
      <c r="L131" s="6">
        <v>0</v>
      </c>
      <c r="M131" s="10">
        <f t="shared" ref="M131:M194" si="6">IF(K131+L131=0,0,(100*K131/L131))</f>
        <v>0</v>
      </c>
      <c r="N131" s="10">
        <f t="shared" ref="N131:N194" si="7">ROUNDUP(M131,0)</f>
        <v>0</v>
      </c>
      <c r="O131" s="6" t="s">
        <v>56</v>
      </c>
      <c r="P131" s="6">
        <v>0</v>
      </c>
      <c r="Q131" s="6">
        <v>0</v>
      </c>
      <c r="R131" s="6">
        <v>0</v>
      </c>
      <c r="S131" s="6">
        <v>0</v>
      </c>
      <c r="T131" s="6" t="str">
        <f t="shared" ref="T131:T194" si="8">IF(F131&gt;2100,"Primera",
IF(F131&gt;=1800,"Segunda",
IF(F131&gt;=1600,"Tercera",
IF(F131&gt;=1400,"Cuarta",
IF(F131&gt;=1200,"Quinta",
IF(F131&gt;=1080,"Sexta",
IF(F131&gt;=980,"Septima",
"Octava")))))))</f>
        <v>Octava</v>
      </c>
    </row>
    <row r="132" spans="1:20" ht="24">
      <c r="A132" s="7" t="s">
        <v>632</v>
      </c>
      <c r="B132" s="7" t="s">
        <v>526</v>
      </c>
      <c r="C132" s="8">
        <v>1</v>
      </c>
      <c r="D132" s="7" t="s">
        <v>632</v>
      </c>
      <c r="E132" s="7" t="s">
        <v>665</v>
      </c>
      <c r="F132">
        <v>908</v>
      </c>
      <c r="G132" s="6">
        <v>27263</v>
      </c>
      <c r="H132" s="11" t="s">
        <v>666</v>
      </c>
      <c r="I132" s="6">
        <v>42</v>
      </c>
      <c r="J132" s="6">
        <v>3</v>
      </c>
      <c r="K132" s="6">
        <v>1</v>
      </c>
      <c r="L132" s="6">
        <v>10</v>
      </c>
      <c r="M132" s="10">
        <f t="shared" si="6"/>
        <v>10</v>
      </c>
      <c r="N132" s="10">
        <f t="shared" si="7"/>
        <v>10</v>
      </c>
      <c r="O132" s="6" t="s">
        <v>51</v>
      </c>
      <c r="P132" s="6">
        <v>0</v>
      </c>
      <c r="Q132" s="6">
        <v>0</v>
      </c>
      <c r="R132" s="6">
        <v>0</v>
      </c>
      <c r="S132" s="6">
        <v>0</v>
      </c>
      <c r="T132" s="6" t="str">
        <f t="shared" si="8"/>
        <v>Octava</v>
      </c>
    </row>
    <row r="133" spans="1:20" ht="24">
      <c r="A133" s="7" t="s">
        <v>632</v>
      </c>
      <c r="B133" s="7" t="s">
        <v>526</v>
      </c>
      <c r="C133" s="8">
        <v>1</v>
      </c>
      <c r="D133" s="7" t="s">
        <v>632</v>
      </c>
      <c r="E133" s="7" t="s">
        <v>667</v>
      </c>
      <c r="F133">
        <v>919</v>
      </c>
      <c r="G133" s="6">
        <v>26034</v>
      </c>
      <c r="H133" s="11" t="s">
        <v>668</v>
      </c>
      <c r="I133" s="6">
        <v>74</v>
      </c>
      <c r="J133" s="6">
        <v>3</v>
      </c>
      <c r="K133" s="6">
        <v>0</v>
      </c>
      <c r="L133" s="6">
        <v>0</v>
      </c>
      <c r="M133" s="10">
        <f t="shared" si="6"/>
        <v>0</v>
      </c>
      <c r="N133" s="10">
        <f t="shared" si="7"/>
        <v>0</v>
      </c>
      <c r="O133" s="6" t="s">
        <v>57</v>
      </c>
      <c r="P133" s="6">
        <v>0</v>
      </c>
      <c r="Q133" s="6">
        <v>0</v>
      </c>
      <c r="R133" s="6">
        <v>0</v>
      </c>
      <c r="S133" s="6">
        <v>0</v>
      </c>
      <c r="T133" s="6" t="str">
        <f t="shared" si="8"/>
        <v>Octava</v>
      </c>
    </row>
    <row r="134" spans="1:20" ht="24">
      <c r="A134" s="7" t="s">
        <v>669</v>
      </c>
      <c r="B134" s="7" t="s">
        <v>421</v>
      </c>
      <c r="C134" s="8">
        <v>1</v>
      </c>
      <c r="D134" s="7" t="s">
        <v>669</v>
      </c>
      <c r="E134" s="7" t="s">
        <v>670</v>
      </c>
      <c r="F134">
        <v>2625</v>
      </c>
      <c r="G134" s="6">
        <v>2290</v>
      </c>
      <c r="H134" s="11" t="s">
        <v>671</v>
      </c>
      <c r="I134" s="6">
        <v>34</v>
      </c>
      <c r="J134" s="6">
        <v>9</v>
      </c>
      <c r="K134" s="6">
        <v>53</v>
      </c>
      <c r="L134" s="6">
        <v>96</v>
      </c>
      <c r="M134" s="10">
        <f t="shared" si="6"/>
        <v>55.208333333333336</v>
      </c>
      <c r="N134" s="10">
        <f t="shared" si="7"/>
        <v>56</v>
      </c>
      <c r="O134" s="6" t="s">
        <v>58</v>
      </c>
      <c r="P134" s="6">
        <v>7</v>
      </c>
      <c r="Q134" s="6">
        <v>1</v>
      </c>
      <c r="R134" s="6">
        <v>1</v>
      </c>
      <c r="S134" s="6">
        <v>9</v>
      </c>
      <c r="T134" s="6" t="str">
        <f t="shared" si="8"/>
        <v>Primera</v>
      </c>
    </row>
    <row r="135" spans="1:20" ht="24">
      <c r="A135" s="7" t="s">
        <v>669</v>
      </c>
      <c r="B135" s="7" t="s">
        <v>421</v>
      </c>
      <c r="C135" s="8">
        <v>1</v>
      </c>
      <c r="D135" s="7" t="s">
        <v>669</v>
      </c>
      <c r="E135" s="7" t="s">
        <v>672</v>
      </c>
      <c r="F135">
        <v>2632</v>
      </c>
      <c r="G135" s="6">
        <v>1283</v>
      </c>
      <c r="H135" s="11" t="s">
        <v>673</v>
      </c>
      <c r="I135" s="6">
        <v>39</v>
      </c>
      <c r="J135" s="6">
        <v>48</v>
      </c>
      <c r="K135" s="6">
        <v>233</v>
      </c>
      <c r="L135" s="6">
        <v>90</v>
      </c>
      <c r="M135" s="10">
        <f t="shared" si="6"/>
        <v>258.88888888888891</v>
      </c>
      <c r="N135" s="10">
        <f t="shared" si="7"/>
        <v>259</v>
      </c>
      <c r="O135" s="6" t="s">
        <v>59</v>
      </c>
      <c r="P135" s="6">
        <v>23</v>
      </c>
      <c r="Q135" s="6">
        <v>9</v>
      </c>
      <c r="R135" s="6">
        <v>8</v>
      </c>
      <c r="S135" s="6">
        <v>40</v>
      </c>
      <c r="T135" s="6" t="str">
        <f t="shared" si="8"/>
        <v>Primera</v>
      </c>
    </row>
    <row r="136" spans="1:20" ht="24">
      <c r="A136" s="7" t="s">
        <v>669</v>
      </c>
      <c r="B136" s="7" t="s">
        <v>421</v>
      </c>
      <c r="C136" s="8">
        <v>1</v>
      </c>
      <c r="D136" s="7" t="s">
        <v>669</v>
      </c>
      <c r="E136" s="7" t="s">
        <v>674</v>
      </c>
      <c r="F136">
        <v>2730</v>
      </c>
      <c r="G136" s="6">
        <v>4785</v>
      </c>
      <c r="H136" s="11" t="s">
        <v>675</v>
      </c>
      <c r="I136" s="6">
        <v>38</v>
      </c>
      <c r="J136" s="6">
        <v>60</v>
      </c>
      <c r="K136" s="6">
        <v>283</v>
      </c>
      <c r="L136" s="6">
        <v>88</v>
      </c>
      <c r="M136" s="10">
        <f t="shared" si="6"/>
        <v>321.59090909090907</v>
      </c>
      <c r="N136" s="10">
        <f t="shared" si="7"/>
        <v>322</v>
      </c>
      <c r="O136" s="6" t="s">
        <v>19</v>
      </c>
      <c r="P136" s="6">
        <v>27</v>
      </c>
      <c r="Q136" s="6">
        <v>9</v>
      </c>
      <c r="R136" s="6">
        <v>14</v>
      </c>
      <c r="S136" s="6">
        <v>50</v>
      </c>
      <c r="T136" s="6" t="str">
        <f t="shared" si="8"/>
        <v>Primera</v>
      </c>
    </row>
    <row r="137" spans="1:20" ht="24">
      <c r="A137" s="7" t="s">
        <v>669</v>
      </c>
      <c r="B137" s="7" t="s">
        <v>421</v>
      </c>
      <c r="C137" s="8">
        <v>1</v>
      </c>
      <c r="D137" s="7" t="s">
        <v>669</v>
      </c>
      <c r="E137" s="7" t="s">
        <v>676</v>
      </c>
      <c r="F137">
        <v>2700</v>
      </c>
      <c r="G137" s="6">
        <v>14019</v>
      </c>
      <c r="H137" s="11" t="s">
        <v>677</v>
      </c>
      <c r="I137" s="6">
        <v>36</v>
      </c>
      <c r="J137" s="6">
        <v>2</v>
      </c>
      <c r="K137" s="6">
        <v>10</v>
      </c>
      <c r="L137" s="6">
        <v>91</v>
      </c>
      <c r="M137" s="10">
        <f t="shared" si="6"/>
        <v>10.989010989010989</v>
      </c>
      <c r="N137" s="10">
        <f t="shared" si="7"/>
        <v>11</v>
      </c>
      <c r="O137" s="6" t="s">
        <v>60</v>
      </c>
      <c r="P137" s="6">
        <v>1</v>
      </c>
      <c r="Q137" s="6">
        <v>1</v>
      </c>
      <c r="R137" s="6">
        <v>0</v>
      </c>
      <c r="S137" s="6">
        <v>2</v>
      </c>
      <c r="T137" s="6" t="str">
        <f t="shared" si="8"/>
        <v>Primera</v>
      </c>
    </row>
    <row r="138" spans="1:20" ht="24">
      <c r="A138" s="7" t="s">
        <v>669</v>
      </c>
      <c r="B138" s="7" t="s">
        <v>421</v>
      </c>
      <c r="C138" s="8">
        <v>1</v>
      </c>
      <c r="D138" s="7" t="s">
        <v>669</v>
      </c>
      <c r="E138" s="7" t="s">
        <v>678</v>
      </c>
      <c r="F138">
        <v>2760</v>
      </c>
      <c r="G138" s="6">
        <v>15734</v>
      </c>
      <c r="H138" s="11" t="s">
        <v>679</v>
      </c>
      <c r="I138" s="6">
        <v>19</v>
      </c>
      <c r="J138" s="6">
        <v>149</v>
      </c>
      <c r="K138" s="6">
        <v>535</v>
      </c>
      <c r="L138" s="6">
        <v>69</v>
      </c>
      <c r="M138" s="10">
        <f t="shared" si="6"/>
        <v>775.36231884057975</v>
      </c>
      <c r="N138" s="10">
        <f t="shared" si="7"/>
        <v>776</v>
      </c>
      <c r="O138" s="6" t="s">
        <v>38</v>
      </c>
      <c r="P138" s="6">
        <v>24</v>
      </c>
      <c r="Q138" s="6">
        <v>23</v>
      </c>
      <c r="R138" s="6">
        <v>32</v>
      </c>
      <c r="S138" s="6">
        <v>79</v>
      </c>
      <c r="T138" s="6" t="str">
        <f t="shared" si="8"/>
        <v>Primera</v>
      </c>
    </row>
    <row r="139" spans="1:20" ht="24">
      <c r="A139" s="7" t="s">
        <v>669</v>
      </c>
      <c r="B139" s="7" t="s">
        <v>421</v>
      </c>
      <c r="C139" s="8">
        <v>1</v>
      </c>
      <c r="D139" s="7" t="s">
        <v>669</v>
      </c>
      <c r="E139" s="7" t="s">
        <v>680</v>
      </c>
      <c r="F139">
        <v>2307</v>
      </c>
      <c r="G139" s="6">
        <v>23356</v>
      </c>
      <c r="H139" s="11" t="s">
        <v>681</v>
      </c>
      <c r="I139" s="6">
        <v>28</v>
      </c>
      <c r="J139" s="6">
        <v>1</v>
      </c>
      <c r="K139" s="6">
        <v>2</v>
      </c>
      <c r="L139" s="6">
        <v>50</v>
      </c>
      <c r="M139" s="10">
        <f t="shared" si="6"/>
        <v>4</v>
      </c>
      <c r="N139" s="10">
        <f t="shared" si="7"/>
        <v>4</v>
      </c>
      <c r="O139" s="6" t="s">
        <v>61</v>
      </c>
      <c r="P139" s="6">
        <v>0</v>
      </c>
      <c r="Q139" s="6">
        <v>0</v>
      </c>
      <c r="R139" s="6">
        <v>0</v>
      </c>
      <c r="S139" s="6">
        <v>0</v>
      </c>
      <c r="T139" s="6" t="str">
        <f t="shared" si="8"/>
        <v>Primera</v>
      </c>
    </row>
    <row r="140" spans="1:20" ht="24">
      <c r="A140" s="7" t="s">
        <v>669</v>
      </c>
      <c r="B140" s="7" t="s">
        <v>434</v>
      </c>
      <c r="C140" s="8">
        <v>1</v>
      </c>
      <c r="D140" s="7" t="s">
        <v>669</v>
      </c>
      <c r="E140" s="7" t="s">
        <v>682</v>
      </c>
      <c r="F140">
        <v>2255</v>
      </c>
      <c r="G140" s="6">
        <v>19947</v>
      </c>
      <c r="H140" s="11" t="s">
        <v>683</v>
      </c>
      <c r="I140" s="6">
        <v>19</v>
      </c>
      <c r="J140" s="6">
        <v>77</v>
      </c>
      <c r="K140" s="6">
        <v>246</v>
      </c>
      <c r="L140" s="6">
        <v>59</v>
      </c>
      <c r="M140" s="10">
        <f t="shared" si="6"/>
        <v>416.94915254237287</v>
      </c>
      <c r="N140" s="10">
        <f t="shared" si="7"/>
        <v>417</v>
      </c>
      <c r="O140" s="6" t="s">
        <v>19</v>
      </c>
      <c r="P140" s="6">
        <v>6</v>
      </c>
      <c r="Q140" s="6">
        <v>11</v>
      </c>
      <c r="R140" s="6">
        <v>10</v>
      </c>
      <c r="S140" s="6">
        <v>27</v>
      </c>
      <c r="T140" s="6" t="str">
        <f t="shared" si="8"/>
        <v>Primera</v>
      </c>
    </row>
    <row r="141" spans="1:20" ht="24">
      <c r="A141" s="7" t="s">
        <v>669</v>
      </c>
      <c r="B141" s="7" t="s">
        <v>434</v>
      </c>
      <c r="C141" s="8">
        <v>1</v>
      </c>
      <c r="D141" s="7" t="s">
        <v>669</v>
      </c>
      <c r="E141" s="7" t="s">
        <v>684</v>
      </c>
      <c r="F141">
        <v>2254</v>
      </c>
      <c r="G141" s="6">
        <v>17134</v>
      </c>
      <c r="H141" s="11" t="s">
        <v>685</v>
      </c>
      <c r="I141" s="6">
        <v>20</v>
      </c>
      <c r="J141" s="6">
        <v>74</v>
      </c>
      <c r="K141" s="6">
        <v>241</v>
      </c>
      <c r="L141" s="6">
        <v>64</v>
      </c>
      <c r="M141" s="10">
        <f t="shared" si="6"/>
        <v>376.5625</v>
      </c>
      <c r="N141" s="10">
        <f t="shared" si="7"/>
        <v>377</v>
      </c>
      <c r="O141" s="6" t="s">
        <v>62</v>
      </c>
      <c r="P141" s="6">
        <v>11</v>
      </c>
      <c r="Q141" s="6">
        <v>6</v>
      </c>
      <c r="R141" s="6">
        <v>14</v>
      </c>
      <c r="S141" s="6">
        <v>31</v>
      </c>
      <c r="T141" s="6" t="str">
        <f t="shared" si="8"/>
        <v>Primera</v>
      </c>
    </row>
    <row r="142" spans="1:20" ht="24">
      <c r="A142" s="7" t="s">
        <v>669</v>
      </c>
      <c r="B142" s="7" t="s">
        <v>434</v>
      </c>
      <c r="C142" s="8">
        <v>1</v>
      </c>
      <c r="D142" s="7" t="s">
        <v>669</v>
      </c>
      <c r="E142" s="7" t="s">
        <v>686</v>
      </c>
      <c r="F142">
        <v>2280</v>
      </c>
      <c r="G142" s="6">
        <v>5179</v>
      </c>
      <c r="H142" s="11" t="s">
        <v>687</v>
      </c>
      <c r="I142" s="6">
        <v>40</v>
      </c>
      <c r="J142" s="6">
        <v>4</v>
      </c>
      <c r="K142" s="6">
        <v>15</v>
      </c>
      <c r="L142" s="6">
        <v>79</v>
      </c>
      <c r="M142" s="10">
        <f t="shared" si="6"/>
        <v>18.9873417721519</v>
      </c>
      <c r="N142" s="10">
        <f t="shared" si="7"/>
        <v>19</v>
      </c>
      <c r="O142" s="6" t="s">
        <v>59</v>
      </c>
      <c r="P142" s="6">
        <v>1</v>
      </c>
      <c r="Q142" s="6">
        <v>0</v>
      </c>
      <c r="R142" s="6">
        <v>0</v>
      </c>
      <c r="S142" s="6">
        <v>1</v>
      </c>
      <c r="T142" s="6" t="str">
        <f t="shared" si="8"/>
        <v>Primera</v>
      </c>
    </row>
    <row r="143" spans="1:20" ht="24">
      <c r="A143" s="7" t="s">
        <v>669</v>
      </c>
      <c r="B143" s="7" t="s">
        <v>434</v>
      </c>
      <c r="C143" s="8">
        <v>1</v>
      </c>
      <c r="D143" s="7" t="s">
        <v>669</v>
      </c>
      <c r="E143" s="7" t="s">
        <v>688</v>
      </c>
      <c r="F143">
        <v>2204</v>
      </c>
      <c r="G143" s="6">
        <v>19959</v>
      </c>
      <c r="H143" s="11" t="s">
        <v>689</v>
      </c>
      <c r="I143" s="6">
        <v>42</v>
      </c>
      <c r="J143" s="6">
        <v>6</v>
      </c>
      <c r="K143" s="6">
        <v>12</v>
      </c>
      <c r="L143" s="6">
        <v>52</v>
      </c>
      <c r="M143" s="10">
        <f t="shared" si="6"/>
        <v>23.076923076923077</v>
      </c>
      <c r="N143" s="10">
        <f t="shared" si="7"/>
        <v>24</v>
      </c>
      <c r="O143" s="6" t="s">
        <v>63</v>
      </c>
      <c r="P143" s="6">
        <v>1</v>
      </c>
      <c r="Q143" s="6">
        <v>0</v>
      </c>
      <c r="R143" s="6">
        <v>0</v>
      </c>
      <c r="S143" s="6">
        <v>1</v>
      </c>
      <c r="T143" s="6" t="str">
        <f t="shared" si="8"/>
        <v>Primera</v>
      </c>
    </row>
    <row r="144" spans="1:20" ht="24">
      <c r="A144" s="7" t="s">
        <v>669</v>
      </c>
      <c r="B144" s="7" t="s">
        <v>434</v>
      </c>
      <c r="C144" s="8">
        <v>1</v>
      </c>
      <c r="D144" s="7" t="s">
        <v>669</v>
      </c>
      <c r="E144" s="7" t="s">
        <v>690</v>
      </c>
      <c r="F144">
        <v>1000</v>
      </c>
      <c r="G144" s="6">
        <v>21613</v>
      </c>
      <c r="H144" s="11" t="s">
        <v>691</v>
      </c>
      <c r="I144" s="6">
        <v>24</v>
      </c>
      <c r="J144" s="6">
        <v>0</v>
      </c>
      <c r="K144" s="6">
        <v>0</v>
      </c>
      <c r="L144" s="6">
        <v>0</v>
      </c>
      <c r="M144" s="10">
        <f t="shared" si="6"/>
        <v>0</v>
      </c>
      <c r="N144" s="10">
        <f t="shared" si="7"/>
        <v>0</v>
      </c>
      <c r="P144" s="6">
        <v>0</v>
      </c>
      <c r="Q144" s="6">
        <v>0</v>
      </c>
      <c r="R144" s="6">
        <v>0</v>
      </c>
      <c r="S144" s="6">
        <v>0</v>
      </c>
      <c r="T144" s="6" t="str">
        <f t="shared" si="8"/>
        <v>Septima</v>
      </c>
    </row>
    <row r="145" spans="1:20" ht="24">
      <c r="A145" s="7" t="s">
        <v>669</v>
      </c>
      <c r="B145" s="7" t="s">
        <v>434</v>
      </c>
      <c r="C145" s="8">
        <v>1</v>
      </c>
      <c r="D145" s="7" t="s">
        <v>669</v>
      </c>
      <c r="E145" s="7" t="s">
        <v>692</v>
      </c>
      <c r="F145">
        <v>2137</v>
      </c>
      <c r="G145" s="6">
        <v>21612</v>
      </c>
      <c r="H145" s="11" t="s">
        <v>693</v>
      </c>
      <c r="I145" s="6">
        <v>22</v>
      </c>
      <c r="J145" s="6">
        <v>6</v>
      </c>
      <c r="K145" s="6">
        <v>9</v>
      </c>
      <c r="L145" s="6">
        <v>45</v>
      </c>
      <c r="M145" s="10">
        <f t="shared" si="6"/>
        <v>20</v>
      </c>
      <c r="N145" s="10">
        <f t="shared" si="7"/>
        <v>20</v>
      </c>
      <c r="O145" s="6" t="s">
        <v>9</v>
      </c>
      <c r="P145" s="6">
        <v>0</v>
      </c>
      <c r="Q145" s="6">
        <v>0</v>
      </c>
      <c r="R145" s="6">
        <v>0</v>
      </c>
      <c r="S145" s="6">
        <v>0</v>
      </c>
      <c r="T145" s="6" t="str">
        <f t="shared" si="8"/>
        <v>Primera</v>
      </c>
    </row>
    <row r="146" spans="1:20" ht="24">
      <c r="A146" s="7" t="s">
        <v>669</v>
      </c>
      <c r="B146" s="7" t="s">
        <v>451</v>
      </c>
      <c r="C146" s="8">
        <v>1</v>
      </c>
      <c r="D146" s="7" t="s">
        <v>669</v>
      </c>
      <c r="E146" s="7" t="s">
        <v>692</v>
      </c>
      <c r="F146">
        <v>2137</v>
      </c>
      <c r="G146" s="6">
        <v>21612</v>
      </c>
      <c r="H146" s="11" t="s">
        <v>693</v>
      </c>
      <c r="I146" s="6">
        <v>22</v>
      </c>
      <c r="J146" s="6">
        <v>6</v>
      </c>
      <c r="K146" s="6">
        <v>9</v>
      </c>
      <c r="L146" s="6">
        <v>45</v>
      </c>
      <c r="M146" s="10">
        <f t="shared" si="6"/>
        <v>20</v>
      </c>
      <c r="N146" s="10">
        <f t="shared" si="7"/>
        <v>20</v>
      </c>
      <c r="O146" s="6" t="s">
        <v>9</v>
      </c>
      <c r="P146" s="6">
        <v>0</v>
      </c>
      <c r="Q146" s="6">
        <v>0</v>
      </c>
      <c r="R146" s="6">
        <v>0</v>
      </c>
      <c r="S146" s="6">
        <v>0</v>
      </c>
      <c r="T146" s="6" t="str">
        <f t="shared" si="8"/>
        <v>Primera</v>
      </c>
    </row>
    <row r="147" spans="1:20" ht="24">
      <c r="A147" s="7" t="s">
        <v>669</v>
      </c>
      <c r="B147" s="7" t="s">
        <v>451</v>
      </c>
      <c r="C147" s="8">
        <v>1</v>
      </c>
      <c r="D147" s="7" t="s">
        <v>669</v>
      </c>
      <c r="E147" s="7" t="s">
        <v>694</v>
      </c>
      <c r="F147">
        <v>1835</v>
      </c>
      <c r="G147" s="6">
        <v>19127</v>
      </c>
      <c r="H147" s="11" t="s">
        <v>695</v>
      </c>
      <c r="I147" s="6">
        <v>36</v>
      </c>
      <c r="J147" s="6">
        <v>51</v>
      </c>
      <c r="K147" s="6">
        <v>141</v>
      </c>
      <c r="L147" s="6">
        <v>57</v>
      </c>
      <c r="M147" s="10">
        <f t="shared" si="6"/>
        <v>247.36842105263159</v>
      </c>
      <c r="N147" s="10">
        <f t="shared" si="7"/>
        <v>248</v>
      </c>
      <c r="O147" s="6" t="s">
        <v>64</v>
      </c>
      <c r="P147" s="6">
        <v>7</v>
      </c>
      <c r="Q147" s="6">
        <v>4</v>
      </c>
      <c r="R147" s="6">
        <v>5</v>
      </c>
      <c r="S147" s="6">
        <v>16</v>
      </c>
      <c r="T147" s="6" t="str">
        <f t="shared" si="8"/>
        <v>Segunda</v>
      </c>
    </row>
    <row r="148" spans="1:20" ht="24">
      <c r="A148" s="7" t="s">
        <v>669</v>
      </c>
      <c r="B148" s="7" t="s">
        <v>451</v>
      </c>
      <c r="C148" s="8">
        <v>1</v>
      </c>
      <c r="D148" s="7" t="s">
        <v>669</v>
      </c>
      <c r="E148" s="7" t="s">
        <v>696</v>
      </c>
      <c r="F148">
        <v>1561</v>
      </c>
      <c r="G148" s="6">
        <v>709</v>
      </c>
      <c r="H148" s="11" t="s">
        <v>697</v>
      </c>
      <c r="I148" s="6">
        <v>47</v>
      </c>
      <c r="J148" s="6">
        <v>36</v>
      </c>
      <c r="K148" s="6">
        <v>68</v>
      </c>
      <c r="L148" s="6">
        <v>35</v>
      </c>
      <c r="M148" s="10">
        <f t="shared" si="6"/>
        <v>194.28571428571428</v>
      </c>
      <c r="N148" s="10">
        <f t="shared" si="7"/>
        <v>195</v>
      </c>
      <c r="O148" s="6" t="s">
        <v>65</v>
      </c>
      <c r="P148" s="6">
        <v>0</v>
      </c>
      <c r="Q148" s="6">
        <v>0</v>
      </c>
      <c r="R148" s="6">
        <v>3</v>
      </c>
      <c r="S148" s="6">
        <v>3</v>
      </c>
      <c r="T148" s="6" t="str">
        <f t="shared" si="8"/>
        <v>Cuarta</v>
      </c>
    </row>
    <row r="149" spans="1:20" ht="24">
      <c r="A149" s="7" t="s">
        <v>669</v>
      </c>
      <c r="B149" s="7" t="s">
        <v>451</v>
      </c>
      <c r="C149" s="8">
        <v>1</v>
      </c>
      <c r="D149" s="7" t="s">
        <v>669</v>
      </c>
      <c r="E149" s="7" t="s">
        <v>698</v>
      </c>
      <c r="F149">
        <v>2094</v>
      </c>
      <c r="G149" s="6">
        <v>2458</v>
      </c>
      <c r="H149" s="11" t="s">
        <v>699</v>
      </c>
      <c r="I149" s="6">
        <v>61</v>
      </c>
      <c r="J149" s="6">
        <v>6</v>
      </c>
      <c r="K149" s="6">
        <v>15</v>
      </c>
      <c r="L149" s="6">
        <v>54</v>
      </c>
      <c r="M149" s="10">
        <f t="shared" si="6"/>
        <v>27.777777777777779</v>
      </c>
      <c r="N149" s="10">
        <f t="shared" si="7"/>
        <v>28</v>
      </c>
      <c r="O149" s="6" t="s">
        <v>66</v>
      </c>
      <c r="P149" s="6">
        <v>0</v>
      </c>
      <c r="Q149" s="6">
        <v>1</v>
      </c>
      <c r="R149" s="6">
        <v>0</v>
      </c>
      <c r="S149" s="6">
        <v>1</v>
      </c>
      <c r="T149" s="6" t="str">
        <f t="shared" si="8"/>
        <v>Segunda</v>
      </c>
    </row>
    <row r="150" spans="1:20" ht="24">
      <c r="A150" s="7" t="s">
        <v>669</v>
      </c>
      <c r="B150" s="7" t="s">
        <v>451</v>
      </c>
      <c r="C150" s="8">
        <v>1</v>
      </c>
      <c r="D150" s="7" t="s">
        <v>669</v>
      </c>
      <c r="E150" s="7" t="s">
        <v>700</v>
      </c>
      <c r="F150">
        <v>1726</v>
      </c>
      <c r="G150" s="6">
        <v>18401</v>
      </c>
      <c r="H150" s="11" t="s">
        <v>701</v>
      </c>
      <c r="I150" s="6">
        <v>19</v>
      </c>
      <c r="J150" s="6">
        <v>25</v>
      </c>
      <c r="K150" s="6">
        <v>51</v>
      </c>
      <c r="L150" s="6">
        <v>39</v>
      </c>
      <c r="M150" s="10">
        <f t="shared" si="6"/>
        <v>130.76923076923077</v>
      </c>
      <c r="N150" s="10">
        <f t="shared" si="7"/>
        <v>131</v>
      </c>
      <c r="O150" s="6" t="s">
        <v>45</v>
      </c>
      <c r="P150" s="6">
        <v>1</v>
      </c>
      <c r="Q150" s="6">
        <v>0</v>
      </c>
      <c r="R150" s="6">
        <v>4</v>
      </c>
      <c r="S150" s="6">
        <v>5</v>
      </c>
      <c r="T150" s="6" t="str">
        <f t="shared" si="8"/>
        <v>Tercera</v>
      </c>
    </row>
    <row r="151" spans="1:20" ht="24">
      <c r="A151" s="7" t="s">
        <v>669</v>
      </c>
      <c r="B151" s="7" t="s">
        <v>468</v>
      </c>
      <c r="C151" s="8">
        <v>1</v>
      </c>
      <c r="D151" s="7" t="s">
        <v>669</v>
      </c>
      <c r="E151" s="7" t="s">
        <v>702</v>
      </c>
      <c r="F151">
        <v>1856</v>
      </c>
      <c r="G151" s="6">
        <v>1542</v>
      </c>
      <c r="H151" s="11" t="s">
        <v>703</v>
      </c>
      <c r="I151" s="6">
        <v>60</v>
      </c>
      <c r="J151" s="6">
        <v>174</v>
      </c>
      <c r="K151" s="6">
        <v>321</v>
      </c>
      <c r="L151" s="6">
        <v>44</v>
      </c>
      <c r="M151" s="10">
        <f t="shared" si="6"/>
        <v>729.5454545454545</v>
      </c>
      <c r="N151" s="10">
        <f t="shared" si="7"/>
        <v>730</v>
      </c>
      <c r="O151" s="6" t="s">
        <v>67</v>
      </c>
      <c r="P151" s="6">
        <v>7</v>
      </c>
      <c r="Q151" s="6">
        <v>9</v>
      </c>
      <c r="R151" s="6">
        <v>15</v>
      </c>
      <c r="S151" s="6">
        <v>31</v>
      </c>
      <c r="T151" s="6" t="str">
        <f t="shared" si="8"/>
        <v>Segunda</v>
      </c>
    </row>
    <row r="152" spans="1:20" ht="24">
      <c r="A152" s="7" t="s">
        <v>669</v>
      </c>
      <c r="B152" s="7" t="s">
        <v>468</v>
      </c>
      <c r="C152" s="8">
        <v>1</v>
      </c>
      <c r="D152" s="7" t="s">
        <v>669</v>
      </c>
      <c r="E152" s="7" t="s">
        <v>704</v>
      </c>
      <c r="F152">
        <v>1520</v>
      </c>
      <c r="G152" s="6">
        <v>14133</v>
      </c>
      <c r="H152" s="11" t="s">
        <v>705</v>
      </c>
      <c r="I152" s="6">
        <v>54</v>
      </c>
      <c r="J152" s="6">
        <v>56</v>
      </c>
      <c r="K152" s="6">
        <v>172</v>
      </c>
      <c r="L152" s="6">
        <v>56</v>
      </c>
      <c r="M152" s="10">
        <f t="shared" si="6"/>
        <v>307.14285714285717</v>
      </c>
      <c r="N152" s="10">
        <f t="shared" si="7"/>
        <v>308</v>
      </c>
      <c r="O152" s="6" t="s">
        <v>38</v>
      </c>
      <c r="P152" s="6">
        <v>7</v>
      </c>
      <c r="Q152" s="6">
        <v>5</v>
      </c>
      <c r="R152" s="6">
        <v>10</v>
      </c>
      <c r="S152" s="6">
        <v>22</v>
      </c>
      <c r="T152" s="6" t="str">
        <f t="shared" si="8"/>
        <v>Cuarta</v>
      </c>
    </row>
    <row r="153" spans="1:20" ht="24">
      <c r="A153" s="7" t="s">
        <v>669</v>
      </c>
      <c r="B153" s="7" t="s">
        <v>468</v>
      </c>
      <c r="C153" s="8">
        <v>1</v>
      </c>
      <c r="D153" s="7" t="s">
        <v>669</v>
      </c>
      <c r="E153" s="7" t="s">
        <v>706</v>
      </c>
      <c r="F153">
        <v>1578</v>
      </c>
      <c r="G153" s="6">
        <v>17771</v>
      </c>
      <c r="H153" s="11" t="s">
        <v>707</v>
      </c>
      <c r="I153" s="6">
        <v>24</v>
      </c>
      <c r="J153" s="6">
        <v>30</v>
      </c>
      <c r="K153" s="6">
        <v>88</v>
      </c>
      <c r="L153" s="6">
        <v>49</v>
      </c>
      <c r="M153" s="10">
        <f t="shared" si="6"/>
        <v>179.59183673469389</v>
      </c>
      <c r="N153" s="10">
        <f t="shared" si="7"/>
        <v>180</v>
      </c>
      <c r="O153" s="6" t="s">
        <v>19</v>
      </c>
      <c r="P153" s="6">
        <v>2</v>
      </c>
      <c r="Q153" s="6">
        <v>0</v>
      </c>
      <c r="R153" s="6">
        <v>5</v>
      </c>
      <c r="S153" s="6">
        <v>7</v>
      </c>
      <c r="T153" s="6" t="str">
        <f t="shared" si="8"/>
        <v>Cuarta</v>
      </c>
    </row>
    <row r="154" spans="1:20" ht="24">
      <c r="A154" s="7" t="s">
        <v>669</v>
      </c>
      <c r="B154" s="7" t="s">
        <v>468</v>
      </c>
      <c r="C154" s="8">
        <v>1</v>
      </c>
      <c r="D154" s="7" t="s">
        <v>669</v>
      </c>
      <c r="E154" s="7" t="s">
        <v>708</v>
      </c>
      <c r="F154">
        <v>1225</v>
      </c>
      <c r="G154" s="6">
        <v>2205</v>
      </c>
      <c r="H154" s="11" t="s">
        <v>709</v>
      </c>
      <c r="I154" s="6">
        <v>34</v>
      </c>
      <c r="J154" s="6">
        <v>29</v>
      </c>
      <c r="K154" s="6">
        <v>82</v>
      </c>
      <c r="L154" s="6">
        <v>50</v>
      </c>
      <c r="M154" s="10">
        <f t="shared" si="6"/>
        <v>164</v>
      </c>
      <c r="N154" s="10">
        <f t="shared" si="7"/>
        <v>164</v>
      </c>
      <c r="O154" s="6" t="s">
        <v>68</v>
      </c>
      <c r="P154" s="6">
        <v>5</v>
      </c>
      <c r="Q154" s="6">
        <v>0</v>
      </c>
      <c r="R154" s="6">
        <v>5</v>
      </c>
      <c r="S154" s="6">
        <v>10</v>
      </c>
      <c r="T154" s="6" t="str">
        <f t="shared" si="8"/>
        <v>Quinta</v>
      </c>
    </row>
    <row r="155" spans="1:20" ht="24">
      <c r="A155" s="7" t="s">
        <v>669</v>
      </c>
      <c r="B155" s="7" t="s">
        <v>468</v>
      </c>
      <c r="C155" s="8">
        <v>1</v>
      </c>
      <c r="D155" s="7" t="s">
        <v>669</v>
      </c>
      <c r="E155" s="7" t="s">
        <v>710</v>
      </c>
      <c r="F155">
        <v>1572</v>
      </c>
      <c r="G155" s="6">
        <v>23152</v>
      </c>
      <c r="H155" s="11" t="s">
        <v>711</v>
      </c>
      <c r="I155" s="6">
        <v>14</v>
      </c>
      <c r="J155" s="6">
        <v>44</v>
      </c>
      <c r="K155" s="6">
        <v>103</v>
      </c>
      <c r="L155" s="6">
        <v>50</v>
      </c>
      <c r="M155" s="10">
        <f t="shared" si="6"/>
        <v>206</v>
      </c>
      <c r="N155" s="10">
        <f t="shared" si="7"/>
        <v>206</v>
      </c>
      <c r="O155" s="6" t="s">
        <v>20</v>
      </c>
      <c r="P155" s="6">
        <v>5</v>
      </c>
      <c r="Q155" s="6">
        <v>2</v>
      </c>
      <c r="R155" s="6">
        <v>7</v>
      </c>
      <c r="S155" s="6">
        <v>14</v>
      </c>
      <c r="T155" s="6" t="str">
        <f t="shared" si="8"/>
        <v>Cuarta</v>
      </c>
    </row>
    <row r="156" spans="1:20" ht="24">
      <c r="A156" s="7" t="s">
        <v>669</v>
      </c>
      <c r="B156" s="7" t="s">
        <v>468</v>
      </c>
      <c r="C156" s="8">
        <v>1</v>
      </c>
      <c r="D156" s="7" t="s">
        <v>669</v>
      </c>
      <c r="E156" s="7" t="s">
        <v>712</v>
      </c>
      <c r="F156">
        <v>1423</v>
      </c>
      <c r="G156" s="6">
        <v>8006</v>
      </c>
      <c r="H156" s="11" t="s">
        <v>713</v>
      </c>
      <c r="I156" s="6">
        <v>47</v>
      </c>
      <c r="J156" s="6">
        <v>156</v>
      </c>
      <c r="K156" s="6">
        <v>361</v>
      </c>
      <c r="L156" s="6">
        <v>49</v>
      </c>
      <c r="M156" s="10">
        <f t="shared" si="6"/>
        <v>736.73469387755097</v>
      </c>
      <c r="N156" s="10">
        <f t="shared" si="7"/>
        <v>737</v>
      </c>
      <c r="O156" s="6" t="s">
        <v>69</v>
      </c>
      <c r="P156" s="6">
        <v>12</v>
      </c>
      <c r="Q156" s="6">
        <v>5</v>
      </c>
      <c r="R156" s="6">
        <v>16</v>
      </c>
      <c r="S156" s="6">
        <v>33</v>
      </c>
      <c r="T156" s="6" t="str">
        <f t="shared" si="8"/>
        <v>Cuarta</v>
      </c>
    </row>
    <row r="157" spans="1:20" ht="24">
      <c r="A157" s="7" t="s">
        <v>669</v>
      </c>
      <c r="B157" s="7" t="s">
        <v>496</v>
      </c>
      <c r="C157" s="8">
        <v>1</v>
      </c>
      <c r="D157" s="7" t="s">
        <v>669</v>
      </c>
      <c r="E157" s="7" t="s">
        <v>714</v>
      </c>
      <c r="F157">
        <v>1067</v>
      </c>
      <c r="G157" s="6">
        <v>24645</v>
      </c>
      <c r="H157" s="11" t="s">
        <v>715</v>
      </c>
      <c r="I157" s="6">
        <v>44</v>
      </c>
      <c r="J157" s="6">
        <v>53</v>
      </c>
      <c r="K157" s="6">
        <v>114</v>
      </c>
      <c r="L157" s="6">
        <v>47</v>
      </c>
      <c r="M157" s="10">
        <f t="shared" si="6"/>
        <v>242.55319148936169</v>
      </c>
      <c r="N157" s="10">
        <f t="shared" si="7"/>
        <v>243</v>
      </c>
      <c r="O157" s="6" t="s">
        <v>70</v>
      </c>
      <c r="P157" s="6">
        <v>0</v>
      </c>
      <c r="Q157" s="6">
        <v>4</v>
      </c>
      <c r="R157" s="6">
        <v>7</v>
      </c>
      <c r="S157" s="6">
        <v>11</v>
      </c>
      <c r="T157" s="6" t="str">
        <f t="shared" si="8"/>
        <v>Septima</v>
      </c>
    </row>
    <row r="158" spans="1:20" ht="24">
      <c r="A158" s="7" t="s">
        <v>669</v>
      </c>
      <c r="B158" s="7" t="s">
        <v>496</v>
      </c>
      <c r="C158" s="8">
        <v>1</v>
      </c>
      <c r="D158" s="7" t="s">
        <v>669</v>
      </c>
      <c r="E158" s="7" t="s">
        <v>716</v>
      </c>
      <c r="F158">
        <v>1506</v>
      </c>
      <c r="G158" s="6">
        <v>24725</v>
      </c>
      <c r="H158" s="11" t="s">
        <v>717</v>
      </c>
      <c r="I158" s="6">
        <v>28</v>
      </c>
      <c r="J158" s="6">
        <v>37</v>
      </c>
      <c r="K158" s="6">
        <v>100</v>
      </c>
      <c r="L158" s="6">
        <v>58</v>
      </c>
      <c r="M158" s="10">
        <f t="shared" si="6"/>
        <v>172.41379310344828</v>
      </c>
      <c r="N158" s="10">
        <f t="shared" si="7"/>
        <v>173</v>
      </c>
      <c r="O158" s="6" t="s">
        <v>19</v>
      </c>
      <c r="P158" s="6">
        <v>5</v>
      </c>
      <c r="Q158" s="6">
        <v>4</v>
      </c>
      <c r="R158" s="6">
        <v>4</v>
      </c>
      <c r="S158" s="6">
        <v>13</v>
      </c>
      <c r="T158" s="6" t="str">
        <f t="shared" si="8"/>
        <v>Cuarta</v>
      </c>
    </row>
    <row r="159" spans="1:20" ht="24">
      <c r="A159" s="7" t="s">
        <v>669</v>
      </c>
      <c r="B159" s="7" t="s">
        <v>496</v>
      </c>
      <c r="C159" s="8">
        <v>1</v>
      </c>
      <c r="D159" s="7" t="s">
        <v>669</v>
      </c>
      <c r="E159" s="7" t="s">
        <v>718</v>
      </c>
      <c r="F159">
        <v>1468</v>
      </c>
      <c r="G159" s="6">
        <v>26749</v>
      </c>
      <c r="H159" s="11" t="s">
        <v>719</v>
      </c>
      <c r="I159" s="6">
        <v>15</v>
      </c>
      <c r="J159" s="6">
        <v>23</v>
      </c>
      <c r="K159" s="6">
        <v>75</v>
      </c>
      <c r="L159" s="6">
        <v>54</v>
      </c>
      <c r="M159" s="10">
        <f t="shared" si="6"/>
        <v>138.88888888888889</v>
      </c>
      <c r="N159" s="10">
        <f t="shared" si="7"/>
        <v>139</v>
      </c>
      <c r="O159" s="6" t="s">
        <v>18</v>
      </c>
      <c r="P159" s="6">
        <v>2</v>
      </c>
      <c r="Q159" s="6">
        <v>3</v>
      </c>
      <c r="R159" s="6">
        <v>5</v>
      </c>
      <c r="S159" s="6">
        <v>10</v>
      </c>
      <c r="T159" s="6" t="str">
        <f t="shared" si="8"/>
        <v>Cuarta</v>
      </c>
    </row>
    <row r="160" spans="1:20" ht="24">
      <c r="A160" s="7" t="s">
        <v>669</v>
      </c>
      <c r="B160" s="7" t="s">
        <v>496</v>
      </c>
      <c r="C160" s="8">
        <v>1</v>
      </c>
      <c r="D160" s="7" t="s">
        <v>669</v>
      </c>
      <c r="E160" s="7" t="s">
        <v>720</v>
      </c>
      <c r="F160">
        <v>1536</v>
      </c>
      <c r="G160" s="6">
        <v>21512</v>
      </c>
      <c r="H160" s="11" t="s">
        <v>721</v>
      </c>
      <c r="I160" s="6">
        <v>29</v>
      </c>
      <c r="J160" s="6">
        <v>28</v>
      </c>
      <c r="K160" s="6">
        <v>80</v>
      </c>
      <c r="L160" s="6">
        <v>43</v>
      </c>
      <c r="M160" s="10">
        <f t="shared" si="6"/>
        <v>186.04651162790697</v>
      </c>
      <c r="N160" s="10">
        <f t="shared" si="7"/>
        <v>187</v>
      </c>
      <c r="O160" s="6" t="s">
        <v>64</v>
      </c>
      <c r="P160" s="6">
        <v>2</v>
      </c>
      <c r="Q160" s="6">
        <v>1</v>
      </c>
      <c r="R160" s="6">
        <v>5</v>
      </c>
      <c r="S160" s="6">
        <v>8</v>
      </c>
      <c r="T160" s="6" t="str">
        <f t="shared" si="8"/>
        <v>Cuarta</v>
      </c>
    </row>
    <row r="161" spans="1:20" ht="24">
      <c r="A161" s="7" t="s">
        <v>669</v>
      </c>
      <c r="B161" s="7" t="s">
        <v>496</v>
      </c>
      <c r="C161" s="8">
        <v>1</v>
      </c>
      <c r="D161" s="7" t="s">
        <v>669</v>
      </c>
      <c r="E161" s="7" t="s">
        <v>722</v>
      </c>
      <c r="F161">
        <v>1428</v>
      </c>
      <c r="G161" s="6">
        <v>10256</v>
      </c>
      <c r="H161" s="11" t="s">
        <v>723</v>
      </c>
      <c r="I161" s="6">
        <v>58</v>
      </c>
      <c r="J161" s="6">
        <v>4</v>
      </c>
      <c r="K161" s="6">
        <v>6</v>
      </c>
      <c r="L161" s="6">
        <v>38</v>
      </c>
      <c r="M161" s="10">
        <f t="shared" si="6"/>
        <v>15.789473684210526</v>
      </c>
      <c r="N161" s="10">
        <f t="shared" si="7"/>
        <v>16</v>
      </c>
      <c r="O161" s="6" t="s">
        <v>71</v>
      </c>
      <c r="P161" s="6">
        <v>0</v>
      </c>
      <c r="Q161" s="6">
        <v>0</v>
      </c>
      <c r="R161" s="6">
        <v>0</v>
      </c>
      <c r="S161" s="6">
        <v>0</v>
      </c>
      <c r="T161" s="6" t="str">
        <f t="shared" si="8"/>
        <v>Cuarta</v>
      </c>
    </row>
    <row r="162" spans="1:20" ht="24">
      <c r="A162" s="7" t="s">
        <v>669</v>
      </c>
      <c r="B162" s="7" t="s">
        <v>496</v>
      </c>
      <c r="C162" s="8">
        <v>1</v>
      </c>
      <c r="D162" s="7" t="s">
        <v>669</v>
      </c>
      <c r="E162" s="7" t="s">
        <v>724</v>
      </c>
      <c r="F162">
        <v>1311</v>
      </c>
      <c r="G162" s="6">
        <v>21287</v>
      </c>
      <c r="H162" s="11" t="s">
        <v>725</v>
      </c>
      <c r="I162" s="6">
        <v>36</v>
      </c>
      <c r="J162" s="6">
        <v>9</v>
      </c>
      <c r="K162" s="6">
        <v>28</v>
      </c>
      <c r="L162" s="6">
        <v>55</v>
      </c>
      <c r="M162" s="10">
        <f t="shared" si="6"/>
        <v>50.909090909090907</v>
      </c>
      <c r="N162" s="10">
        <f t="shared" si="7"/>
        <v>51</v>
      </c>
      <c r="O162" s="6" t="s">
        <v>52</v>
      </c>
      <c r="P162" s="6">
        <v>1</v>
      </c>
      <c r="Q162" s="6">
        <v>3</v>
      </c>
      <c r="R162" s="6">
        <v>1</v>
      </c>
      <c r="S162" s="6">
        <v>5</v>
      </c>
      <c r="T162" s="6" t="str">
        <f t="shared" si="8"/>
        <v>Quinta</v>
      </c>
    </row>
    <row r="163" spans="1:20" ht="24">
      <c r="A163" s="7" t="s">
        <v>669</v>
      </c>
      <c r="B163" s="7" t="s">
        <v>507</v>
      </c>
      <c r="C163" s="8">
        <v>1</v>
      </c>
      <c r="D163" s="7" t="s">
        <v>669</v>
      </c>
      <c r="E163" s="7" t="s">
        <v>726</v>
      </c>
      <c r="F163">
        <v>1684</v>
      </c>
      <c r="G163" s="6">
        <v>389</v>
      </c>
      <c r="H163" s="11" t="s">
        <v>727</v>
      </c>
      <c r="I163" s="6">
        <v>78</v>
      </c>
      <c r="J163" s="6">
        <v>1</v>
      </c>
      <c r="K163" s="6">
        <v>0</v>
      </c>
      <c r="L163" s="6">
        <v>0</v>
      </c>
      <c r="M163" s="10">
        <f t="shared" si="6"/>
        <v>0</v>
      </c>
      <c r="N163" s="10">
        <f t="shared" si="7"/>
        <v>0</v>
      </c>
      <c r="O163" s="6" t="s">
        <v>72</v>
      </c>
      <c r="P163" s="6">
        <v>0</v>
      </c>
      <c r="Q163" s="6">
        <v>0</v>
      </c>
      <c r="R163" s="6">
        <v>0</v>
      </c>
      <c r="S163" s="6">
        <v>0</v>
      </c>
      <c r="T163" s="6" t="str">
        <f t="shared" si="8"/>
        <v>Tercera</v>
      </c>
    </row>
    <row r="164" spans="1:20" ht="24">
      <c r="A164" s="7" t="s">
        <v>669</v>
      </c>
      <c r="B164" s="7" t="s">
        <v>507</v>
      </c>
      <c r="C164" s="8">
        <v>1</v>
      </c>
      <c r="D164" s="7" t="s">
        <v>669</v>
      </c>
      <c r="E164" s="7" t="s">
        <v>728</v>
      </c>
      <c r="F164">
        <v>1000</v>
      </c>
      <c r="G164" s="6">
        <v>8451</v>
      </c>
      <c r="H164" s="11" t="s">
        <v>729</v>
      </c>
      <c r="I164" s="6">
        <v>52</v>
      </c>
      <c r="J164" s="6">
        <v>0</v>
      </c>
      <c r="K164" s="6">
        <v>0</v>
      </c>
      <c r="L164" s="6">
        <v>0</v>
      </c>
      <c r="M164" s="10">
        <f t="shared" si="6"/>
        <v>0</v>
      </c>
      <c r="N164" s="10">
        <f t="shared" si="7"/>
        <v>0</v>
      </c>
      <c r="P164" s="6">
        <v>0</v>
      </c>
      <c r="Q164" s="6">
        <v>0</v>
      </c>
      <c r="R164" s="6">
        <v>0</v>
      </c>
      <c r="S164" s="6">
        <v>0</v>
      </c>
      <c r="T164" s="6" t="str">
        <f t="shared" si="8"/>
        <v>Septima</v>
      </c>
    </row>
    <row r="165" spans="1:20" ht="24">
      <c r="A165" s="7" t="s">
        <v>669</v>
      </c>
      <c r="B165" s="7" t="s">
        <v>507</v>
      </c>
      <c r="C165" s="8">
        <v>1</v>
      </c>
      <c r="D165" s="7" t="s">
        <v>669</v>
      </c>
      <c r="E165" s="7" t="s">
        <v>730</v>
      </c>
      <c r="F165">
        <v>1296</v>
      </c>
      <c r="G165" s="6">
        <v>15721</v>
      </c>
      <c r="H165" s="11" t="s">
        <v>731</v>
      </c>
      <c r="I165" s="6">
        <v>52</v>
      </c>
      <c r="J165" s="6">
        <v>189</v>
      </c>
      <c r="K165" s="6">
        <v>366</v>
      </c>
      <c r="L165" s="6">
        <v>45</v>
      </c>
      <c r="M165" s="10">
        <f t="shared" si="6"/>
        <v>813.33333333333337</v>
      </c>
      <c r="N165" s="10">
        <f t="shared" si="7"/>
        <v>814</v>
      </c>
      <c r="O165" s="6" t="s">
        <v>20</v>
      </c>
      <c r="P165" s="6">
        <v>11</v>
      </c>
      <c r="Q165" s="6">
        <v>9</v>
      </c>
      <c r="R165" s="6">
        <v>17</v>
      </c>
      <c r="S165" s="6">
        <v>37</v>
      </c>
      <c r="T165" s="6" t="str">
        <f t="shared" si="8"/>
        <v>Quinta</v>
      </c>
    </row>
    <row r="166" spans="1:20" ht="24">
      <c r="A166" s="7" t="s">
        <v>669</v>
      </c>
      <c r="B166" s="7" t="s">
        <v>507</v>
      </c>
      <c r="C166" s="8">
        <v>1</v>
      </c>
      <c r="D166" s="7" t="s">
        <v>669</v>
      </c>
      <c r="E166" s="7" t="s">
        <v>732</v>
      </c>
      <c r="F166">
        <v>1153</v>
      </c>
      <c r="G166" s="6">
        <v>20759</v>
      </c>
      <c r="H166" s="11" t="s">
        <v>733</v>
      </c>
      <c r="I166" s="6">
        <v>35</v>
      </c>
      <c r="J166" s="6">
        <v>49</v>
      </c>
      <c r="K166" s="6">
        <v>40</v>
      </c>
      <c r="L166" s="6">
        <v>20</v>
      </c>
      <c r="M166" s="10">
        <f t="shared" si="6"/>
        <v>200</v>
      </c>
      <c r="N166" s="10">
        <f t="shared" si="7"/>
        <v>200</v>
      </c>
      <c r="O166" s="6" t="s">
        <v>18</v>
      </c>
      <c r="P166" s="6">
        <v>0</v>
      </c>
      <c r="Q166" s="6">
        <v>0</v>
      </c>
      <c r="R166" s="6">
        <v>1</v>
      </c>
      <c r="S166" s="6">
        <v>1</v>
      </c>
      <c r="T166" s="6" t="str">
        <f t="shared" si="8"/>
        <v>Sexta</v>
      </c>
    </row>
    <row r="167" spans="1:20" ht="24">
      <c r="A167" s="7" t="s">
        <v>669</v>
      </c>
      <c r="B167" s="7" t="s">
        <v>507</v>
      </c>
      <c r="C167" s="8">
        <v>1</v>
      </c>
      <c r="D167" s="7" t="s">
        <v>669</v>
      </c>
      <c r="E167" s="7" t="s">
        <v>734</v>
      </c>
      <c r="F167">
        <v>1071</v>
      </c>
      <c r="G167" s="6">
        <v>20921</v>
      </c>
      <c r="H167" s="11" t="s">
        <v>735</v>
      </c>
      <c r="I167" s="6">
        <v>48</v>
      </c>
      <c r="J167" s="6">
        <v>3</v>
      </c>
      <c r="K167" s="6">
        <v>4</v>
      </c>
      <c r="L167" s="6">
        <v>31</v>
      </c>
      <c r="M167" s="10">
        <f t="shared" si="6"/>
        <v>12.903225806451612</v>
      </c>
      <c r="N167" s="10">
        <f t="shared" si="7"/>
        <v>13</v>
      </c>
      <c r="O167" s="6" t="s">
        <v>52</v>
      </c>
      <c r="P167" s="6">
        <v>0</v>
      </c>
      <c r="Q167" s="6">
        <v>0</v>
      </c>
      <c r="R167" s="6">
        <v>1</v>
      </c>
      <c r="S167" s="6">
        <v>1</v>
      </c>
      <c r="T167" s="6" t="str">
        <f t="shared" si="8"/>
        <v>Septima</v>
      </c>
    </row>
    <row r="168" spans="1:20" ht="24">
      <c r="A168" s="7" t="s">
        <v>669</v>
      </c>
      <c r="B168" s="7" t="s">
        <v>507</v>
      </c>
      <c r="C168" s="8">
        <v>1</v>
      </c>
      <c r="D168" s="7" t="s">
        <v>669</v>
      </c>
      <c r="E168" s="7" t="s">
        <v>736</v>
      </c>
      <c r="F168">
        <v>1023</v>
      </c>
      <c r="G168" s="6">
        <v>28366</v>
      </c>
      <c r="H168" s="11" t="s">
        <v>737</v>
      </c>
      <c r="I168" s="6">
        <v>21</v>
      </c>
      <c r="J168" s="6">
        <v>9</v>
      </c>
      <c r="K168" s="6">
        <v>19</v>
      </c>
      <c r="L168" s="6">
        <v>39</v>
      </c>
      <c r="M168" s="10">
        <f t="shared" si="6"/>
        <v>48.717948717948715</v>
      </c>
      <c r="N168" s="10">
        <f t="shared" si="7"/>
        <v>49</v>
      </c>
      <c r="O168" s="6" t="s">
        <v>29</v>
      </c>
      <c r="P168" s="6">
        <v>0</v>
      </c>
      <c r="Q168" s="6">
        <v>0</v>
      </c>
      <c r="R168" s="6">
        <v>2</v>
      </c>
      <c r="S168" s="6">
        <v>2</v>
      </c>
      <c r="T168" s="6" t="str">
        <f t="shared" si="8"/>
        <v>Septima</v>
      </c>
    </row>
    <row r="169" spans="1:20" ht="24">
      <c r="A169" s="7" t="s">
        <v>669</v>
      </c>
      <c r="B169" s="7" t="s">
        <v>507</v>
      </c>
      <c r="C169" s="8">
        <v>1</v>
      </c>
      <c r="D169" s="7" t="s">
        <v>669</v>
      </c>
      <c r="E169" s="7" t="s">
        <v>738</v>
      </c>
      <c r="F169">
        <v>1224</v>
      </c>
      <c r="G169" s="6">
        <v>27675</v>
      </c>
      <c r="H169" s="11" t="s">
        <v>739</v>
      </c>
      <c r="I169" s="6">
        <v>13</v>
      </c>
      <c r="J169" s="6">
        <v>9</v>
      </c>
      <c r="K169" s="6">
        <v>27</v>
      </c>
      <c r="L169" s="6">
        <v>64</v>
      </c>
      <c r="M169" s="10">
        <f t="shared" si="6"/>
        <v>42.1875</v>
      </c>
      <c r="N169" s="10">
        <f t="shared" si="7"/>
        <v>43</v>
      </c>
      <c r="O169" s="6" t="s">
        <v>12</v>
      </c>
      <c r="P169" s="6">
        <v>2</v>
      </c>
      <c r="Q169" s="6">
        <v>0</v>
      </c>
      <c r="R169" s="6">
        <v>2</v>
      </c>
      <c r="S169" s="6">
        <v>4</v>
      </c>
      <c r="T169" s="6" t="str">
        <f t="shared" si="8"/>
        <v>Quinta</v>
      </c>
    </row>
    <row r="170" spans="1:20" ht="24">
      <c r="A170" s="7" t="s">
        <v>669</v>
      </c>
      <c r="B170" s="7" t="s">
        <v>526</v>
      </c>
      <c r="C170" s="8">
        <v>1</v>
      </c>
      <c r="D170" s="7" t="s">
        <v>740</v>
      </c>
      <c r="E170" s="7" t="s">
        <v>741</v>
      </c>
      <c r="F170">
        <v>1199</v>
      </c>
      <c r="G170" s="6">
        <v>19002</v>
      </c>
      <c r="H170" s="11" t="s">
        <v>742</v>
      </c>
      <c r="I170" s="6">
        <v>66</v>
      </c>
      <c r="J170" s="6">
        <v>30</v>
      </c>
      <c r="K170" s="6">
        <v>62</v>
      </c>
      <c r="L170" s="6">
        <v>51</v>
      </c>
      <c r="M170" s="10">
        <f t="shared" si="6"/>
        <v>121.56862745098039</v>
      </c>
      <c r="N170" s="10">
        <f t="shared" si="7"/>
        <v>122</v>
      </c>
      <c r="O170" s="6" t="s">
        <v>73</v>
      </c>
      <c r="P170" s="6">
        <v>2</v>
      </c>
      <c r="Q170" s="6">
        <v>1</v>
      </c>
      <c r="R170" s="6">
        <v>5</v>
      </c>
      <c r="S170" s="6">
        <v>8</v>
      </c>
      <c r="T170" s="6" t="str">
        <f t="shared" si="8"/>
        <v>Sexta</v>
      </c>
    </row>
    <row r="171" spans="1:20" ht="24">
      <c r="A171" s="7" t="s">
        <v>669</v>
      </c>
      <c r="B171" s="7" t="s">
        <v>526</v>
      </c>
      <c r="C171" s="8">
        <v>1</v>
      </c>
      <c r="D171" s="7" t="s">
        <v>740</v>
      </c>
      <c r="E171" s="7" t="s">
        <v>743</v>
      </c>
      <c r="F171">
        <v>920</v>
      </c>
      <c r="G171" s="6">
        <v>26003</v>
      </c>
      <c r="H171" s="11" t="s">
        <v>744</v>
      </c>
      <c r="I171" s="6">
        <v>35</v>
      </c>
      <c r="J171" s="6">
        <v>6</v>
      </c>
      <c r="K171" s="6">
        <v>3</v>
      </c>
      <c r="L171" s="6">
        <v>14</v>
      </c>
      <c r="M171" s="10">
        <f t="shared" si="6"/>
        <v>21.428571428571427</v>
      </c>
      <c r="N171" s="10">
        <f t="shared" si="7"/>
        <v>22</v>
      </c>
      <c r="O171" s="6" t="s">
        <v>64</v>
      </c>
      <c r="P171" s="6">
        <v>0</v>
      </c>
      <c r="Q171" s="6">
        <v>0</v>
      </c>
      <c r="R171" s="6">
        <v>0</v>
      </c>
      <c r="S171" s="6">
        <v>0</v>
      </c>
      <c r="T171" s="6" t="str">
        <f t="shared" si="8"/>
        <v>Octava</v>
      </c>
    </row>
    <row r="172" spans="1:20" ht="24">
      <c r="A172" s="7" t="s">
        <v>669</v>
      </c>
      <c r="B172" s="7" t="s">
        <v>526</v>
      </c>
      <c r="C172" s="8">
        <v>1</v>
      </c>
      <c r="D172" s="7" t="s">
        <v>740</v>
      </c>
      <c r="E172" s="7" t="s">
        <v>745</v>
      </c>
      <c r="F172">
        <v>1244</v>
      </c>
      <c r="G172" s="6">
        <v>26230</v>
      </c>
      <c r="H172" s="11" t="s">
        <v>746</v>
      </c>
      <c r="I172" s="6">
        <v>63</v>
      </c>
      <c r="J172" s="6">
        <v>1</v>
      </c>
      <c r="K172" s="6">
        <v>0</v>
      </c>
      <c r="L172" s="6">
        <v>0</v>
      </c>
      <c r="M172" s="10">
        <f t="shared" si="6"/>
        <v>0</v>
      </c>
      <c r="N172" s="10">
        <f t="shared" si="7"/>
        <v>0</v>
      </c>
      <c r="O172" s="6" t="s">
        <v>74</v>
      </c>
      <c r="P172" s="6">
        <v>0</v>
      </c>
      <c r="Q172" s="6">
        <v>0</v>
      </c>
      <c r="R172" s="6">
        <v>0</v>
      </c>
      <c r="S172" s="6">
        <v>0</v>
      </c>
      <c r="T172" s="6" t="str">
        <f t="shared" si="8"/>
        <v>Quinta</v>
      </c>
    </row>
    <row r="173" spans="1:20" ht="24">
      <c r="A173" s="7" t="s">
        <v>669</v>
      </c>
      <c r="B173" s="7" t="s">
        <v>526</v>
      </c>
      <c r="C173" s="8">
        <v>1</v>
      </c>
      <c r="D173" s="7" t="s">
        <v>740</v>
      </c>
      <c r="E173" s="7" t="s">
        <v>738</v>
      </c>
      <c r="F173">
        <v>1224</v>
      </c>
      <c r="G173" s="6">
        <v>27675</v>
      </c>
      <c r="H173" s="11" t="s">
        <v>739</v>
      </c>
      <c r="I173" s="6">
        <v>13</v>
      </c>
      <c r="J173" s="6">
        <v>9</v>
      </c>
      <c r="K173" s="6">
        <v>27</v>
      </c>
      <c r="L173" s="6">
        <v>64</v>
      </c>
      <c r="M173" s="10">
        <f t="shared" si="6"/>
        <v>42.1875</v>
      </c>
      <c r="N173" s="10">
        <f t="shared" si="7"/>
        <v>43</v>
      </c>
      <c r="O173" s="6" t="s">
        <v>12</v>
      </c>
      <c r="P173" s="6">
        <v>2</v>
      </c>
      <c r="Q173" s="6">
        <v>0</v>
      </c>
      <c r="R173" s="6">
        <v>2</v>
      </c>
      <c r="S173" s="6">
        <v>4</v>
      </c>
      <c r="T173" s="6" t="str">
        <f t="shared" si="8"/>
        <v>Quinta</v>
      </c>
    </row>
    <row r="174" spans="1:20" ht="24">
      <c r="A174" s="7" t="s">
        <v>669</v>
      </c>
      <c r="B174" s="7" t="s">
        <v>526</v>
      </c>
      <c r="C174" s="8">
        <v>1</v>
      </c>
      <c r="D174" s="7" t="s">
        <v>740</v>
      </c>
      <c r="E174" s="7" t="s">
        <v>747</v>
      </c>
      <c r="F174">
        <v>1027</v>
      </c>
      <c r="G174" s="6">
        <v>23973</v>
      </c>
      <c r="H174" s="11" t="s">
        <v>748</v>
      </c>
      <c r="I174" s="6">
        <v>56</v>
      </c>
      <c r="J174" s="6">
        <v>4</v>
      </c>
      <c r="K174" s="6">
        <v>3</v>
      </c>
      <c r="L174" s="6">
        <v>19</v>
      </c>
      <c r="M174" s="10">
        <f t="shared" si="6"/>
        <v>15.789473684210526</v>
      </c>
      <c r="N174" s="10">
        <f t="shared" si="7"/>
        <v>16</v>
      </c>
      <c r="O174" s="6" t="s">
        <v>75</v>
      </c>
      <c r="P174" s="6">
        <v>0</v>
      </c>
      <c r="Q174" s="6">
        <v>0</v>
      </c>
      <c r="R174" s="6">
        <v>0</v>
      </c>
      <c r="S174" s="6">
        <v>0</v>
      </c>
      <c r="T174" s="6" t="str">
        <f t="shared" si="8"/>
        <v>Septima</v>
      </c>
    </row>
    <row r="175" spans="1:20" ht="24">
      <c r="A175" s="7" t="s">
        <v>669</v>
      </c>
      <c r="B175" s="7" t="s">
        <v>526</v>
      </c>
      <c r="C175" s="8">
        <v>1</v>
      </c>
      <c r="D175" s="7" t="s">
        <v>740</v>
      </c>
      <c r="E175" s="7" t="s">
        <v>749</v>
      </c>
      <c r="F175">
        <v>1031</v>
      </c>
      <c r="G175" s="6">
        <v>29538</v>
      </c>
      <c r="H175" s="11" t="s">
        <v>750</v>
      </c>
      <c r="I175" s="6">
        <v>40</v>
      </c>
      <c r="J175" s="6">
        <v>5</v>
      </c>
      <c r="K175" s="6">
        <v>14</v>
      </c>
      <c r="L175" s="6">
        <v>56</v>
      </c>
      <c r="M175" s="10">
        <f t="shared" si="6"/>
        <v>25</v>
      </c>
      <c r="N175" s="10">
        <f t="shared" si="7"/>
        <v>25</v>
      </c>
      <c r="O175" s="6" t="s">
        <v>12</v>
      </c>
      <c r="P175" s="6">
        <v>0</v>
      </c>
      <c r="Q175" s="6">
        <v>1</v>
      </c>
      <c r="R175" s="6">
        <v>2</v>
      </c>
      <c r="S175" s="6">
        <v>3</v>
      </c>
      <c r="T175" s="6" t="str">
        <f t="shared" si="8"/>
        <v>Septima</v>
      </c>
    </row>
    <row r="176" spans="1:20" ht="24">
      <c r="A176" s="7" t="s">
        <v>669</v>
      </c>
      <c r="B176" s="7" t="s">
        <v>526</v>
      </c>
      <c r="C176" s="8">
        <v>1</v>
      </c>
      <c r="D176" s="7" t="s">
        <v>740</v>
      </c>
      <c r="E176" s="7" t="s">
        <v>751</v>
      </c>
      <c r="F176">
        <v>960</v>
      </c>
      <c r="G176" s="6">
        <v>17481</v>
      </c>
      <c r="H176" s="11" t="s">
        <v>752</v>
      </c>
      <c r="I176" s="6">
        <v>54</v>
      </c>
      <c r="J176" s="6">
        <v>22</v>
      </c>
      <c r="K176" s="6">
        <v>31</v>
      </c>
      <c r="L176" s="6">
        <v>29</v>
      </c>
      <c r="M176" s="10">
        <f t="shared" si="6"/>
        <v>106.89655172413794</v>
      </c>
      <c r="N176" s="10">
        <f t="shared" si="7"/>
        <v>107</v>
      </c>
      <c r="O176" s="6" t="s">
        <v>18</v>
      </c>
      <c r="P176" s="6">
        <v>2</v>
      </c>
      <c r="Q176" s="6">
        <v>1</v>
      </c>
      <c r="R176" s="6">
        <v>1</v>
      </c>
      <c r="S176" s="6">
        <v>4</v>
      </c>
      <c r="T176" s="6" t="str">
        <f t="shared" si="8"/>
        <v>Octava</v>
      </c>
    </row>
    <row r="177" spans="1:20" ht="24">
      <c r="A177" s="7" t="s">
        <v>669</v>
      </c>
      <c r="B177" s="7" t="s">
        <v>526</v>
      </c>
      <c r="C177" s="8">
        <v>2</v>
      </c>
      <c r="D177" s="7" t="s">
        <v>753</v>
      </c>
      <c r="E177" s="7" t="s">
        <v>754</v>
      </c>
      <c r="F177">
        <v>1082</v>
      </c>
      <c r="G177" s="6">
        <v>19286</v>
      </c>
      <c r="H177" s="11" t="s">
        <v>755</v>
      </c>
      <c r="I177" s="6">
        <v>10</v>
      </c>
      <c r="J177" s="6">
        <v>1</v>
      </c>
      <c r="K177" s="6">
        <v>0</v>
      </c>
      <c r="L177" s="6">
        <v>0</v>
      </c>
      <c r="M177" s="10">
        <f t="shared" si="6"/>
        <v>0</v>
      </c>
      <c r="N177" s="10">
        <f t="shared" si="7"/>
        <v>0</v>
      </c>
      <c r="O177" s="6" t="s">
        <v>76</v>
      </c>
      <c r="P177" s="6">
        <v>0</v>
      </c>
      <c r="Q177" s="6">
        <v>0</v>
      </c>
      <c r="R177" s="6">
        <v>0</v>
      </c>
      <c r="S177" s="6">
        <v>0</v>
      </c>
      <c r="T177" s="6" t="str">
        <f t="shared" si="8"/>
        <v>Sexta</v>
      </c>
    </row>
    <row r="178" spans="1:20" ht="24">
      <c r="A178" s="7" t="s">
        <v>669</v>
      </c>
      <c r="B178" s="7" t="s">
        <v>526</v>
      </c>
      <c r="C178" s="8">
        <v>2</v>
      </c>
      <c r="D178" s="7" t="s">
        <v>753</v>
      </c>
      <c r="E178" s="7" t="s">
        <v>756</v>
      </c>
      <c r="F178">
        <v>1067</v>
      </c>
      <c r="G178" s="6">
        <v>21148</v>
      </c>
      <c r="H178" s="11" t="s">
        <v>757</v>
      </c>
      <c r="I178" s="6">
        <v>42</v>
      </c>
      <c r="J178" s="6">
        <v>4</v>
      </c>
      <c r="K178" s="6">
        <v>5</v>
      </c>
      <c r="L178" s="6">
        <v>29</v>
      </c>
      <c r="M178" s="10">
        <f t="shared" si="6"/>
        <v>17.241379310344829</v>
      </c>
      <c r="N178" s="10">
        <f t="shared" si="7"/>
        <v>18</v>
      </c>
      <c r="O178" s="6" t="s">
        <v>77</v>
      </c>
      <c r="P178" s="6">
        <v>0</v>
      </c>
      <c r="Q178" s="6">
        <v>0</v>
      </c>
      <c r="R178" s="6">
        <v>1</v>
      </c>
      <c r="S178" s="6">
        <v>1</v>
      </c>
      <c r="T178" s="6" t="str">
        <f t="shared" si="8"/>
        <v>Septima</v>
      </c>
    </row>
    <row r="179" spans="1:20" ht="24">
      <c r="A179" s="7" t="s">
        <v>669</v>
      </c>
      <c r="B179" s="7" t="s">
        <v>526</v>
      </c>
      <c r="C179" s="8">
        <v>2</v>
      </c>
      <c r="D179" s="7" t="s">
        <v>753</v>
      </c>
      <c r="E179" s="7" t="s">
        <v>758</v>
      </c>
      <c r="F179">
        <v>0</v>
      </c>
      <c r="G179" s="6">
        <v>29261</v>
      </c>
      <c r="H179" s="11" t="s">
        <v>759</v>
      </c>
      <c r="I179" s="6">
        <v>15</v>
      </c>
      <c r="M179" s="10">
        <f t="shared" si="6"/>
        <v>0</v>
      </c>
      <c r="N179" s="10">
        <f t="shared" si="7"/>
        <v>0</v>
      </c>
      <c r="P179" s="6">
        <v>0</v>
      </c>
      <c r="Q179" s="6">
        <v>0</v>
      </c>
      <c r="R179" s="6">
        <v>0</v>
      </c>
      <c r="S179" s="6">
        <v>0</v>
      </c>
      <c r="T179" s="6" t="str">
        <f t="shared" si="8"/>
        <v>Octava</v>
      </c>
    </row>
    <row r="180" spans="1:20" ht="24">
      <c r="A180" s="7" t="s">
        <v>669</v>
      </c>
      <c r="B180" s="7" t="s">
        <v>526</v>
      </c>
      <c r="C180" s="8">
        <v>2</v>
      </c>
      <c r="D180" s="7" t="s">
        <v>753</v>
      </c>
      <c r="E180" s="7" t="s">
        <v>734</v>
      </c>
      <c r="F180">
        <v>1071</v>
      </c>
      <c r="G180" s="6">
        <v>20921</v>
      </c>
      <c r="H180" s="11" t="s">
        <v>735</v>
      </c>
      <c r="I180" s="6">
        <v>48</v>
      </c>
      <c r="J180" s="6">
        <v>3</v>
      </c>
      <c r="K180" s="6">
        <v>4</v>
      </c>
      <c r="L180" s="6">
        <v>31</v>
      </c>
      <c r="M180" s="10">
        <f t="shared" si="6"/>
        <v>12.903225806451612</v>
      </c>
      <c r="N180" s="10">
        <f t="shared" si="7"/>
        <v>13</v>
      </c>
      <c r="O180" s="6" t="s">
        <v>52</v>
      </c>
      <c r="P180" s="6">
        <v>0</v>
      </c>
      <c r="Q180" s="6">
        <v>0</v>
      </c>
      <c r="R180" s="6">
        <v>1</v>
      </c>
      <c r="S180" s="6">
        <v>1</v>
      </c>
      <c r="T180" s="6" t="str">
        <f t="shared" si="8"/>
        <v>Septima</v>
      </c>
    </row>
    <row r="181" spans="1:20" ht="24">
      <c r="A181" s="7" t="s">
        <v>669</v>
      </c>
      <c r="B181" s="7" t="s">
        <v>526</v>
      </c>
      <c r="C181" s="8">
        <v>2</v>
      </c>
      <c r="D181" s="7" t="s">
        <v>753</v>
      </c>
      <c r="E181" s="7" t="s">
        <v>760</v>
      </c>
      <c r="F181">
        <v>874</v>
      </c>
      <c r="G181" s="6">
        <v>24411</v>
      </c>
      <c r="H181" s="11" t="s">
        <v>761</v>
      </c>
      <c r="I181" s="6">
        <v>45</v>
      </c>
      <c r="J181" s="6">
        <v>23</v>
      </c>
      <c r="K181" s="6">
        <v>18</v>
      </c>
      <c r="L181" s="6">
        <v>23</v>
      </c>
      <c r="M181" s="10">
        <f t="shared" si="6"/>
        <v>78.260869565217391</v>
      </c>
      <c r="N181" s="10">
        <f t="shared" si="7"/>
        <v>79</v>
      </c>
      <c r="O181" s="6" t="s">
        <v>52</v>
      </c>
      <c r="P181" s="6">
        <v>0</v>
      </c>
      <c r="Q181" s="6">
        <v>0</v>
      </c>
      <c r="R181" s="6">
        <v>2</v>
      </c>
      <c r="S181" s="6">
        <v>2</v>
      </c>
      <c r="T181" s="6" t="str">
        <f t="shared" si="8"/>
        <v>Octava</v>
      </c>
    </row>
    <row r="182" spans="1:20" ht="24">
      <c r="A182" s="7" t="s">
        <v>669</v>
      </c>
      <c r="B182" s="7" t="s">
        <v>526</v>
      </c>
      <c r="C182" s="8">
        <v>2</v>
      </c>
      <c r="D182" s="7" t="s">
        <v>753</v>
      </c>
      <c r="E182" s="7" t="s">
        <v>762</v>
      </c>
      <c r="F182">
        <v>1066</v>
      </c>
      <c r="G182" s="6">
        <v>20585</v>
      </c>
      <c r="H182" s="11" t="s">
        <v>763</v>
      </c>
      <c r="I182" s="6">
        <v>38</v>
      </c>
      <c r="J182" s="6">
        <v>1</v>
      </c>
      <c r="K182" s="6">
        <v>0</v>
      </c>
      <c r="L182" s="6">
        <v>0</v>
      </c>
      <c r="M182" s="10">
        <f t="shared" si="6"/>
        <v>0</v>
      </c>
      <c r="N182" s="10">
        <f t="shared" si="7"/>
        <v>0</v>
      </c>
      <c r="O182" s="6" t="s">
        <v>78</v>
      </c>
      <c r="P182" s="6">
        <v>0</v>
      </c>
      <c r="Q182" s="6">
        <v>0</v>
      </c>
      <c r="R182" s="6">
        <v>0</v>
      </c>
      <c r="S182" s="6">
        <v>0</v>
      </c>
      <c r="T182" s="6" t="str">
        <f t="shared" si="8"/>
        <v>Septima</v>
      </c>
    </row>
    <row r="183" spans="1:20" ht="24">
      <c r="A183" s="7" t="s">
        <v>669</v>
      </c>
      <c r="B183" s="7" t="s">
        <v>526</v>
      </c>
      <c r="C183" s="8">
        <v>2</v>
      </c>
      <c r="D183" s="7" t="s">
        <v>753</v>
      </c>
      <c r="E183" s="7" t="s">
        <v>764</v>
      </c>
      <c r="F183">
        <v>850</v>
      </c>
      <c r="G183" s="6">
        <v>12229</v>
      </c>
      <c r="H183" s="11" t="s">
        <v>765</v>
      </c>
      <c r="I183" s="6">
        <v>46</v>
      </c>
      <c r="J183" s="6">
        <v>103</v>
      </c>
      <c r="K183" s="6">
        <v>69</v>
      </c>
      <c r="L183" s="6">
        <v>19</v>
      </c>
      <c r="M183" s="10">
        <f t="shared" si="6"/>
        <v>363.15789473684208</v>
      </c>
      <c r="N183" s="10">
        <f t="shared" si="7"/>
        <v>364</v>
      </c>
      <c r="O183" s="6" t="s">
        <v>79</v>
      </c>
      <c r="P183" s="6">
        <v>1</v>
      </c>
      <c r="Q183" s="6">
        <v>0</v>
      </c>
      <c r="R183" s="6">
        <v>1</v>
      </c>
      <c r="S183" s="6">
        <v>2</v>
      </c>
      <c r="T183" s="6" t="str">
        <f t="shared" si="8"/>
        <v>Octava</v>
      </c>
    </row>
    <row r="184" spans="1:20" ht="24">
      <c r="A184" s="7" t="s">
        <v>669</v>
      </c>
      <c r="B184" s="7" t="s">
        <v>526</v>
      </c>
      <c r="C184" s="8">
        <v>2</v>
      </c>
      <c r="D184" s="7" t="s">
        <v>753</v>
      </c>
      <c r="E184" s="7" t="s">
        <v>766</v>
      </c>
      <c r="F184">
        <v>861</v>
      </c>
      <c r="G184" s="6">
        <v>25331</v>
      </c>
      <c r="H184" s="11" t="s">
        <v>767</v>
      </c>
      <c r="I184" s="6">
        <v>56</v>
      </c>
      <c r="J184" s="6">
        <v>11</v>
      </c>
      <c r="K184" s="6">
        <v>12</v>
      </c>
      <c r="L184" s="6">
        <v>30</v>
      </c>
      <c r="M184" s="10">
        <f t="shared" si="6"/>
        <v>40</v>
      </c>
      <c r="N184" s="10">
        <f t="shared" si="7"/>
        <v>40</v>
      </c>
      <c r="O184" s="6" t="s">
        <v>52</v>
      </c>
      <c r="P184" s="6">
        <v>0</v>
      </c>
      <c r="Q184" s="6">
        <v>0</v>
      </c>
      <c r="R184" s="6">
        <v>0</v>
      </c>
      <c r="S184" s="6">
        <v>0</v>
      </c>
      <c r="T184" s="6" t="str">
        <f t="shared" si="8"/>
        <v>Octava</v>
      </c>
    </row>
    <row r="185" spans="1:20" ht="24">
      <c r="A185" s="7" t="s">
        <v>768</v>
      </c>
      <c r="B185" s="7" t="s">
        <v>434</v>
      </c>
      <c r="C185" s="8">
        <v>1</v>
      </c>
      <c r="D185" s="7" t="s">
        <v>768</v>
      </c>
      <c r="E185" s="7" t="s">
        <v>769</v>
      </c>
      <c r="F185">
        <v>2294</v>
      </c>
      <c r="G185" s="6">
        <v>746</v>
      </c>
      <c r="H185" s="11" t="s">
        <v>770</v>
      </c>
      <c r="I185" s="6">
        <v>37</v>
      </c>
      <c r="J185" s="6">
        <v>27</v>
      </c>
      <c r="K185" s="6">
        <v>86</v>
      </c>
      <c r="L185" s="6">
        <v>70</v>
      </c>
      <c r="M185" s="10">
        <f t="shared" si="6"/>
        <v>122.85714285714286</v>
      </c>
      <c r="N185" s="10">
        <f t="shared" si="7"/>
        <v>123</v>
      </c>
      <c r="O185" s="6" t="s">
        <v>48</v>
      </c>
      <c r="P185" s="6">
        <v>1</v>
      </c>
      <c r="Q185" s="6">
        <v>5</v>
      </c>
      <c r="R185" s="6">
        <v>6</v>
      </c>
      <c r="S185" s="6">
        <v>12</v>
      </c>
      <c r="T185" s="6" t="str">
        <f t="shared" si="8"/>
        <v>Primera</v>
      </c>
    </row>
    <row r="186" spans="1:20" ht="24">
      <c r="A186" s="7" t="s">
        <v>768</v>
      </c>
      <c r="B186" s="7" t="s">
        <v>434</v>
      </c>
      <c r="C186" s="8">
        <v>1</v>
      </c>
      <c r="D186" s="7" t="s">
        <v>768</v>
      </c>
      <c r="E186" s="7" t="s">
        <v>771</v>
      </c>
      <c r="F186">
        <v>2344</v>
      </c>
      <c r="G186" s="6">
        <v>471</v>
      </c>
      <c r="H186" s="11" t="s">
        <v>772</v>
      </c>
      <c r="I186" s="6">
        <v>38</v>
      </c>
      <c r="J186" s="6">
        <v>58</v>
      </c>
      <c r="K186" s="6">
        <v>211</v>
      </c>
      <c r="L186" s="6">
        <v>71</v>
      </c>
      <c r="M186" s="10">
        <f t="shared" si="6"/>
        <v>297.18309859154931</v>
      </c>
      <c r="N186" s="10">
        <f t="shared" si="7"/>
        <v>298</v>
      </c>
      <c r="O186" s="6" t="s">
        <v>80</v>
      </c>
      <c r="P186" s="6">
        <v>9</v>
      </c>
      <c r="Q186" s="6">
        <v>6</v>
      </c>
      <c r="R186" s="6">
        <v>22</v>
      </c>
      <c r="S186" s="6">
        <v>37</v>
      </c>
      <c r="T186" s="6" t="str">
        <f t="shared" si="8"/>
        <v>Primera</v>
      </c>
    </row>
    <row r="187" spans="1:20" ht="24">
      <c r="A187" s="7" t="s">
        <v>768</v>
      </c>
      <c r="B187" s="7" t="s">
        <v>434</v>
      </c>
      <c r="C187" s="8">
        <v>1</v>
      </c>
      <c r="D187" s="7" t="s">
        <v>768</v>
      </c>
      <c r="E187" s="7" t="s">
        <v>773</v>
      </c>
      <c r="F187">
        <v>2100</v>
      </c>
      <c r="G187" s="6">
        <v>3048</v>
      </c>
      <c r="H187" s="11" t="s">
        <v>774</v>
      </c>
      <c r="I187" s="6">
        <v>32</v>
      </c>
      <c r="J187" s="6">
        <v>93</v>
      </c>
      <c r="K187" s="6">
        <v>245</v>
      </c>
      <c r="L187" s="6">
        <v>56</v>
      </c>
      <c r="M187" s="10">
        <f t="shared" si="6"/>
        <v>437.5</v>
      </c>
      <c r="N187" s="10">
        <f t="shared" si="7"/>
        <v>438</v>
      </c>
      <c r="O187" s="6" t="s">
        <v>81</v>
      </c>
      <c r="P187" s="6">
        <v>9</v>
      </c>
      <c r="Q187" s="6">
        <v>8</v>
      </c>
      <c r="R187" s="6">
        <v>14</v>
      </c>
      <c r="S187" s="6">
        <v>31</v>
      </c>
      <c r="T187" s="6" t="str">
        <f t="shared" si="8"/>
        <v>Segunda</v>
      </c>
    </row>
    <row r="188" spans="1:20" ht="24">
      <c r="A188" s="7" t="s">
        <v>768</v>
      </c>
      <c r="B188" s="7" t="s">
        <v>434</v>
      </c>
      <c r="C188" s="8">
        <v>1</v>
      </c>
      <c r="D188" s="7" t="s">
        <v>768</v>
      </c>
      <c r="E188" s="7" t="s">
        <v>775</v>
      </c>
      <c r="F188">
        <v>2117</v>
      </c>
      <c r="G188" s="6">
        <v>15441</v>
      </c>
      <c r="H188" s="11" t="s">
        <v>776</v>
      </c>
      <c r="I188" s="6">
        <v>36</v>
      </c>
      <c r="J188" s="6">
        <v>12</v>
      </c>
      <c r="K188" s="6">
        <v>41</v>
      </c>
      <c r="L188" s="6">
        <v>72</v>
      </c>
      <c r="M188" s="10">
        <f t="shared" si="6"/>
        <v>56.944444444444443</v>
      </c>
      <c r="N188" s="10">
        <f t="shared" si="7"/>
        <v>57</v>
      </c>
      <c r="O188" s="6" t="s">
        <v>82</v>
      </c>
      <c r="P188" s="6">
        <v>2</v>
      </c>
      <c r="Q188" s="6">
        <v>2</v>
      </c>
      <c r="R188" s="6">
        <v>0</v>
      </c>
      <c r="S188" s="6">
        <v>4</v>
      </c>
      <c r="T188" s="6" t="str">
        <f t="shared" si="8"/>
        <v>Primera</v>
      </c>
    </row>
    <row r="189" spans="1:20" ht="24">
      <c r="A189" s="7" t="s">
        <v>768</v>
      </c>
      <c r="B189" s="7" t="s">
        <v>434</v>
      </c>
      <c r="C189" s="8">
        <v>1</v>
      </c>
      <c r="D189" s="7" t="s">
        <v>768</v>
      </c>
      <c r="E189" s="7" t="s">
        <v>777</v>
      </c>
      <c r="F189">
        <v>1975</v>
      </c>
      <c r="G189" s="6">
        <v>13147</v>
      </c>
      <c r="H189" s="11" t="s">
        <v>778</v>
      </c>
      <c r="I189" s="6">
        <v>63</v>
      </c>
      <c r="J189" s="6">
        <v>77</v>
      </c>
      <c r="K189" s="6">
        <v>220</v>
      </c>
      <c r="L189" s="6">
        <v>55</v>
      </c>
      <c r="M189" s="10">
        <f t="shared" si="6"/>
        <v>400</v>
      </c>
      <c r="N189" s="10">
        <f t="shared" si="7"/>
        <v>400</v>
      </c>
      <c r="O189" s="6" t="s">
        <v>45</v>
      </c>
      <c r="P189" s="6">
        <v>9</v>
      </c>
      <c r="Q189" s="6">
        <v>8</v>
      </c>
      <c r="R189" s="6">
        <v>10</v>
      </c>
      <c r="S189" s="6">
        <v>27</v>
      </c>
      <c r="T189" s="6" t="str">
        <f t="shared" si="8"/>
        <v>Segunda</v>
      </c>
    </row>
    <row r="190" spans="1:20" ht="24">
      <c r="A190" s="7" t="s">
        <v>768</v>
      </c>
      <c r="B190" s="7" t="s">
        <v>434</v>
      </c>
      <c r="C190" s="8">
        <v>1</v>
      </c>
      <c r="D190" s="7" t="s">
        <v>768</v>
      </c>
      <c r="E190" s="7" t="s">
        <v>779</v>
      </c>
      <c r="F190">
        <v>1840</v>
      </c>
      <c r="G190" s="6">
        <v>3596</v>
      </c>
      <c r="H190" s="11" t="s">
        <v>780</v>
      </c>
      <c r="I190" s="6">
        <v>35</v>
      </c>
      <c r="J190" s="6">
        <v>27</v>
      </c>
      <c r="K190" s="6">
        <v>81</v>
      </c>
      <c r="L190" s="6">
        <v>63</v>
      </c>
      <c r="M190" s="10">
        <f t="shared" si="6"/>
        <v>128.57142857142858</v>
      </c>
      <c r="N190" s="10">
        <f t="shared" si="7"/>
        <v>129</v>
      </c>
      <c r="O190" s="6" t="s">
        <v>83</v>
      </c>
      <c r="P190" s="6">
        <v>2</v>
      </c>
      <c r="Q190" s="6">
        <v>2</v>
      </c>
      <c r="R190" s="6">
        <v>7</v>
      </c>
      <c r="S190" s="6">
        <v>11</v>
      </c>
      <c r="T190" s="6" t="str">
        <f t="shared" si="8"/>
        <v>Segunda</v>
      </c>
    </row>
    <row r="191" spans="1:20" ht="24">
      <c r="A191" s="7" t="s">
        <v>768</v>
      </c>
      <c r="B191" s="7" t="s">
        <v>781</v>
      </c>
      <c r="C191" s="8">
        <v>1</v>
      </c>
      <c r="D191" s="7" t="s">
        <v>768</v>
      </c>
      <c r="E191" s="7" t="s">
        <v>777</v>
      </c>
      <c r="F191">
        <v>1975</v>
      </c>
      <c r="G191" s="6">
        <v>13147</v>
      </c>
      <c r="H191" s="11" t="s">
        <v>778</v>
      </c>
      <c r="I191" s="6">
        <v>63</v>
      </c>
      <c r="J191" s="6">
        <v>77</v>
      </c>
      <c r="K191" s="6">
        <v>220</v>
      </c>
      <c r="L191" s="6">
        <v>55</v>
      </c>
      <c r="M191" s="10">
        <f t="shared" si="6"/>
        <v>400</v>
      </c>
      <c r="N191" s="10">
        <f t="shared" si="7"/>
        <v>400</v>
      </c>
      <c r="O191" s="6" t="s">
        <v>45</v>
      </c>
      <c r="P191" s="6">
        <v>9</v>
      </c>
      <c r="Q191" s="6">
        <v>8</v>
      </c>
      <c r="R191" s="6">
        <v>10</v>
      </c>
      <c r="S191" s="6">
        <v>27</v>
      </c>
      <c r="T191" s="6" t="str">
        <f t="shared" si="8"/>
        <v>Segunda</v>
      </c>
    </row>
    <row r="192" spans="1:20" ht="24">
      <c r="A192" s="7" t="s">
        <v>768</v>
      </c>
      <c r="B192" s="7" t="s">
        <v>781</v>
      </c>
      <c r="C192" s="8">
        <v>1</v>
      </c>
      <c r="D192" s="7" t="s">
        <v>768</v>
      </c>
      <c r="E192" s="7" t="s">
        <v>782</v>
      </c>
      <c r="F192">
        <v>1819</v>
      </c>
      <c r="G192" s="6">
        <v>22250</v>
      </c>
      <c r="H192" s="11" t="s">
        <v>783</v>
      </c>
      <c r="I192" s="6">
        <v>42</v>
      </c>
      <c r="J192" s="6">
        <v>44</v>
      </c>
      <c r="K192" s="6">
        <v>134</v>
      </c>
      <c r="L192" s="6">
        <v>61</v>
      </c>
      <c r="M192" s="10">
        <f t="shared" si="6"/>
        <v>219.67213114754099</v>
      </c>
      <c r="N192" s="10">
        <f t="shared" si="7"/>
        <v>220</v>
      </c>
      <c r="O192" s="6" t="s">
        <v>20</v>
      </c>
      <c r="P192" s="6">
        <v>5</v>
      </c>
      <c r="Q192" s="6">
        <v>3</v>
      </c>
      <c r="R192" s="6">
        <v>6</v>
      </c>
      <c r="S192" s="6">
        <v>14</v>
      </c>
      <c r="T192" s="6" t="str">
        <f t="shared" si="8"/>
        <v>Segunda</v>
      </c>
    </row>
    <row r="193" spans="1:20" ht="24">
      <c r="A193" s="7" t="s">
        <v>768</v>
      </c>
      <c r="B193" s="7" t="s">
        <v>781</v>
      </c>
      <c r="C193" s="8">
        <v>1</v>
      </c>
      <c r="D193" s="7" t="s">
        <v>768</v>
      </c>
      <c r="E193" s="7" t="s">
        <v>784</v>
      </c>
      <c r="F193">
        <v>1698</v>
      </c>
      <c r="G193" s="6">
        <v>17655</v>
      </c>
      <c r="H193" s="11" t="s">
        <v>785</v>
      </c>
      <c r="I193" s="6">
        <v>29</v>
      </c>
      <c r="J193" s="6">
        <v>92</v>
      </c>
      <c r="K193" s="6">
        <v>219</v>
      </c>
      <c r="L193" s="6">
        <v>53</v>
      </c>
      <c r="M193" s="10">
        <f t="shared" si="6"/>
        <v>413.20754716981133</v>
      </c>
      <c r="N193" s="10">
        <f t="shared" si="7"/>
        <v>414</v>
      </c>
      <c r="O193" s="6" t="s">
        <v>18</v>
      </c>
      <c r="P193" s="6">
        <v>6</v>
      </c>
      <c r="Q193" s="6">
        <v>7</v>
      </c>
      <c r="R193" s="6">
        <v>13</v>
      </c>
      <c r="S193" s="6">
        <v>26</v>
      </c>
      <c r="T193" s="6" t="str">
        <f t="shared" si="8"/>
        <v>Tercera</v>
      </c>
    </row>
    <row r="194" spans="1:20" ht="24">
      <c r="A194" s="7" t="s">
        <v>768</v>
      </c>
      <c r="B194" s="7" t="s">
        <v>781</v>
      </c>
      <c r="C194" s="8">
        <v>1</v>
      </c>
      <c r="D194" s="7" t="s">
        <v>768</v>
      </c>
      <c r="E194" s="7" t="s">
        <v>779</v>
      </c>
      <c r="F194">
        <v>1840</v>
      </c>
      <c r="G194" s="6">
        <v>3596</v>
      </c>
      <c r="H194" s="11" t="s">
        <v>780</v>
      </c>
      <c r="I194" s="6">
        <v>35</v>
      </c>
      <c r="J194" s="6">
        <v>27</v>
      </c>
      <c r="K194" s="6">
        <v>81</v>
      </c>
      <c r="L194" s="6">
        <v>63</v>
      </c>
      <c r="M194" s="10">
        <f t="shared" si="6"/>
        <v>128.57142857142858</v>
      </c>
      <c r="N194" s="10">
        <f t="shared" si="7"/>
        <v>129</v>
      </c>
      <c r="O194" s="6" t="s">
        <v>83</v>
      </c>
      <c r="P194" s="6">
        <v>2</v>
      </c>
      <c r="Q194" s="6">
        <v>2</v>
      </c>
      <c r="R194" s="6">
        <v>7</v>
      </c>
      <c r="S194" s="6">
        <v>11</v>
      </c>
      <c r="T194" s="6" t="str">
        <f t="shared" si="8"/>
        <v>Segunda</v>
      </c>
    </row>
    <row r="195" spans="1:20" ht="24">
      <c r="A195" s="7" t="s">
        <v>768</v>
      </c>
      <c r="B195" s="7" t="s">
        <v>781</v>
      </c>
      <c r="C195" s="8">
        <v>1</v>
      </c>
      <c r="D195" s="7" t="s">
        <v>768</v>
      </c>
      <c r="E195" s="7" t="s">
        <v>786</v>
      </c>
      <c r="F195">
        <v>1890</v>
      </c>
      <c r="G195" s="6">
        <v>21496</v>
      </c>
      <c r="H195" s="11" t="s">
        <v>787</v>
      </c>
      <c r="I195" s="6">
        <v>18</v>
      </c>
      <c r="J195" s="6">
        <v>56</v>
      </c>
      <c r="K195" s="6">
        <v>158</v>
      </c>
      <c r="L195" s="6">
        <v>61</v>
      </c>
      <c r="M195" s="10">
        <f t="shared" ref="M195:M258" si="9">IF(K195+L195=0,0,(100*K195/L195))</f>
        <v>259.01639344262293</v>
      </c>
      <c r="N195" s="10">
        <f t="shared" ref="N195:N258" si="10">ROUNDUP(M195,0)</f>
        <v>260</v>
      </c>
      <c r="O195" s="6" t="s">
        <v>37</v>
      </c>
      <c r="P195" s="6">
        <v>4</v>
      </c>
      <c r="Q195" s="6">
        <v>4</v>
      </c>
      <c r="R195" s="6">
        <v>9</v>
      </c>
      <c r="S195" s="6">
        <v>17</v>
      </c>
      <c r="T195" s="6" t="str">
        <f t="shared" ref="T195:T258" si="11">IF(F195&gt;2100,"Primera",
IF(F195&gt;=1800,"Segunda",
IF(F195&gt;=1600,"Tercera",
IF(F195&gt;=1400,"Cuarta",
IF(F195&gt;=1200,"Quinta",
IF(F195&gt;=1080,"Sexta",
IF(F195&gt;=980,"Septima",
"Octava")))))))</f>
        <v>Segunda</v>
      </c>
    </row>
    <row r="196" spans="1:20" ht="24">
      <c r="A196" s="7" t="s">
        <v>768</v>
      </c>
      <c r="B196" s="7" t="s">
        <v>781</v>
      </c>
      <c r="C196" s="8">
        <v>1</v>
      </c>
      <c r="D196" s="7" t="s">
        <v>768</v>
      </c>
      <c r="E196" s="7" t="s">
        <v>788</v>
      </c>
      <c r="F196">
        <v>1777</v>
      </c>
      <c r="G196" s="6">
        <v>19473</v>
      </c>
      <c r="H196" s="11" t="s">
        <v>789</v>
      </c>
      <c r="I196" s="6">
        <v>31</v>
      </c>
      <c r="J196" s="6">
        <v>133</v>
      </c>
      <c r="K196" s="6">
        <v>375</v>
      </c>
      <c r="L196" s="6">
        <v>59</v>
      </c>
      <c r="M196" s="10">
        <f t="shared" si="9"/>
        <v>635.59322033898309</v>
      </c>
      <c r="N196" s="10">
        <f t="shared" si="10"/>
        <v>636</v>
      </c>
      <c r="O196" s="6" t="s">
        <v>20</v>
      </c>
      <c r="P196" s="6">
        <v>17</v>
      </c>
      <c r="Q196" s="6">
        <v>10</v>
      </c>
      <c r="R196" s="6">
        <v>19</v>
      </c>
      <c r="S196" s="6">
        <v>46</v>
      </c>
      <c r="T196" s="6" t="str">
        <f t="shared" si="11"/>
        <v>Tercera</v>
      </c>
    </row>
    <row r="197" spans="1:20" ht="24">
      <c r="A197" s="7" t="s">
        <v>768</v>
      </c>
      <c r="B197" s="7" t="s">
        <v>781</v>
      </c>
      <c r="C197" s="8">
        <v>1</v>
      </c>
      <c r="D197" s="7" t="s">
        <v>768</v>
      </c>
      <c r="E197" s="7" t="s">
        <v>790</v>
      </c>
      <c r="F197">
        <v>1790</v>
      </c>
      <c r="G197" s="6">
        <v>27549</v>
      </c>
      <c r="H197" s="11" t="s">
        <v>791</v>
      </c>
      <c r="I197" s="6">
        <v>15</v>
      </c>
      <c r="J197" s="6">
        <v>62</v>
      </c>
      <c r="K197" s="6">
        <v>155</v>
      </c>
      <c r="L197" s="6">
        <v>56</v>
      </c>
      <c r="M197" s="10">
        <f t="shared" si="9"/>
        <v>276.78571428571428</v>
      </c>
      <c r="N197" s="10">
        <f t="shared" si="10"/>
        <v>277</v>
      </c>
      <c r="O197" s="6" t="s">
        <v>18</v>
      </c>
      <c r="P197" s="6">
        <v>7</v>
      </c>
      <c r="Q197" s="6">
        <v>6</v>
      </c>
      <c r="R197" s="6">
        <v>9</v>
      </c>
      <c r="S197" s="6">
        <v>22</v>
      </c>
      <c r="T197" s="6" t="str">
        <f t="shared" si="11"/>
        <v>Tercera</v>
      </c>
    </row>
    <row r="198" spans="1:20" ht="24">
      <c r="A198" s="7" t="s">
        <v>768</v>
      </c>
      <c r="B198" s="7" t="s">
        <v>468</v>
      </c>
      <c r="C198" s="8">
        <v>1</v>
      </c>
      <c r="D198" s="7" t="s">
        <v>768</v>
      </c>
      <c r="E198" s="7" t="s">
        <v>786</v>
      </c>
      <c r="F198">
        <v>1890</v>
      </c>
      <c r="G198" s="6">
        <v>21496</v>
      </c>
      <c r="H198" s="11" t="s">
        <v>787</v>
      </c>
      <c r="I198" s="6">
        <v>18</v>
      </c>
      <c r="J198" s="6">
        <v>56</v>
      </c>
      <c r="K198" s="6">
        <v>158</v>
      </c>
      <c r="L198" s="6">
        <v>61</v>
      </c>
      <c r="M198" s="10">
        <f t="shared" si="9"/>
        <v>259.01639344262293</v>
      </c>
      <c r="N198" s="10">
        <f t="shared" si="10"/>
        <v>260</v>
      </c>
      <c r="O198" s="6" t="s">
        <v>37</v>
      </c>
      <c r="P198" s="6">
        <v>4</v>
      </c>
      <c r="Q198" s="6">
        <v>4</v>
      </c>
      <c r="R198" s="6">
        <v>9</v>
      </c>
      <c r="S198" s="6">
        <v>17</v>
      </c>
      <c r="T198" s="6" t="str">
        <f t="shared" si="11"/>
        <v>Segunda</v>
      </c>
    </row>
    <row r="199" spans="1:20" ht="24">
      <c r="A199" s="7" t="s">
        <v>768</v>
      </c>
      <c r="B199" s="7" t="s">
        <v>468</v>
      </c>
      <c r="C199" s="8">
        <v>1</v>
      </c>
      <c r="D199" s="7" t="s">
        <v>768</v>
      </c>
      <c r="E199" s="7" t="s">
        <v>788</v>
      </c>
      <c r="F199">
        <v>1777</v>
      </c>
      <c r="G199" s="6">
        <v>19473</v>
      </c>
      <c r="H199" s="11" t="s">
        <v>789</v>
      </c>
      <c r="I199" s="6">
        <v>31</v>
      </c>
      <c r="J199" s="6">
        <v>133</v>
      </c>
      <c r="K199" s="6">
        <v>375</v>
      </c>
      <c r="L199" s="6">
        <v>59</v>
      </c>
      <c r="M199" s="10">
        <f t="shared" si="9"/>
        <v>635.59322033898309</v>
      </c>
      <c r="N199" s="10">
        <f t="shared" si="10"/>
        <v>636</v>
      </c>
      <c r="O199" s="6" t="s">
        <v>20</v>
      </c>
      <c r="P199" s="6">
        <v>17</v>
      </c>
      <c r="Q199" s="6">
        <v>10</v>
      </c>
      <c r="R199" s="6">
        <v>19</v>
      </c>
      <c r="S199" s="6">
        <v>46</v>
      </c>
      <c r="T199" s="6" t="str">
        <f t="shared" si="11"/>
        <v>Tercera</v>
      </c>
    </row>
    <row r="200" spans="1:20" ht="24">
      <c r="A200" s="7" t="s">
        <v>768</v>
      </c>
      <c r="B200" s="7" t="s">
        <v>468</v>
      </c>
      <c r="C200" s="8">
        <v>1</v>
      </c>
      <c r="D200" s="7" t="s">
        <v>768</v>
      </c>
      <c r="E200" s="7" t="s">
        <v>792</v>
      </c>
      <c r="F200">
        <v>1597</v>
      </c>
      <c r="G200" s="6">
        <v>23718</v>
      </c>
      <c r="H200" s="11" t="s">
        <v>793</v>
      </c>
      <c r="I200" s="6">
        <v>15</v>
      </c>
      <c r="J200" s="6">
        <v>66</v>
      </c>
      <c r="K200" s="6">
        <v>158</v>
      </c>
      <c r="L200" s="6">
        <v>50</v>
      </c>
      <c r="M200" s="10">
        <f t="shared" si="9"/>
        <v>316</v>
      </c>
      <c r="N200" s="10">
        <f t="shared" si="10"/>
        <v>316</v>
      </c>
      <c r="O200" s="6" t="s">
        <v>19</v>
      </c>
      <c r="P200" s="6">
        <v>5</v>
      </c>
      <c r="Q200" s="6">
        <v>5</v>
      </c>
      <c r="R200" s="6">
        <v>5</v>
      </c>
      <c r="S200" s="6">
        <v>15</v>
      </c>
      <c r="T200" s="6" t="str">
        <f t="shared" si="11"/>
        <v>Cuarta</v>
      </c>
    </row>
    <row r="201" spans="1:20" ht="24">
      <c r="A201" s="7" t="s">
        <v>768</v>
      </c>
      <c r="B201" s="7" t="s">
        <v>468</v>
      </c>
      <c r="C201" s="8">
        <v>1</v>
      </c>
      <c r="D201" s="7" t="s">
        <v>768</v>
      </c>
      <c r="E201" s="7" t="s">
        <v>794</v>
      </c>
      <c r="F201">
        <v>1843</v>
      </c>
      <c r="G201" s="6">
        <v>23051</v>
      </c>
      <c r="H201" s="11" t="s">
        <v>795</v>
      </c>
      <c r="I201" s="6">
        <v>45</v>
      </c>
      <c r="J201" s="6">
        <v>33</v>
      </c>
      <c r="K201" s="6">
        <v>91</v>
      </c>
      <c r="L201" s="6">
        <v>56</v>
      </c>
      <c r="M201" s="10">
        <f t="shared" si="9"/>
        <v>162.5</v>
      </c>
      <c r="N201" s="10">
        <f t="shared" si="10"/>
        <v>163</v>
      </c>
      <c r="O201" s="6" t="s">
        <v>19</v>
      </c>
      <c r="P201" s="6">
        <v>3</v>
      </c>
      <c r="Q201" s="6">
        <v>4</v>
      </c>
      <c r="R201" s="6">
        <v>6</v>
      </c>
      <c r="S201" s="6">
        <v>13</v>
      </c>
      <c r="T201" s="6" t="str">
        <f t="shared" si="11"/>
        <v>Segunda</v>
      </c>
    </row>
    <row r="202" spans="1:20" ht="24">
      <c r="A202" s="7" t="s">
        <v>768</v>
      </c>
      <c r="B202" s="7" t="s">
        <v>468</v>
      </c>
      <c r="C202" s="8">
        <v>1</v>
      </c>
      <c r="D202" s="7" t="s">
        <v>768</v>
      </c>
      <c r="E202" s="7" t="s">
        <v>790</v>
      </c>
      <c r="F202">
        <v>1790</v>
      </c>
      <c r="G202" s="6">
        <v>27549</v>
      </c>
      <c r="H202" s="11" t="s">
        <v>791</v>
      </c>
      <c r="I202" s="6">
        <v>15</v>
      </c>
      <c r="J202" s="6">
        <v>62</v>
      </c>
      <c r="K202" s="6">
        <v>155</v>
      </c>
      <c r="L202" s="6">
        <v>56</v>
      </c>
      <c r="M202" s="10">
        <f t="shared" si="9"/>
        <v>276.78571428571428</v>
      </c>
      <c r="N202" s="10">
        <f t="shared" si="10"/>
        <v>277</v>
      </c>
      <c r="O202" s="6" t="s">
        <v>18</v>
      </c>
      <c r="P202" s="6">
        <v>7</v>
      </c>
      <c r="Q202" s="6">
        <v>6</v>
      </c>
      <c r="R202" s="6">
        <v>9</v>
      </c>
      <c r="S202" s="6">
        <v>22</v>
      </c>
      <c r="T202" s="6" t="str">
        <f t="shared" si="11"/>
        <v>Tercera</v>
      </c>
    </row>
    <row r="203" spans="1:20" ht="24">
      <c r="A203" s="7" t="s">
        <v>768</v>
      </c>
      <c r="B203" s="7" t="s">
        <v>468</v>
      </c>
      <c r="C203" s="8">
        <v>1</v>
      </c>
      <c r="D203" s="7" t="s">
        <v>768</v>
      </c>
      <c r="E203" s="7" t="s">
        <v>796</v>
      </c>
      <c r="F203">
        <v>1100</v>
      </c>
      <c r="G203" s="6">
        <v>18201</v>
      </c>
      <c r="H203" s="11" t="s">
        <v>797</v>
      </c>
      <c r="I203" s="6">
        <v>22</v>
      </c>
      <c r="J203" s="6">
        <v>1</v>
      </c>
      <c r="K203" s="6">
        <v>2</v>
      </c>
      <c r="L203" s="6">
        <v>50</v>
      </c>
      <c r="M203" s="10">
        <f t="shared" si="9"/>
        <v>4</v>
      </c>
      <c r="N203" s="10">
        <f t="shared" si="10"/>
        <v>4</v>
      </c>
      <c r="O203" s="6" t="s">
        <v>84</v>
      </c>
      <c r="P203" s="6">
        <v>0</v>
      </c>
      <c r="Q203" s="6">
        <v>0</v>
      </c>
      <c r="R203" s="6">
        <v>0</v>
      </c>
      <c r="S203" s="6">
        <v>0</v>
      </c>
      <c r="T203" s="6" t="str">
        <f t="shared" si="11"/>
        <v>Sexta</v>
      </c>
    </row>
    <row r="204" spans="1:20" ht="24">
      <c r="A204" s="7" t="s">
        <v>768</v>
      </c>
      <c r="B204" s="7" t="s">
        <v>468</v>
      </c>
      <c r="C204" s="8">
        <v>1</v>
      </c>
      <c r="D204" s="7" t="s">
        <v>768</v>
      </c>
      <c r="E204" s="7" t="s">
        <v>798</v>
      </c>
      <c r="F204">
        <v>1675</v>
      </c>
      <c r="G204" s="6">
        <v>11263</v>
      </c>
      <c r="H204" s="11" t="s">
        <v>799</v>
      </c>
      <c r="I204" s="6">
        <v>44</v>
      </c>
      <c r="J204" s="6">
        <v>193</v>
      </c>
      <c r="K204" s="6">
        <v>453</v>
      </c>
      <c r="L204" s="6">
        <v>51</v>
      </c>
      <c r="M204" s="10">
        <f t="shared" si="9"/>
        <v>888.23529411764707</v>
      </c>
      <c r="N204" s="10">
        <f t="shared" si="10"/>
        <v>889</v>
      </c>
      <c r="O204" s="6" t="s">
        <v>18</v>
      </c>
      <c r="P204" s="6">
        <v>8</v>
      </c>
      <c r="Q204" s="6">
        <v>10</v>
      </c>
      <c r="R204" s="6">
        <v>38</v>
      </c>
      <c r="S204" s="6">
        <v>56</v>
      </c>
      <c r="T204" s="6" t="str">
        <f t="shared" si="11"/>
        <v>Tercera</v>
      </c>
    </row>
    <row r="205" spans="1:20" ht="24">
      <c r="A205" s="7" t="s">
        <v>768</v>
      </c>
      <c r="B205" s="7" t="s">
        <v>483</v>
      </c>
      <c r="C205" s="8">
        <v>1</v>
      </c>
      <c r="D205" s="7" t="s">
        <v>800</v>
      </c>
      <c r="E205" s="7" t="s">
        <v>794</v>
      </c>
      <c r="F205">
        <v>1843</v>
      </c>
      <c r="G205" s="6">
        <v>23051</v>
      </c>
      <c r="H205" s="11" t="s">
        <v>795</v>
      </c>
      <c r="I205" s="6">
        <v>45</v>
      </c>
      <c r="J205" s="6">
        <v>33</v>
      </c>
      <c r="K205" s="6">
        <v>91</v>
      </c>
      <c r="L205" s="6">
        <v>56</v>
      </c>
      <c r="M205" s="10">
        <f t="shared" si="9"/>
        <v>162.5</v>
      </c>
      <c r="N205" s="10">
        <f t="shared" si="10"/>
        <v>163</v>
      </c>
      <c r="O205" s="6" t="s">
        <v>19</v>
      </c>
      <c r="P205" s="6">
        <v>3</v>
      </c>
      <c r="Q205" s="6">
        <v>4</v>
      </c>
      <c r="R205" s="6">
        <v>6</v>
      </c>
      <c r="S205" s="6">
        <v>13</v>
      </c>
      <c r="T205" s="6" t="str">
        <f t="shared" si="11"/>
        <v>Segunda</v>
      </c>
    </row>
    <row r="206" spans="1:20" ht="24">
      <c r="A206" s="7" t="s">
        <v>768</v>
      </c>
      <c r="B206" s="7" t="s">
        <v>483</v>
      </c>
      <c r="C206" s="8">
        <v>1</v>
      </c>
      <c r="D206" s="7" t="s">
        <v>800</v>
      </c>
      <c r="E206" s="7" t="s">
        <v>790</v>
      </c>
      <c r="F206">
        <v>1790</v>
      </c>
      <c r="G206" s="6">
        <v>27549</v>
      </c>
      <c r="H206" s="11" t="s">
        <v>791</v>
      </c>
      <c r="I206" s="6">
        <v>15</v>
      </c>
      <c r="J206" s="6">
        <v>62</v>
      </c>
      <c r="K206" s="6">
        <v>155</v>
      </c>
      <c r="L206" s="6">
        <v>56</v>
      </c>
      <c r="M206" s="10">
        <f t="shared" si="9"/>
        <v>276.78571428571428</v>
      </c>
      <c r="N206" s="10">
        <f t="shared" si="10"/>
        <v>277</v>
      </c>
      <c r="O206" s="6" t="s">
        <v>18</v>
      </c>
      <c r="P206" s="6">
        <v>7</v>
      </c>
      <c r="Q206" s="6">
        <v>6</v>
      </c>
      <c r="R206" s="6">
        <v>9</v>
      </c>
      <c r="S206" s="6">
        <v>22</v>
      </c>
      <c r="T206" s="6" t="str">
        <f t="shared" si="11"/>
        <v>Tercera</v>
      </c>
    </row>
    <row r="207" spans="1:20" ht="24">
      <c r="A207" s="7" t="s">
        <v>768</v>
      </c>
      <c r="B207" s="7" t="s">
        <v>483</v>
      </c>
      <c r="C207" s="8">
        <v>1</v>
      </c>
      <c r="D207" s="7" t="s">
        <v>800</v>
      </c>
      <c r="E207" s="7" t="s">
        <v>801</v>
      </c>
      <c r="F207">
        <v>1528</v>
      </c>
      <c r="G207" s="6">
        <v>534</v>
      </c>
      <c r="H207" s="11" t="s">
        <v>802</v>
      </c>
      <c r="I207" s="6">
        <v>34</v>
      </c>
      <c r="J207" s="6">
        <v>34</v>
      </c>
      <c r="K207" s="6">
        <v>102</v>
      </c>
      <c r="L207" s="6">
        <v>63</v>
      </c>
      <c r="M207" s="10">
        <f t="shared" si="9"/>
        <v>161.9047619047619</v>
      </c>
      <c r="N207" s="10">
        <f t="shared" si="10"/>
        <v>162</v>
      </c>
      <c r="O207" s="6" t="s">
        <v>33</v>
      </c>
      <c r="P207" s="6">
        <v>4</v>
      </c>
      <c r="Q207" s="6">
        <v>4</v>
      </c>
      <c r="R207" s="6">
        <v>6</v>
      </c>
      <c r="S207" s="6">
        <v>14</v>
      </c>
      <c r="T207" s="6" t="str">
        <f t="shared" si="11"/>
        <v>Cuarta</v>
      </c>
    </row>
    <row r="208" spans="1:20" ht="24">
      <c r="A208" s="7" t="s">
        <v>768</v>
      </c>
      <c r="B208" s="7" t="s">
        <v>483</v>
      </c>
      <c r="C208" s="8">
        <v>1</v>
      </c>
      <c r="D208" s="7" t="s">
        <v>800</v>
      </c>
      <c r="E208" s="7" t="s">
        <v>798</v>
      </c>
      <c r="F208">
        <v>1675</v>
      </c>
      <c r="G208" s="6">
        <v>11263</v>
      </c>
      <c r="H208" s="11" t="s">
        <v>799</v>
      </c>
      <c r="I208" s="6">
        <v>44</v>
      </c>
      <c r="J208" s="6">
        <v>193</v>
      </c>
      <c r="K208" s="6">
        <v>453</v>
      </c>
      <c r="L208" s="6">
        <v>51</v>
      </c>
      <c r="M208" s="10">
        <f t="shared" si="9"/>
        <v>888.23529411764707</v>
      </c>
      <c r="N208" s="10">
        <f t="shared" si="10"/>
        <v>889</v>
      </c>
      <c r="O208" s="6" t="s">
        <v>18</v>
      </c>
      <c r="P208" s="6">
        <v>8</v>
      </c>
      <c r="Q208" s="6">
        <v>10</v>
      </c>
      <c r="R208" s="6">
        <v>38</v>
      </c>
      <c r="S208" s="6">
        <v>56</v>
      </c>
      <c r="T208" s="6" t="str">
        <f t="shared" si="11"/>
        <v>Tercera</v>
      </c>
    </row>
    <row r="209" spans="1:20" ht="24">
      <c r="A209" s="7" t="s">
        <v>768</v>
      </c>
      <c r="B209" s="7" t="s">
        <v>483</v>
      </c>
      <c r="C209" s="8">
        <v>1</v>
      </c>
      <c r="D209" s="7" t="s">
        <v>800</v>
      </c>
      <c r="E209" s="7" t="s">
        <v>803</v>
      </c>
      <c r="F209">
        <v>1610</v>
      </c>
      <c r="G209" s="6">
        <v>24101</v>
      </c>
      <c r="H209" s="11" t="s">
        <v>804</v>
      </c>
      <c r="I209" s="6">
        <v>32</v>
      </c>
      <c r="J209" s="6">
        <v>23</v>
      </c>
      <c r="K209" s="6">
        <v>86</v>
      </c>
      <c r="L209" s="6">
        <v>77</v>
      </c>
      <c r="M209" s="10">
        <f t="shared" si="9"/>
        <v>111.68831168831169</v>
      </c>
      <c r="N209" s="10">
        <f t="shared" si="10"/>
        <v>112</v>
      </c>
      <c r="O209" s="6" t="s">
        <v>37</v>
      </c>
      <c r="P209" s="6">
        <v>9</v>
      </c>
      <c r="Q209" s="6">
        <v>0</v>
      </c>
      <c r="R209" s="6">
        <v>7</v>
      </c>
      <c r="S209" s="6">
        <v>16</v>
      </c>
      <c r="T209" s="6" t="str">
        <f t="shared" si="11"/>
        <v>Tercera</v>
      </c>
    </row>
    <row r="210" spans="1:20" ht="24">
      <c r="A210" s="7" t="s">
        <v>768</v>
      </c>
      <c r="B210" s="7" t="s">
        <v>483</v>
      </c>
      <c r="C210" s="8">
        <v>1</v>
      </c>
      <c r="D210" s="7" t="s">
        <v>800</v>
      </c>
      <c r="E210" s="7" t="s">
        <v>805</v>
      </c>
      <c r="F210">
        <v>1530</v>
      </c>
      <c r="G210" s="6">
        <v>26948</v>
      </c>
      <c r="H210" s="11" t="s">
        <v>806</v>
      </c>
      <c r="I210" s="6">
        <v>40</v>
      </c>
      <c r="J210" s="6">
        <v>55</v>
      </c>
      <c r="K210" s="6">
        <v>132</v>
      </c>
      <c r="L210" s="6">
        <v>54</v>
      </c>
      <c r="M210" s="10">
        <f t="shared" si="9"/>
        <v>244.44444444444446</v>
      </c>
      <c r="N210" s="10">
        <f t="shared" si="10"/>
        <v>245</v>
      </c>
      <c r="O210" s="6" t="s">
        <v>12</v>
      </c>
      <c r="P210" s="6">
        <v>2</v>
      </c>
      <c r="Q210" s="6">
        <v>2</v>
      </c>
      <c r="R210" s="6">
        <v>5</v>
      </c>
      <c r="S210" s="6">
        <v>9</v>
      </c>
      <c r="T210" s="6" t="str">
        <f t="shared" si="11"/>
        <v>Cuarta</v>
      </c>
    </row>
    <row r="211" spans="1:20" ht="24">
      <c r="A211" s="7" t="s">
        <v>768</v>
      </c>
      <c r="B211" s="7" t="s">
        <v>483</v>
      </c>
      <c r="C211" s="8">
        <v>1</v>
      </c>
      <c r="D211" s="7" t="s">
        <v>800</v>
      </c>
      <c r="E211" s="7" t="s">
        <v>807</v>
      </c>
      <c r="F211">
        <v>1600</v>
      </c>
      <c r="G211" s="6">
        <v>900</v>
      </c>
      <c r="H211" s="11" t="s">
        <v>808</v>
      </c>
      <c r="I211" s="6">
        <v>65</v>
      </c>
      <c r="J211" s="6">
        <v>50</v>
      </c>
      <c r="K211" s="6">
        <v>114</v>
      </c>
      <c r="L211" s="6">
        <v>54</v>
      </c>
      <c r="M211" s="10">
        <f t="shared" si="9"/>
        <v>211.11111111111111</v>
      </c>
      <c r="N211" s="10">
        <f t="shared" si="10"/>
        <v>212</v>
      </c>
      <c r="O211" s="6" t="s">
        <v>85</v>
      </c>
      <c r="P211" s="6">
        <v>3</v>
      </c>
      <c r="Q211" s="6">
        <v>3</v>
      </c>
      <c r="R211" s="6">
        <v>7</v>
      </c>
      <c r="S211" s="6">
        <v>13</v>
      </c>
      <c r="T211" s="6" t="str">
        <f t="shared" si="11"/>
        <v>Tercera</v>
      </c>
    </row>
    <row r="212" spans="1:20" ht="24">
      <c r="A212" s="7" t="s">
        <v>768</v>
      </c>
      <c r="B212" s="7" t="s">
        <v>483</v>
      </c>
      <c r="C212" s="8">
        <v>1</v>
      </c>
      <c r="D212" s="7" t="s">
        <v>800</v>
      </c>
      <c r="E212" s="7" t="s">
        <v>809</v>
      </c>
      <c r="F212">
        <v>1623</v>
      </c>
      <c r="G212" s="6">
        <v>27768</v>
      </c>
      <c r="H212" s="11" t="s">
        <v>810</v>
      </c>
      <c r="I212" s="6">
        <v>12</v>
      </c>
      <c r="J212" s="6">
        <v>26</v>
      </c>
      <c r="K212" s="6">
        <v>81</v>
      </c>
      <c r="L212" s="6">
        <v>65</v>
      </c>
      <c r="M212" s="10">
        <f t="shared" si="9"/>
        <v>124.61538461538461</v>
      </c>
      <c r="N212" s="10">
        <f t="shared" si="10"/>
        <v>125</v>
      </c>
      <c r="O212" s="6" t="s">
        <v>18</v>
      </c>
      <c r="P212" s="6">
        <v>8</v>
      </c>
      <c r="Q212" s="6">
        <v>1</v>
      </c>
      <c r="R212" s="6">
        <v>3</v>
      </c>
      <c r="S212" s="6">
        <v>12</v>
      </c>
      <c r="T212" s="6" t="str">
        <f t="shared" si="11"/>
        <v>Tercera</v>
      </c>
    </row>
    <row r="213" spans="1:20" ht="24">
      <c r="A213" s="7" t="s">
        <v>768</v>
      </c>
      <c r="B213" s="7" t="s">
        <v>483</v>
      </c>
      <c r="C213" s="8">
        <v>2</v>
      </c>
      <c r="D213" s="7" t="s">
        <v>811</v>
      </c>
      <c r="E213" s="7" t="s">
        <v>812</v>
      </c>
      <c r="F213">
        <v>1401</v>
      </c>
      <c r="G213" s="6">
        <v>9949</v>
      </c>
      <c r="H213" s="11" t="s">
        <v>813</v>
      </c>
      <c r="I213" s="6">
        <v>33</v>
      </c>
      <c r="J213" s="6">
        <v>34</v>
      </c>
      <c r="K213" s="6">
        <v>91</v>
      </c>
      <c r="L213" s="6">
        <v>61</v>
      </c>
      <c r="M213" s="10">
        <f t="shared" si="9"/>
        <v>149.18032786885246</v>
      </c>
      <c r="N213" s="10">
        <f t="shared" si="10"/>
        <v>150</v>
      </c>
      <c r="O213" s="6" t="s">
        <v>86</v>
      </c>
      <c r="P213" s="6">
        <v>5</v>
      </c>
      <c r="Q213" s="6">
        <v>6</v>
      </c>
      <c r="R213" s="6">
        <v>4</v>
      </c>
      <c r="S213" s="6">
        <v>15</v>
      </c>
      <c r="T213" s="6" t="str">
        <f t="shared" si="11"/>
        <v>Cuarta</v>
      </c>
    </row>
    <row r="214" spans="1:20" ht="24">
      <c r="A214" s="7" t="s">
        <v>768</v>
      </c>
      <c r="B214" s="7" t="s">
        <v>483</v>
      </c>
      <c r="C214" s="8">
        <v>2</v>
      </c>
      <c r="D214" s="7" t="s">
        <v>811</v>
      </c>
      <c r="E214" s="7" t="s">
        <v>796</v>
      </c>
      <c r="F214">
        <v>1100</v>
      </c>
      <c r="G214" s="6">
        <v>18201</v>
      </c>
      <c r="H214" s="11" t="s">
        <v>797</v>
      </c>
      <c r="I214" s="6">
        <v>22</v>
      </c>
      <c r="J214" s="6">
        <v>1</v>
      </c>
      <c r="K214" s="6">
        <v>2</v>
      </c>
      <c r="L214" s="6">
        <v>50</v>
      </c>
      <c r="M214" s="10">
        <f t="shared" si="9"/>
        <v>4</v>
      </c>
      <c r="N214" s="10">
        <f t="shared" si="10"/>
        <v>4</v>
      </c>
      <c r="O214" s="6" t="s">
        <v>84</v>
      </c>
      <c r="P214" s="6">
        <v>0</v>
      </c>
      <c r="Q214" s="6">
        <v>0</v>
      </c>
      <c r="R214" s="6">
        <v>0</v>
      </c>
      <c r="S214" s="6">
        <v>0</v>
      </c>
      <c r="T214" s="6" t="str">
        <f t="shared" si="11"/>
        <v>Sexta</v>
      </c>
    </row>
    <row r="215" spans="1:20" ht="24">
      <c r="A215" s="7" t="s">
        <v>768</v>
      </c>
      <c r="B215" s="7" t="s">
        <v>483</v>
      </c>
      <c r="C215" s="8">
        <v>2</v>
      </c>
      <c r="D215" s="7" t="s">
        <v>811</v>
      </c>
      <c r="E215" s="7" t="s">
        <v>814</v>
      </c>
      <c r="F215">
        <v>1566</v>
      </c>
      <c r="G215" s="6">
        <v>25674</v>
      </c>
      <c r="H215" s="11" t="s">
        <v>815</v>
      </c>
      <c r="I215" s="6">
        <v>20</v>
      </c>
      <c r="J215" s="6">
        <v>47</v>
      </c>
      <c r="K215" s="6">
        <v>135</v>
      </c>
      <c r="L215" s="6">
        <v>58</v>
      </c>
      <c r="M215" s="10">
        <f t="shared" si="9"/>
        <v>232.75862068965517</v>
      </c>
      <c r="N215" s="10">
        <f t="shared" si="10"/>
        <v>233</v>
      </c>
      <c r="O215" s="6" t="s">
        <v>37</v>
      </c>
      <c r="P215" s="6">
        <v>6</v>
      </c>
      <c r="Q215" s="6">
        <v>4</v>
      </c>
      <c r="R215" s="6">
        <v>9</v>
      </c>
      <c r="S215" s="6">
        <v>19</v>
      </c>
      <c r="T215" s="6" t="str">
        <f t="shared" si="11"/>
        <v>Cuarta</v>
      </c>
    </row>
    <row r="216" spans="1:20" ht="24">
      <c r="A216" s="7" t="s">
        <v>768</v>
      </c>
      <c r="B216" s="7" t="s">
        <v>483</v>
      </c>
      <c r="C216" s="8">
        <v>2</v>
      </c>
      <c r="D216" s="7" t="s">
        <v>811</v>
      </c>
      <c r="E216" s="7" t="s">
        <v>816</v>
      </c>
      <c r="F216">
        <v>1655</v>
      </c>
      <c r="G216" s="6">
        <v>12951</v>
      </c>
      <c r="H216" s="11" t="s">
        <v>817</v>
      </c>
      <c r="I216" s="6">
        <v>29</v>
      </c>
      <c r="J216" s="6">
        <v>19</v>
      </c>
      <c r="K216" s="6">
        <v>70</v>
      </c>
      <c r="L216" s="6">
        <v>68</v>
      </c>
      <c r="M216" s="10">
        <f t="shared" si="9"/>
        <v>102.94117647058823</v>
      </c>
      <c r="N216" s="10">
        <f t="shared" si="10"/>
        <v>103</v>
      </c>
      <c r="O216" s="6" t="s">
        <v>37</v>
      </c>
      <c r="P216" s="6">
        <v>3</v>
      </c>
      <c r="Q216" s="6">
        <v>4</v>
      </c>
      <c r="R216" s="6">
        <v>5</v>
      </c>
      <c r="S216" s="6">
        <v>12</v>
      </c>
      <c r="T216" s="6" t="str">
        <f t="shared" si="11"/>
        <v>Tercera</v>
      </c>
    </row>
    <row r="217" spans="1:20" ht="24">
      <c r="A217" s="7" t="s">
        <v>768</v>
      </c>
      <c r="B217" s="7" t="s">
        <v>483</v>
      </c>
      <c r="C217" s="8">
        <v>2</v>
      </c>
      <c r="D217" s="7" t="s">
        <v>811</v>
      </c>
      <c r="E217" s="7" t="s">
        <v>818</v>
      </c>
      <c r="F217">
        <v>1405</v>
      </c>
      <c r="G217" s="6">
        <v>3983</v>
      </c>
      <c r="H217" s="11" t="s">
        <v>819</v>
      </c>
      <c r="I217" s="6">
        <v>64</v>
      </c>
      <c r="J217" s="6">
        <v>2</v>
      </c>
      <c r="K217" s="6">
        <v>0</v>
      </c>
      <c r="L217" s="6">
        <v>0</v>
      </c>
      <c r="M217" s="10">
        <f t="shared" si="9"/>
        <v>0</v>
      </c>
      <c r="N217" s="10">
        <f t="shared" si="10"/>
        <v>0</v>
      </c>
      <c r="O217" s="6" t="s">
        <v>87</v>
      </c>
      <c r="P217" s="6">
        <v>0</v>
      </c>
      <c r="Q217" s="6">
        <v>0</v>
      </c>
      <c r="R217" s="6">
        <v>0</v>
      </c>
      <c r="S217" s="6">
        <v>0</v>
      </c>
      <c r="T217" s="6" t="str">
        <f t="shared" si="11"/>
        <v>Cuarta</v>
      </c>
    </row>
    <row r="218" spans="1:20" ht="24">
      <c r="A218" s="7" t="s">
        <v>768</v>
      </c>
      <c r="B218" s="7" t="s">
        <v>483</v>
      </c>
      <c r="C218" s="8">
        <v>2</v>
      </c>
      <c r="D218" s="7" t="s">
        <v>811</v>
      </c>
      <c r="E218" s="7" t="s">
        <v>820</v>
      </c>
      <c r="F218">
        <v>1204</v>
      </c>
      <c r="G218" s="6">
        <v>11128</v>
      </c>
      <c r="H218" s="11" t="s">
        <v>821</v>
      </c>
      <c r="I218" s="6">
        <v>39</v>
      </c>
      <c r="J218" s="6">
        <v>42</v>
      </c>
      <c r="K218" s="6">
        <v>119</v>
      </c>
      <c r="L218" s="6">
        <v>38</v>
      </c>
      <c r="M218" s="10">
        <f t="shared" si="9"/>
        <v>313.15789473684208</v>
      </c>
      <c r="N218" s="10">
        <f t="shared" si="10"/>
        <v>314</v>
      </c>
      <c r="O218" s="6" t="s">
        <v>88</v>
      </c>
      <c r="P218" s="6">
        <v>4</v>
      </c>
      <c r="Q218" s="6">
        <v>5</v>
      </c>
      <c r="R218" s="6">
        <v>5</v>
      </c>
      <c r="S218" s="6">
        <v>14</v>
      </c>
      <c r="T218" s="6" t="str">
        <f t="shared" si="11"/>
        <v>Quinta</v>
      </c>
    </row>
    <row r="219" spans="1:20" ht="24">
      <c r="A219" s="7" t="s">
        <v>768</v>
      </c>
      <c r="B219" s="7" t="s">
        <v>483</v>
      </c>
      <c r="C219" s="8">
        <v>2</v>
      </c>
      <c r="D219" s="7" t="s">
        <v>811</v>
      </c>
      <c r="E219" s="7" t="s">
        <v>822</v>
      </c>
      <c r="F219">
        <v>1306</v>
      </c>
      <c r="G219" s="6">
        <v>24982</v>
      </c>
      <c r="H219" s="11" t="s">
        <v>823</v>
      </c>
      <c r="I219" s="6">
        <v>35</v>
      </c>
      <c r="J219" s="6">
        <v>60</v>
      </c>
      <c r="K219" s="6">
        <v>156</v>
      </c>
      <c r="L219" s="6">
        <v>60</v>
      </c>
      <c r="M219" s="10">
        <f t="shared" si="9"/>
        <v>260</v>
      </c>
      <c r="N219" s="10">
        <f t="shared" si="10"/>
        <v>260</v>
      </c>
      <c r="O219" s="6" t="s">
        <v>89</v>
      </c>
      <c r="P219" s="6">
        <v>4</v>
      </c>
      <c r="Q219" s="6">
        <v>2</v>
      </c>
      <c r="R219" s="6">
        <v>10</v>
      </c>
      <c r="S219" s="6">
        <v>16</v>
      </c>
      <c r="T219" s="6" t="str">
        <f t="shared" si="11"/>
        <v>Quinta</v>
      </c>
    </row>
    <row r="220" spans="1:20" ht="24">
      <c r="A220" s="7" t="s">
        <v>768</v>
      </c>
      <c r="B220" s="7" t="s">
        <v>483</v>
      </c>
      <c r="C220" s="8">
        <v>2</v>
      </c>
      <c r="D220" s="7" t="s">
        <v>811</v>
      </c>
      <c r="E220" s="7" t="s">
        <v>824</v>
      </c>
      <c r="F220">
        <v>1289</v>
      </c>
      <c r="G220" s="6">
        <v>25062</v>
      </c>
      <c r="H220" s="11" t="s">
        <v>825</v>
      </c>
      <c r="I220" s="6">
        <v>29</v>
      </c>
      <c r="J220" s="6">
        <v>16</v>
      </c>
      <c r="K220" s="6">
        <v>38</v>
      </c>
      <c r="L220" s="6">
        <v>54</v>
      </c>
      <c r="M220" s="10">
        <f t="shared" si="9"/>
        <v>70.370370370370367</v>
      </c>
      <c r="N220" s="10">
        <f t="shared" si="10"/>
        <v>71</v>
      </c>
      <c r="O220" s="6" t="s">
        <v>68</v>
      </c>
      <c r="P220" s="6">
        <v>1</v>
      </c>
      <c r="Q220" s="6">
        <v>0</v>
      </c>
      <c r="R220" s="6">
        <v>2</v>
      </c>
      <c r="S220" s="6">
        <v>3</v>
      </c>
      <c r="T220" s="6" t="str">
        <f t="shared" si="11"/>
        <v>Quinta</v>
      </c>
    </row>
    <row r="221" spans="1:20" ht="24">
      <c r="A221" s="7" t="s">
        <v>768</v>
      </c>
      <c r="B221" s="7" t="s">
        <v>496</v>
      </c>
      <c r="C221" s="8">
        <v>1</v>
      </c>
      <c r="D221" s="7" t="s">
        <v>800</v>
      </c>
      <c r="E221" s="7" t="s">
        <v>805</v>
      </c>
      <c r="F221">
        <v>1530</v>
      </c>
      <c r="G221" s="6">
        <v>26948</v>
      </c>
      <c r="H221" s="11" t="s">
        <v>806</v>
      </c>
      <c r="I221" s="6">
        <v>40</v>
      </c>
      <c r="J221" s="6">
        <v>55</v>
      </c>
      <c r="K221" s="6">
        <v>132</v>
      </c>
      <c r="L221" s="6">
        <v>54</v>
      </c>
      <c r="M221" s="10">
        <f t="shared" si="9"/>
        <v>244.44444444444446</v>
      </c>
      <c r="N221" s="10">
        <f t="shared" si="10"/>
        <v>245</v>
      </c>
      <c r="O221" s="6" t="s">
        <v>12</v>
      </c>
      <c r="P221" s="6">
        <v>2</v>
      </c>
      <c r="Q221" s="6">
        <v>2</v>
      </c>
      <c r="R221" s="6">
        <v>5</v>
      </c>
      <c r="S221" s="6">
        <v>9</v>
      </c>
      <c r="T221" s="6" t="str">
        <f t="shared" si="11"/>
        <v>Cuarta</v>
      </c>
    </row>
    <row r="222" spans="1:20" ht="24">
      <c r="A222" s="7" t="s">
        <v>768</v>
      </c>
      <c r="B222" s="7" t="s">
        <v>496</v>
      </c>
      <c r="C222" s="8">
        <v>1</v>
      </c>
      <c r="D222" s="7" t="s">
        <v>800</v>
      </c>
      <c r="E222" s="7" t="s">
        <v>807</v>
      </c>
      <c r="F222">
        <v>1600</v>
      </c>
      <c r="G222" s="6">
        <v>900</v>
      </c>
      <c r="H222" s="11" t="s">
        <v>808</v>
      </c>
      <c r="I222" s="6">
        <v>65</v>
      </c>
      <c r="J222" s="6">
        <v>50</v>
      </c>
      <c r="K222" s="6">
        <v>114</v>
      </c>
      <c r="L222" s="6">
        <v>54</v>
      </c>
      <c r="M222" s="10">
        <f t="shared" si="9"/>
        <v>211.11111111111111</v>
      </c>
      <c r="N222" s="10">
        <f t="shared" si="10"/>
        <v>212</v>
      </c>
      <c r="O222" s="6" t="s">
        <v>85</v>
      </c>
      <c r="P222" s="6">
        <v>3</v>
      </c>
      <c r="Q222" s="6">
        <v>3</v>
      </c>
      <c r="R222" s="6">
        <v>7</v>
      </c>
      <c r="S222" s="6">
        <v>13</v>
      </c>
      <c r="T222" s="6" t="str">
        <f t="shared" si="11"/>
        <v>Tercera</v>
      </c>
    </row>
    <row r="223" spans="1:20" ht="24">
      <c r="A223" s="7" t="s">
        <v>768</v>
      </c>
      <c r="B223" s="7" t="s">
        <v>496</v>
      </c>
      <c r="C223" s="8">
        <v>1</v>
      </c>
      <c r="D223" s="7" t="s">
        <v>800</v>
      </c>
      <c r="E223" s="7" t="s">
        <v>826</v>
      </c>
      <c r="F223">
        <v>1269</v>
      </c>
      <c r="G223" s="6">
        <v>26114</v>
      </c>
      <c r="H223" s="11" t="s">
        <v>827</v>
      </c>
      <c r="I223" s="6">
        <v>40</v>
      </c>
      <c r="J223" s="6">
        <v>76</v>
      </c>
      <c r="K223" s="6">
        <v>158</v>
      </c>
      <c r="L223" s="6">
        <v>45</v>
      </c>
      <c r="M223" s="10">
        <f t="shared" si="9"/>
        <v>351.11111111111109</v>
      </c>
      <c r="N223" s="10">
        <f t="shared" si="10"/>
        <v>352</v>
      </c>
      <c r="O223" s="6" t="s">
        <v>37</v>
      </c>
      <c r="P223" s="6">
        <v>4</v>
      </c>
      <c r="Q223" s="6">
        <v>6</v>
      </c>
      <c r="R223" s="6">
        <v>6</v>
      </c>
      <c r="S223" s="6">
        <v>16</v>
      </c>
      <c r="T223" s="6" t="str">
        <f t="shared" si="11"/>
        <v>Quinta</v>
      </c>
    </row>
    <row r="224" spans="1:20" ht="24">
      <c r="A224" s="7" t="s">
        <v>768</v>
      </c>
      <c r="B224" s="7" t="s">
        <v>496</v>
      </c>
      <c r="C224" s="8">
        <v>1</v>
      </c>
      <c r="D224" s="7" t="s">
        <v>800</v>
      </c>
      <c r="E224" s="7" t="s">
        <v>828</v>
      </c>
      <c r="F224">
        <v>1356</v>
      </c>
      <c r="G224" s="6">
        <v>27393</v>
      </c>
      <c r="H224" s="11" t="s">
        <v>829</v>
      </c>
      <c r="I224" s="6">
        <v>55</v>
      </c>
      <c r="J224" s="6">
        <v>36</v>
      </c>
      <c r="K224" s="6">
        <v>70</v>
      </c>
      <c r="L224" s="6">
        <v>46</v>
      </c>
      <c r="M224" s="10">
        <f t="shared" si="9"/>
        <v>152.17391304347825</v>
      </c>
      <c r="N224" s="10">
        <f t="shared" si="10"/>
        <v>153</v>
      </c>
      <c r="O224" s="6" t="s">
        <v>90</v>
      </c>
      <c r="P224" s="6">
        <v>3</v>
      </c>
      <c r="Q224" s="6">
        <v>2</v>
      </c>
      <c r="R224" s="6">
        <v>7</v>
      </c>
      <c r="S224" s="6">
        <v>12</v>
      </c>
      <c r="T224" s="6" t="str">
        <f t="shared" si="11"/>
        <v>Quinta</v>
      </c>
    </row>
    <row r="225" spans="1:20" ht="24">
      <c r="A225" s="7" t="s">
        <v>768</v>
      </c>
      <c r="B225" s="7" t="s">
        <v>496</v>
      </c>
      <c r="C225" s="8">
        <v>1</v>
      </c>
      <c r="D225" s="7" t="s">
        <v>800</v>
      </c>
      <c r="E225" s="7" t="s">
        <v>830</v>
      </c>
      <c r="F225">
        <v>1208</v>
      </c>
      <c r="G225" s="6">
        <v>25343</v>
      </c>
      <c r="H225" s="11" t="s">
        <v>831</v>
      </c>
      <c r="I225" s="6">
        <v>55</v>
      </c>
      <c r="J225" s="6">
        <v>41</v>
      </c>
      <c r="K225" s="6">
        <v>94</v>
      </c>
      <c r="L225" s="6">
        <v>54</v>
      </c>
      <c r="M225" s="10">
        <f t="shared" si="9"/>
        <v>174.07407407407408</v>
      </c>
      <c r="N225" s="10">
        <f t="shared" si="10"/>
        <v>175</v>
      </c>
      <c r="O225" s="6" t="s">
        <v>37</v>
      </c>
      <c r="P225" s="6">
        <v>1</v>
      </c>
      <c r="Q225" s="6">
        <v>1</v>
      </c>
      <c r="R225" s="6">
        <v>6</v>
      </c>
      <c r="S225" s="6">
        <v>8</v>
      </c>
      <c r="T225" s="6" t="str">
        <f t="shared" si="11"/>
        <v>Quinta</v>
      </c>
    </row>
    <row r="226" spans="1:20" ht="24">
      <c r="A226" s="7" t="s">
        <v>768</v>
      </c>
      <c r="B226" s="7" t="s">
        <v>496</v>
      </c>
      <c r="C226" s="8">
        <v>1</v>
      </c>
      <c r="D226" s="7" t="s">
        <v>800</v>
      </c>
      <c r="E226" s="7" t="s">
        <v>822</v>
      </c>
      <c r="F226">
        <v>1306</v>
      </c>
      <c r="G226" s="6">
        <v>24982</v>
      </c>
      <c r="H226" s="11" t="s">
        <v>823</v>
      </c>
      <c r="I226" s="6">
        <v>35</v>
      </c>
      <c r="J226" s="6">
        <v>60</v>
      </c>
      <c r="K226" s="6">
        <v>156</v>
      </c>
      <c r="L226" s="6">
        <v>60</v>
      </c>
      <c r="M226" s="10">
        <f t="shared" si="9"/>
        <v>260</v>
      </c>
      <c r="N226" s="10">
        <f t="shared" si="10"/>
        <v>260</v>
      </c>
      <c r="O226" s="6" t="s">
        <v>89</v>
      </c>
      <c r="P226" s="6">
        <v>4</v>
      </c>
      <c r="Q226" s="6">
        <v>2</v>
      </c>
      <c r="R226" s="6">
        <v>10</v>
      </c>
      <c r="S226" s="6">
        <v>16</v>
      </c>
      <c r="T226" s="6" t="str">
        <f t="shared" si="11"/>
        <v>Quinta</v>
      </c>
    </row>
    <row r="227" spans="1:20" ht="24">
      <c r="A227" s="7" t="s">
        <v>768</v>
      </c>
      <c r="B227" s="7" t="s">
        <v>496</v>
      </c>
      <c r="C227" s="8">
        <v>1</v>
      </c>
      <c r="D227" s="7" t="s">
        <v>800</v>
      </c>
      <c r="E227" s="7" t="s">
        <v>809</v>
      </c>
      <c r="F227">
        <v>1623</v>
      </c>
      <c r="G227" s="6">
        <v>27768</v>
      </c>
      <c r="H227" s="11" t="s">
        <v>810</v>
      </c>
      <c r="I227" s="6">
        <v>12</v>
      </c>
      <c r="J227" s="6">
        <v>26</v>
      </c>
      <c r="K227" s="6">
        <v>81</v>
      </c>
      <c r="L227" s="6">
        <v>65</v>
      </c>
      <c r="M227" s="10">
        <f t="shared" si="9"/>
        <v>124.61538461538461</v>
      </c>
      <c r="N227" s="10">
        <f t="shared" si="10"/>
        <v>125</v>
      </c>
      <c r="O227" s="6" t="s">
        <v>18</v>
      </c>
      <c r="P227" s="6">
        <v>8</v>
      </c>
      <c r="Q227" s="6">
        <v>1</v>
      </c>
      <c r="R227" s="6">
        <v>3</v>
      </c>
      <c r="S227" s="6">
        <v>12</v>
      </c>
      <c r="T227" s="6" t="str">
        <f t="shared" si="11"/>
        <v>Tercera</v>
      </c>
    </row>
    <row r="228" spans="1:20" ht="24">
      <c r="A228" s="7" t="s">
        <v>768</v>
      </c>
      <c r="B228" s="7" t="s">
        <v>496</v>
      </c>
      <c r="C228" s="8">
        <v>1</v>
      </c>
      <c r="D228" s="7" t="s">
        <v>800</v>
      </c>
      <c r="E228" s="7" t="s">
        <v>832</v>
      </c>
      <c r="F228">
        <v>1110</v>
      </c>
      <c r="G228" s="6">
        <v>26135</v>
      </c>
      <c r="H228" s="11" t="s">
        <v>833</v>
      </c>
      <c r="I228" s="6">
        <v>12</v>
      </c>
      <c r="J228" s="6">
        <v>40</v>
      </c>
      <c r="K228" s="6">
        <v>44</v>
      </c>
      <c r="L228" s="6">
        <v>26</v>
      </c>
      <c r="M228" s="10">
        <f t="shared" si="9"/>
        <v>169.23076923076923</v>
      </c>
      <c r="N228" s="10">
        <f t="shared" si="10"/>
        <v>170</v>
      </c>
      <c r="O228" s="6" t="s">
        <v>37</v>
      </c>
      <c r="P228" s="6">
        <v>0</v>
      </c>
      <c r="Q228" s="6">
        <v>2</v>
      </c>
      <c r="R228" s="6">
        <v>2</v>
      </c>
      <c r="S228" s="6">
        <v>4</v>
      </c>
      <c r="T228" s="6" t="str">
        <f t="shared" si="11"/>
        <v>Sexta</v>
      </c>
    </row>
    <row r="229" spans="1:20" ht="24">
      <c r="A229" s="7" t="s">
        <v>768</v>
      </c>
      <c r="B229" s="7" t="s">
        <v>496</v>
      </c>
      <c r="C229" s="8">
        <v>2</v>
      </c>
      <c r="D229" s="7" t="s">
        <v>811</v>
      </c>
      <c r="E229" s="7" t="s">
        <v>818</v>
      </c>
      <c r="F229">
        <v>1405</v>
      </c>
      <c r="G229" s="6">
        <v>3983</v>
      </c>
      <c r="H229" s="11" t="s">
        <v>819</v>
      </c>
      <c r="I229" s="6">
        <v>64</v>
      </c>
      <c r="J229" s="6">
        <v>2</v>
      </c>
      <c r="K229" s="6">
        <v>0</v>
      </c>
      <c r="L229" s="6">
        <v>0</v>
      </c>
      <c r="M229" s="10">
        <f t="shared" si="9"/>
        <v>0</v>
      </c>
      <c r="N229" s="10">
        <f t="shared" si="10"/>
        <v>0</v>
      </c>
      <c r="O229" s="6" t="s">
        <v>87</v>
      </c>
      <c r="P229" s="6">
        <v>0</v>
      </c>
      <c r="Q229" s="6">
        <v>0</v>
      </c>
      <c r="R229" s="6">
        <v>0</v>
      </c>
      <c r="S229" s="6">
        <v>0</v>
      </c>
      <c r="T229" s="6" t="str">
        <f t="shared" si="11"/>
        <v>Cuarta</v>
      </c>
    </row>
    <row r="230" spans="1:20" ht="24">
      <c r="A230" s="7" t="s">
        <v>768</v>
      </c>
      <c r="B230" s="7" t="s">
        <v>496</v>
      </c>
      <c r="C230" s="8">
        <v>2</v>
      </c>
      <c r="D230" s="7" t="s">
        <v>811</v>
      </c>
      <c r="E230" s="7" t="s">
        <v>820</v>
      </c>
      <c r="F230">
        <v>1204</v>
      </c>
      <c r="G230" s="6">
        <v>11128</v>
      </c>
      <c r="H230" s="11" t="s">
        <v>821</v>
      </c>
      <c r="I230" s="6">
        <v>39</v>
      </c>
      <c r="J230" s="6">
        <v>42</v>
      </c>
      <c r="K230" s="6">
        <v>119</v>
      </c>
      <c r="L230" s="6">
        <v>38</v>
      </c>
      <c r="M230" s="10">
        <f t="shared" si="9"/>
        <v>313.15789473684208</v>
      </c>
      <c r="N230" s="10">
        <f t="shared" si="10"/>
        <v>314</v>
      </c>
      <c r="O230" s="6" t="s">
        <v>88</v>
      </c>
      <c r="P230" s="6">
        <v>4</v>
      </c>
      <c r="Q230" s="6">
        <v>5</v>
      </c>
      <c r="R230" s="6">
        <v>5</v>
      </c>
      <c r="S230" s="6">
        <v>14</v>
      </c>
      <c r="T230" s="6" t="str">
        <f t="shared" si="11"/>
        <v>Quinta</v>
      </c>
    </row>
    <row r="231" spans="1:20" ht="24">
      <c r="A231" s="7" t="s">
        <v>768</v>
      </c>
      <c r="B231" s="7" t="s">
        <v>496</v>
      </c>
      <c r="C231" s="8">
        <v>2</v>
      </c>
      <c r="D231" s="7" t="s">
        <v>811</v>
      </c>
      <c r="E231" s="7" t="s">
        <v>834</v>
      </c>
      <c r="F231">
        <v>1421</v>
      </c>
      <c r="G231" s="6">
        <v>28363</v>
      </c>
      <c r="H231" s="11" t="s">
        <v>835</v>
      </c>
      <c r="I231" s="6">
        <v>31</v>
      </c>
      <c r="J231" s="6">
        <v>23</v>
      </c>
      <c r="K231" s="6">
        <v>71</v>
      </c>
      <c r="L231" s="6">
        <v>62</v>
      </c>
      <c r="M231" s="10">
        <f t="shared" si="9"/>
        <v>114.51612903225806</v>
      </c>
      <c r="N231" s="10">
        <f t="shared" si="10"/>
        <v>115</v>
      </c>
      <c r="O231" s="6" t="s">
        <v>13</v>
      </c>
      <c r="P231" s="6">
        <v>1</v>
      </c>
      <c r="Q231" s="6">
        <v>3</v>
      </c>
      <c r="R231" s="6">
        <v>5</v>
      </c>
      <c r="S231" s="6">
        <v>9</v>
      </c>
      <c r="T231" s="6" t="str">
        <f t="shared" si="11"/>
        <v>Cuarta</v>
      </c>
    </row>
    <row r="232" spans="1:20" ht="24">
      <c r="A232" s="7" t="s">
        <v>768</v>
      </c>
      <c r="B232" s="7" t="s">
        <v>496</v>
      </c>
      <c r="C232" s="8">
        <v>2</v>
      </c>
      <c r="D232" s="7" t="s">
        <v>811</v>
      </c>
      <c r="E232" s="7" t="s">
        <v>836</v>
      </c>
      <c r="F232">
        <v>1304</v>
      </c>
      <c r="G232" s="6">
        <v>18213</v>
      </c>
      <c r="H232" s="11" t="s">
        <v>837</v>
      </c>
      <c r="I232" s="6">
        <v>51</v>
      </c>
      <c r="J232" s="6">
        <v>33</v>
      </c>
      <c r="K232" s="6">
        <v>84</v>
      </c>
      <c r="L232" s="6">
        <v>43</v>
      </c>
      <c r="M232" s="10">
        <f t="shared" si="9"/>
        <v>195.34883720930233</v>
      </c>
      <c r="N232" s="10">
        <f t="shared" si="10"/>
        <v>196</v>
      </c>
      <c r="O232" s="6" t="s">
        <v>69</v>
      </c>
      <c r="P232" s="6">
        <v>2</v>
      </c>
      <c r="Q232" s="6">
        <v>3</v>
      </c>
      <c r="R232" s="6">
        <v>4</v>
      </c>
      <c r="S232" s="6">
        <v>9</v>
      </c>
      <c r="T232" s="6" t="str">
        <f t="shared" si="11"/>
        <v>Quinta</v>
      </c>
    </row>
    <row r="233" spans="1:20" ht="24">
      <c r="A233" s="7" t="s">
        <v>768</v>
      </c>
      <c r="B233" s="7" t="s">
        <v>496</v>
      </c>
      <c r="C233" s="8">
        <v>2</v>
      </c>
      <c r="D233" s="7" t="s">
        <v>811</v>
      </c>
      <c r="E233" s="7" t="s">
        <v>838</v>
      </c>
      <c r="F233">
        <v>1225</v>
      </c>
      <c r="G233" s="6">
        <v>23093</v>
      </c>
      <c r="H233" s="11" t="s">
        <v>839</v>
      </c>
      <c r="I233" s="6">
        <v>23</v>
      </c>
      <c r="J233" s="6">
        <v>105</v>
      </c>
      <c r="K233" s="6">
        <v>203</v>
      </c>
      <c r="L233" s="6">
        <v>41</v>
      </c>
      <c r="M233" s="10">
        <f t="shared" si="9"/>
        <v>495.1219512195122</v>
      </c>
      <c r="N233" s="10">
        <f t="shared" si="10"/>
        <v>496</v>
      </c>
      <c r="O233" s="6" t="s">
        <v>91</v>
      </c>
      <c r="P233" s="6">
        <v>2</v>
      </c>
      <c r="Q233" s="6">
        <v>10</v>
      </c>
      <c r="R233" s="6">
        <v>10</v>
      </c>
      <c r="S233" s="6">
        <v>22</v>
      </c>
      <c r="T233" s="6" t="str">
        <f t="shared" si="11"/>
        <v>Quinta</v>
      </c>
    </row>
    <row r="234" spans="1:20" ht="24">
      <c r="A234" s="7" t="s">
        <v>768</v>
      </c>
      <c r="B234" s="7" t="s">
        <v>496</v>
      </c>
      <c r="C234" s="8">
        <v>2</v>
      </c>
      <c r="D234" s="7" t="s">
        <v>811</v>
      </c>
      <c r="E234" s="7" t="s">
        <v>840</v>
      </c>
      <c r="F234">
        <v>1441</v>
      </c>
      <c r="G234" s="6">
        <v>23319</v>
      </c>
      <c r="H234" s="11" t="s">
        <v>841</v>
      </c>
      <c r="I234" s="6">
        <v>55</v>
      </c>
      <c r="J234" s="6">
        <v>41</v>
      </c>
      <c r="K234" s="6">
        <v>112</v>
      </c>
      <c r="L234" s="6">
        <v>61</v>
      </c>
      <c r="M234" s="10">
        <f t="shared" si="9"/>
        <v>183.60655737704917</v>
      </c>
      <c r="N234" s="10">
        <f t="shared" si="10"/>
        <v>184</v>
      </c>
      <c r="O234" s="6" t="s">
        <v>37</v>
      </c>
      <c r="P234" s="6">
        <v>5</v>
      </c>
      <c r="Q234" s="6">
        <v>2</v>
      </c>
      <c r="R234" s="6">
        <v>5</v>
      </c>
      <c r="S234" s="6">
        <v>12</v>
      </c>
      <c r="T234" s="6" t="str">
        <f t="shared" si="11"/>
        <v>Cuarta</v>
      </c>
    </row>
    <row r="235" spans="1:20" ht="24">
      <c r="A235" s="7" t="s">
        <v>768</v>
      </c>
      <c r="B235" s="7" t="s">
        <v>496</v>
      </c>
      <c r="C235" s="8">
        <v>2</v>
      </c>
      <c r="D235" s="7" t="s">
        <v>811</v>
      </c>
      <c r="E235" s="7" t="s">
        <v>842</v>
      </c>
      <c r="F235">
        <v>1305</v>
      </c>
      <c r="G235" s="6">
        <v>28071</v>
      </c>
      <c r="H235" s="11" t="s">
        <v>843</v>
      </c>
      <c r="I235" s="6">
        <v>32</v>
      </c>
      <c r="J235" s="6">
        <v>33</v>
      </c>
      <c r="K235" s="6">
        <v>92</v>
      </c>
      <c r="L235" s="6">
        <v>56</v>
      </c>
      <c r="M235" s="10">
        <f t="shared" si="9"/>
        <v>164.28571428571428</v>
      </c>
      <c r="N235" s="10">
        <f t="shared" si="10"/>
        <v>165</v>
      </c>
      <c r="O235" s="6" t="s">
        <v>12</v>
      </c>
      <c r="P235" s="6">
        <v>3</v>
      </c>
      <c r="Q235" s="6">
        <v>3</v>
      </c>
      <c r="R235" s="6">
        <v>6</v>
      </c>
      <c r="S235" s="6">
        <v>12</v>
      </c>
      <c r="T235" s="6" t="str">
        <f t="shared" si="11"/>
        <v>Quinta</v>
      </c>
    </row>
    <row r="236" spans="1:20" ht="24">
      <c r="A236" s="7" t="s">
        <v>768</v>
      </c>
      <c r="B236" s="7" t="s">
        <v>496</v>
      </c>
      <c r="C236" s="8">
        <v>2</v>
      </c>
      <c r="D236" s="7" t="s">
        <v>811</v>
      </c>
      <c r="E236" s="7" t="s">
        <v>824</v>
      </c>
      <c r="F236">
        <v>1289</v>
      </c>
      <c r="G236" s="6">
        <v>25062</v>
      </c>
      <c r="H236" s="11" t="s">
        <v>825</v>
      </c>
      <c r="I236" s="6">
        <v>29</v>
      </c>
      <c r="J236" s="6">
        <v>16</v>
      </c>
      <c r="K236" s="6">
        <v>38</v>
      </c>
      <c r="L236" s="6">
        <v>54</v>
      </c>
      <c r="M236" s="10">
        <f t="shared" si="9"/>
        <v>70.370370370370367</v>
      </c>
      <c r="N236" s="10">
        <f t="shared" si="10"/>
        <v>71</v>
      </c>
      <c r="O236" s="6" t="s">
        <v>68</v>
      </c>
      <c r="P236" s="6">
        <v>1</v>
      </c>
      <c r="Q236" s="6">
        <v>0</v>
      </c>
      <c r="R236" s="6">
        <v>2</v>
      </c>
      <c r="S236" s="6">
        <v>3</v>
      </c>
      <c r="T236" s="6" t="str">
        <f t="shared" si="11"/>
        <v>Quinta</v>
      </c>
    </row>
    <row r="237" spans="1:20" ht="24">
      <c r="A237" s="7" t="s">
        <v>768</v>
      </c>
      <c r="B237" s="7" t="s">
        <v>507</v>
      </c>
      <c r="C237" s="8">
        <v>1</v>
      </c>
      <c r="D237" s="7" t="s">
        <v>800</v>
      </c>
      <c r="E237" s="7" t="s">
        <v>828</v>
      </c>
      <c r="F237">
        <v>1356</v>
      </c>
      <c r="G237" s="6">
        <v>27393</v>
      </c>
      <c r="H237" s="11" t="s">
        <v>829</v>
      </c>
      <c r="I237" s="6">
        <v>55</v>
      </c>
      <c r="J237" s="6">
        <v>36</v>
      </c>
      <c r="K237" s="6">
        <v>70</v>
      </c>
      <c r="L237" s="6">
        <v>46</v>
      </c>
      <c r="M237" s="10">
        <f t="shared" si="9"/>
        <v>152.17391304347825</v>
      </c>
      <c r="N237" s="10">
        <f t="shared" si="10"/>
        <v>153</v>
      </c>
      <c r="O237" s="6" t="s">
        <v>90</v>
      </c>
      <c r="P237" s="6">
        <v>3</v>
      </c>
      <c r="Q237" s="6">
        <v>2</v>
      </c>
      <c r="R237" s="6">
        <v>7</v>
      </c>
      <c r="S237" s="6">
        <v>12</v>
      </c>
      <c r="T237" s="6" t="str">
        <f t="shared" si="11"/>
        <v>Quinta</v>
      </c>
    </row>
    <row r="238" spans="1:20" ht="24">
      <c r="A238" s="7" t="s">
        <v>768</v>
      </c>
      <c r="B238" s="7" t="s">
        <v>507</v>
      </c>
      <c r="C238" s="8">
        <v>1</v>
      </c>
      <c r="D238" s="7" t="s">
        <v>800</v>
      </c>
      <c r="E238" s="7" t="s">
        <v>844</v>
      </c>
      <c r="F238">
        <v>1252</v>
      </c>
      <c r="G238" s="6">
        <v>13278</v>
      </c>
      <c r="H238" s="11" t="s">
        <v>845</v>
      </c>
      <c r="I238" s="6">
        <v>56</v>
      </c>
      <c r="J238" s="6">
        <v>21</v>
      </c>
      <c r="K238" s="6">
        <v>39</v>
      </c>
      <c r="L238" s="6">
        <v>50</v>
      </c>
      <c r="M238" s="10">
        <f t="shared" si="9"/>
        <v>78</v>
      </c>
      <c r="N238" s="10">
        <f t="shared" si="10"/>
        <v>78</v>
      </c>
      <c r="O238" s="6" t="s">
        <v>37</v>
      </c>
      <c r="P238" s="6">
        <v>0</v>
      </c>
      <c r="Q238" s="6">
        <v>2</v>
      </c>
      <c r="R238" s="6">
        <v>3</v>
      </c>
      <c r="S238" s="6">
        <v>5</v>
      </c>
      <c r="T238" s="6" t="str">
        <f t="shared" si="11"/>
        <v>Quinta</v>
      </c>
    </row>
    <row r="239" spans="1:20" ht="24">
      <c r="A239" s="7" t="s">
        <v>768</v>
      </c>
      <c r="B239" s="7" t="s">
        <v>507</v>
      </c>
      <c r="C239" s="8">
        <v>1</v>
      </c>
      <c r="D239" s="7" t="s">
        <v>800</v>
      </c>
      <c r="E239" s="7" t="s">
        <v>846</v>
      </c>
      <c r="F239">
        <v>1245</v>
      </c>
      <c r="G239" s="6">
        <v>11975</v>
      </c>
      <c r="H239" s="11" t="s">
        <v>847</v>
      </c>
      <c r="I239" s="6">
        <v>43</v>
      </c>
      <c r="J239" s="6">
        <v>43</v>
      </c>
      <c r="K239" s="6">
        <v>122</v>
      </c>
      <c r="L239" s="6">
        <v>61</v>
      </c>
      <c r="M239" s="10">
        <f t="shared" si="9"/>
        <v>200</v>
      </c>
      <c r="N239" s="10">
        <f t="shared" si="10"/>
        <v>200</v>
      </c>
      <c r="O239" s="6" t="s">
        <v>12</v>
      </c>
      <c r="P239" s="6">
        <v>1</v>
      </c>
      <c r="Q239" s="6">
        <v>5</v>
      </c>
      <c r="R239" s="6">
        <v>9</v>
      </c>
      <c r="S239" s="6">
        <v>15</v>
      </c>
      <c r="T239" s="6" t="str">
        <f t="shared" si="11"/>
        <v>Quinta</v>
      </c>
    </row>
    <row r="240" spans="1:20" ht="24">
      <c r="A240" s="7" t="s">
        <v>768</v>
      </c>
      <c r="B240" s="7" t="s">
        <v>507</v>
      </c>
      <c r="C240" s="8">
        <v>1</v>
      </c>
      <c r="D240" s="7" t="s">
        <v>800</v>
      </c>
      <c r="E240" s="7" t="s">
        <v>848</v>
      </c>
      <c r="F240">
        <v>1248</v>
      </c>
      <c r="G240" s="6">
        <v>22066</v>
      </c>
      <c r="H240" s="11" t="s">
        <v>849</v>
      </c>
      <c r="I240" s="6">
        <v>37</v>
      </c>
      <c r="J240" s="6">
        <v>23</v>
      </c>
      <c r="K240" s="6">
        <v>68</v>
      </c>
      <c r="L240" s="6">
        <v>50</v>
      </c>
      <c r="M240" s="10">
        <f t="shared" si="9"/>
        <v>136</v>
      </c>
      <c r="N240" s="10">
        <f t="shared" si="10"/>
        <v>136</v>
      </c>
      <c r="O240" s="6" t="s">
        <v>92</v>
      </c>
      <c r="P240" s="6">
        <v>2</v>
      </c>
      <c r="Q240" s="6">
        <v>2</v>
      </c>
      <c r="R240" s="6">
        <v>5</v>
      </c>
      <c r="S240" s="6">
        <v>9</v>
      </c>
      <c r="T240" s="6" t="str">
        <f t="shared" si="11"/>
        <v>Quinta</v>
      </c>
    </row>
    <row r="241" spans="1:20" ht="24">
      <c r="A241" s="7" t="s">
        <v>768</v>
      </c>
      <c r="B241" s="7" t="s">
        <v>507</v>
      </c>
      <c r="C241" s="8">
        <v>1</v>
      </c>
      <c r="D241" s="7" t="s">
        <v>800</v>
      </c>
      <c r="E241" s="7" t="s">
        <v>850</v>
      </c>
      <c r="F241">
        <v>1204</v>
      </c>
      <c r="G241" s="6">
        <v>26643</v>
      </c>
      <c r="H241" s="11" t="s">
        <v>851</v>
      </c>
      <c r="I241" s="6">
        <v>36</v>
      </c>
      <c r="J241" s="6">
        <v>24</v>
      </c>
      <c r="K241" s="6">
        <v>55</v>
      </c>
      <c r="L241" s="6">
        <v>50</v>
      </c>
      <c r="M241" s="10">
        <f t="shared" si="9"/>
        <v>110</v>
      </c>
      <c r="N241" s="10">
        <f t="shared" si="10"/>
        <v>110</v>
      </c>
      <c r="O241" s="6" t="s">
        <v>12</v>
      </c>
      <c r="P241" s="6">
        <v>0</v>
      </c>
      <c r="Q241" s="6">
        <v>1</v>
      </c>
      <c r="R241" s="6">
        <v>4</v>
      </c>
      <c r="S241" s="6">
        <v>5</v>
      </c>
      <c r="T241" s="6" t="str">
        <f t="shared" si="11"/>
        <v>Quinta</v>
      </c>
    </row>
    <row r="242" spans="1:20" ht="24">
      <c r="A242" s="7" t="s">
        <v>768</v>
      </c>
      <c r="B242" s="7" t="s">
        <v>507</v>
      </c>
      <c r="C242" s="8">
        <v>1</v>
      </c>
      <c r="D242" s="7" t="s">
        <v>800</v>
      </c>
      <c r="E242" s="7" t="s">
        <v>852</v>
      </c>
      <c r="F242">
        <v>1055</v>
      </c>
      <c r="G242" s="6">
        <v>23846</v>
      </c>
      <c r="H242" s="11" t="s">
        <v>853</v>
      </c>
      <c r="I242" s="6">
        <v>48</v>
      </c>
      <c r="J242" s="6">
        <v>35</v>
      </c>
      <c r="K242" s="6">
        <v>71</v>
      </c>
      <c r="L242" s="6">
        <v>49</v>
      </c>
      <c r="M242" s="10">
        <f t="shared" si="9"/>
        <v>144.89795918367346</v>
      </c>
      <c r="N242" s="10">
        <f t="shared" si="10"/>
        <v>145</v>
      </c>
      <c r="O242" s="6" t="s">
        <v>29</v>
      </c>
      <c r="P242" s="6">
        <v>2</v>
      </c>
      <c r="Q242" s="6">
        <v>1</v>
      </c>
      <c r="R242" s="6">
        <v>7</v>
      </c>
      <c r="S242" s="6">
        <v>10</v>
      </c>
      <c r="T242" s="6" t="str">
        <f t="shared" si="11"/>
        <v>Septima</v>
      </c>
    </row>
    <row r="243" spans="1:20" ht="24">
      <c r="A243" s="7" t="s">
        <v>768</v>
      </c>
      <c r="B243" s="7" t="s">
        <v>507</v>
      </c>
      <c r="C243" s="8">
        <v>1</v>
      </c>
      <c r="D243" s="7" t="s">
        <v>800</v>
      </c>
      <c r="E243" s="7" t="s">
        <v>854</v>
      </c>
      <c r="F243">
        <v>961</v>
      </c>
      <c r="G243" s="6">
        <v>26482</v>
      </c>
      <c r="H243" s="11" t="s">
        <v>855</v>
      </c>
      <c r="I243" s="6">
        <v>64</v>
      </c>
      <c r="J243" s="6">
        <v>8</v>
      </c>
      <c r="K243" s="6">
        <v>10</v>
      </c>
      <c r="L243" s="6">
        <v>34</v>
      </c>
      <c r="M243" s="10">
        <f t="shared" si="9"/>
        <v>29.411764705882351</v>
      </c>
      <c r="N243" s="10">
        <f t="shared" si="10"/>
        <v>30</v>
      </c>
      <c r="O243" s="6" t="s">
        <v>37</v>
      </c>
      <c r="P243" s="6">
        <v>0</v>
      </c>
      <c r="Q243" s="6">
        <v>0</v>
      </c>
      <c r="R243" s="6">
        <v>0</v>
      </c>
      <c r="S243" s="6">
        <v>0</v>
      </c>
      <c r="T243" s="6" t="str">
        <f t="shared" si="11"/>
        <v>Octava</v>
      </c>
    </row>
    <row r="244" spans="1:20" ht="24">
      <c r="A244" s="7" t="s">
        <v>768</v>
      </c>
      <c r="B244" s="7" t="s">
        <v>507</v>
      </c>
      <c r="C244" s="8">
        <v>1</v>
      </c>
      <c r="D244" s="7" t="s">
        <v>800</v>
      </c>
      <c r="E244" s="7" t="s">
        <v>856</v>
      </c>
      <c r="F244">
        <v>1109</v>
      </c>
      <c r="G244" s="6">
        <v>27343</v>
      </c>
      <c r="H244" s="11" t="s">
        <v>857</v>
      </c>
      <c r="I244" s="6">
        <v>51</v>
      </c>
      <c r="J244" s="6">
        <v>46</v>
      </c>
      <c r="K244" s="6">
        <v>86</v>
      </c>
      <c r="L244" s="6">
        <v>44</v>
      </c>
      <c r="M244" s="10">
        <f t="shared" si="9"/>
        <v>195.45454545454547</v>
      </c>
      <c r="N244" s="10">
        <f t="shared" si="10"/>
        <v>196</v>
      </c>
      <c r="O244" s="6" t="s">
        <v>93</v>
      </c>
      <c r="P244" s="6">
        <v>3</v>
      </c>
      <c r="Q244" s="6">
        <v>1</v>
      </c>
      <c r="R244" s="6">
        <v>6</v>
      </c>
      <c r="S244" s="6">
        <v>10</v>
      </c>
      <c r="T244" s="6" t="str">
        <f t="shared" si="11"/>
        <v>Sexta</v>
      </c>
    </row>
    <row r="245" spans="1:20" ht="24">
      <c r="A245" s="7" t="s">
        <v>768</v>
      </c>
      <c r="B245" s="7" t="s">
        <v>507</v>
      </c>
      <c r="C245" s="8">
        <v>2</v>
      </c>
      <c r="D245" s="7" t="s">
        <v>811</v>
      </c>
      <c r="E245" s="7" t="s">
        <v>836</v>
      </c>
      <c r="F245">
        <v>1304</v>
      </c>
      <c r="G245" s="6">
        <v>18213</v>
      </c>
      <c r="H245" s="11" t="s">
        <v>837</v>
      </c>
      <c r="I245" s="6">
        <v>51</v>
      </c>
      <c r="J245" s="6">
        <v>33</v>
      </c>
      <c r="K245" s="6">
        <v>84</v>
      </c>
      <c r="L245" s="6">
        <v>43</v>
      </c>
      <c r="M245" s="10">
        <f t="shared" si="9"/>
        <v>195.34883720930233</v>
      </c>
      <c r="N245" s="10">
        <f t="shared" si="10"/>
        <v>196</v>
      </c>
      <c r="O245" s="6" t="s">
        <v>69</v>
      </c>
      <c r="P245" s="6">
        <v>2</v>
      </c>
      <c r="Q245" s="6">
        <v>3</v>
      </c>
      <c r="R245" s="6">
        <v>4</v>
      </c>
      <c r="S245" s="6">
        <v>9</v>
      </c>
      <c r="T245" s="6" t="str">
        <f t="shared" si="11"/>
        <v>Quinta</v>
      </c>
    </row>
    <row r="246" spans="1:20" ht="24">
      <c r="A246" s="7" t="s">
        <v>768</v>
      </c>
      <c r="B246" s="7" t="s">
        <v>507</v>
      </c>
      <c r="C246" s="8">
        <v>2</v>
      </c>
      <c r="D246" s="7" t="s">
        <v>811</v>
      </c>
      <c r="E246" s="7" t="s">
        <v>858</v>
      </c>
      <c r="F246">
        <v>1282</v>
      </c>
      <c r="G246" s="6">
        <v>27777</v>
      </c>
      <c r="H246" s="11" t="s">
        <v>859</v>
      </c>
      <c r="I246" s="6">
        <v>51</v>
      </c>
      <c r="J246" s="6">
        <v>3</v>
      </c>
      <c r="K246" s="6">
        <v>13</v>
      </c>
      <c r="L246" s="6">
        <v>57</v>
      </c>
      <c r="M246" s="10">
        <f t="shared" si="9"/>
        <v>22.807017543859651</v>
      </c>
      <c r="N246" s="10">
        <f t="shared" si="10"/>
        <v>23</v>
      </c>
      <c r="O246" s="6" t="s">
        <v>81</v>
      </c>
      <c r="P246" s="6">
        <v>1</v>
      </c>
      <c r="Q246" s="6">
        <v>0</v>
      </c>
      <c r="R246" s="6">
        <v>0</v>
      </c>
      <c r="S246" s="6">
        <v>1</v>
      </c>
      <c r="T246" s="6" t="str">
        <f t="shared" si="11"/>
        <v>Quinta</v>
      </c>
    </row>
    <row r="247" spans="1:20" ht="24">
      <c r="A247" s="7" t="s">
        <v>768</v>
      </c>
      <c r="B247" s="7" t="s">
        <v>507</v>
      </c>
      <c r="C247" s="8">
        <v>2</v>
      </c>
      <c r="D247" s="7" t="s">
        <v>811</v>
      </c>
      <c r="E247" s="7" t="s">
        <v>830</v>
      </c>
      <c r="F247">
        <v>1208</v>
      </c>
      <c r="G247" s="6">
        <v>25343</v>
      </c>
      <c r="H247" s="11" t="s">
        <v>831</v>
      </c>
      <c r="I247" s="6">
        <v>55</v>
      </c>
      <c r="J247" s="6">
        <v>41</v>
      </c>
      <c r="K247" s="6">
        <v>94</v>
      </c>
      <c r="L247" s="6">
        <v>54</v>
      </c>
      <c r="M247" s="10">
        <f t="shared" si="9"/>
        <v>174.07407407407408</v>
      </c>
      <c r="N247" s="10">
        <f t="shared" si="10"/>
        <v>175</v>
      </c>
      <c r="O247" s="6" t="s">
        <v>37</v>
      </c>
      <c r="P247" s="6">
        <v>1</v>
      </c>
      <c r="Q247" s="6">
        <v>1</v>
      </c>
      <c r="R247" s="6">
        <v>6</v>
      </c>
      <c r="S247" s="6">
        <v>8</v>
      </c>
      <c r="T247" s="6" t="str">
        <f t="shared" si="11"/>
        <v>Quinta</v>
      </c>
    </row>
    <row r="248" spans="1:20" ht="24">
      <c r="A248" s="7" t="s">
        <v>768</v>
      </c>
      <c r="B248" s="7" t="s">
        <v>507</v>
      </c>
      <c r="C248" s="8">
        <v>2</v>
      </c>
      <c r="D248" s="7" t="s">
        <v>811</v>
      </c>
      <c r="E248" s="7" t="s">
        <v>824</v>
      </c>
      <c r="F248">
        <v>1289</v>
      </c>
      <c r="G248" s="6">
        <v>25062</v>
      </c>
      <c r="H248" s="11" t="s">
        <v>825</v>
      </c>
      <c r="I248" s="6">
        <v>29</v>
      </c>
      <c r="J248" s="6">
        <v>16</v>
      </c>
      <c r="K248" s="6">
        <v>38</v>
      </c>
      <c r="L248" s="6">
        <v>54</v>
      </c>
      <c r="M248" s="10">
        <f t="shared" si="9"/>
        <v>70.370370370370367</v>
      </c>
      <c r="N248" s="10">
        <f t="shared" si="10"/>
        <v>71</v>
      </c>
      <c r="O248" s="6" t="s">
        <v>68</v>
      </c>
      <c r="P248" s="6">
        <v>1</v>
      </c>
      <c r="Q248" s="6">
        <v>0</v>
      </c>
      <c r="R248" s="6">
        <v>2</v>
      </c>
      <c r="S248" s="6">
        <v>3</v>
      </c>
      <c r="T248" s="6" t="str">
        <f t="shared" si="11"/>
        <v>Quinta</v>
      </c>
    </row>
    <row r="249" spans="1:20" ht="24">
      <c r="A249" s="7" t="s">
        <v>768</v>
      </c>
      <c r="B249" s="7" t="s">
        <v>507</v>
      </c>
      <c r="C249" s="8">
        <v>2</v>
      </c>
      <c r="D249" s="7" t="s">
        <v>811</v>
      </c>
      <c r="E249" s="7" t="s">
        <v>832</v>
      </c>
      <c r="F249">
        <v>1110</v>
      </c>
      <c r="G249" s="6">
        <v>26135</v>
      </c>
      <c r="H249" s="11" t="s">
        <v>833</v>
      </c>
      <c r="I249" s="6">
        <v>12</v>
      </c>
      <c r="J249" s="6">
        <v>40</v>
      </c>
      <c r="K249" s="6">
        <v>44</v>
      </c>
      <c r="L249" s="6">
        <v>26</v>
      </c>
      <c r="M249" s="10">
        <f t="shared" si="9"/>
        <v>169.23076923076923</v>
      </c>
      <c r="N249" s="10">
        <f t="shared" si="10"/>
        <v>170</v>
      </c>
      <c r="O249" s="6" t="s">
        <v>37</v>
      </c>
      <c r="P249" s="6">
        <v>0</v>
      </c>
      <c r="Q249" s="6">
        <v>2</v>
      </c>
      <c r="R249" s="6">
        <v>2</v>
      </c>
      <c r="S249" s="6">
        <v>4</v>
      </c>
      <c r="T249" s="6" t="str">
        <f t="shared" si="11"/>
        <v>Sexta</v>
      </c>
    </row>
    <row r="250" spans="1:20" ht="24">
      <c r="A250" s="7" t="s">
        <v>768</v>
      </c>
      <c r="B250" s="7" t="s">
        <v>507</v>
      </c>
      <c r="C250" s="8">
        <v>2</v>
      </c>
      <c r="D250" s="7" t="s">
        <v>811</v>
      </c>
      <c r="E250" s="7" t="s">
        <v>860</v>
      </c>
      <c r="F250">
        <v>1112</v>
      </c>
      <c r="G250" s="6">
        <v>27824</v>
      </c>
      <c r="H250" s="11" t="s">
        <v>861</v>
      </c>
      <c r="I250" s="6">
        <v>36</v>
      </c>
      <c r="J250" s="6">
        <v>24</v>
      </c>
      <c r="K250" s="6">
        <v>48</v>
      </c>
      <c r="L250" s="6">
        <v>49</v>
      </c>
      <c r="M250" s="10">
        <f t="shared" si="9"/>
        <v>97.959183673469383</v>
      </c>
      <c r="N250" s="10">
        <f t="shared" si="10"/>
        <v>98</v>
      </c>
      <c r="O250" s="6" t="s">
        <v>12</v>
      </c>
      <c r="P250" s="6">
        <v>1</v>
      </c>
      <c r="Q250" s="6">
        <v>1</v>
      </c>
      <c r="R250" s="6">
        <v>1</v>
      </c>
      <c r="S250" s="6">
        <v>3</v>
      </c>
      <c r="T250" s="6" t="str">
        <f t="shared" si="11"/>
        <v>Sexta</v>
      </c>
    </row>
    <row r="251" spans="1:20" ht="24">
      <c r="A251" s="7" t="s">
        <v>768</v>
      </c>
      <c r="B251" s="7" t="s">
        <v>507</v>
      </c>
      <c r="C251" s="8">
        <v>2</v>
      </c>
      <c r="D251" s="7" t="s">
        <v>811</v>
      </c>
      <c r="E251" s="7" t="s">
        <v>862</v>
      </c>
      <c r="F251">
        <v>1138</v>
      </c>
      <c r="G251" s="6">
        <v>25167</v>
      </c>
      <c r="H251" s="11" t="s">
        <v>863</v>
      </c>
      <c r="I251" s="6">
        <v>69</v>
      </c>
      <c r="J251" s="6">
        <v>35</v>
      </c>
      <c r="K251" s="6">
        <v>54</v>
      </c>
      <c r="L251" s="6">
        <v>40</v>
      </c>
      <c r="M251" s="10">
        <f t="shared" si="9"/>
        <v>135</v>
      </c>
      <c r="N251" s="10">
        <f t="shared" si="10"/>
        <v>135</v>
      </c>
      <c r="O251" s="6" t="s">
        <v>94</v>
      </c>
      <c r="P251" s="6">
        <v>2</v>
      </c>
      <c r="Q251" s="6">
        <v>0</v>
      </c>
      <c r="R251" s="6">
        <v>2</v>
      </c>
      <c r="S251" s="6">
        <v>4</v>
      </c>
      <c r="T251" s="6" t="str">
        <f t="shared" si="11"/>
        <v>Sexta</v>
      </c>
    </row>
    <row r="252" spans="1:20" ht="24">
      <c r="A252" s="7" t="s">
        <v>768</v>
      </c>
      <c r="B252" s="7" t="s">
        <v>507</v>
      </c>
      <c r="C252" s="8">
        <v>2</v>
      </c>
      <c r="D252" s="7" t="s">
        <v>811</v>
      </c>
      <c r="E252" s="7" t="s">
        <v>864</v>
      </c>
      <c r="F252">
        <v>989</v>
      </c>
      <c r="G252" s="6">
        <v>24811</v>
      </c>
      <c r="H252" s="11" t="s">
        <v>865</v>
      </c>
      <c r="I252" s="6">
        <v>35</v>
      </c>
      <c r="J252" s="6">
        <v>29</v>
      </c>
      <c r="K252" s="6">
        <v>44</v>
      </c>
      <c r="L252" s="6">
        <v>40</v>
      </c>
      <c r="M252" s="10">
        <f t="shared" si="9"/>
        <v>110</v>
      </c>
      <c r="N252" s="10">
        <f t="shared" si="10"/>
        <v>110</v>
      </c>
      <c r="O252" s="6" t="s">
        <v>19</v>
      </c>
      <c r="P252" s="6">
        <v>0</v>
      </c>
      <c r="Q252" s="6">
        <v>2</v>
      </c>
      <c r="R252" s="6">
        <v>1</v>
      </c>
      <c r="S252" s="6">
        <v>3</v>
      </c>
      <c r="T252" s="6" t="str">
        <f t="shared" si="11"/>
        <v>Septima</v>
      </c>
    </row>
    <row r="253" spans="1:20" ht="24">
      <c r="A253" s="7" t="s">
        <v>768</v>
      </c>
      <c r="B253" s="7" t="s">
        <v>507</v>
      </c>
      <c r="C253" s="8">
        <v>3</v>
      </c>
      <c r="D253" s="7" t="s">
        <v>866</v>
      </c>
      <c r="E253" s="7" t="s">
        <v>838</v>
      </c>
      <c r="F253">
        <v>1225</v>
      </c>
      <c r="G253" s="6">
        <v>23093</v>
      </c>
      <c r="H253" s="11" t="s">
        <v>839</v>
      </c>
      <c r="I253" s="6">
        <v>23</v>
      </c>
      <c r="J253" s="6">
        <v>105</v>
      </c>
      <c r="K253" s="6">
        <v>203</v>
      </c>
      <c r="L253" s="6">
        <v>41</v>
      </c>
      <c r="M253" s="10">
        <f t="shared" si="9"/>
        <v>495.1219512195122</v>
      </c>
      <c r="N253" s="10">
        <f t="shared" si="10"/>
        <v>496</v>
      </c>
      <c r="O253" s="6" t="s">
        <v>91</v>
      </c>
      <c r="P253" s="6">
        <v>2</v>
      </c>
      <c r="Q253" s="6">
        <v>10</v>
      </c>
      <c r="R253" s="6">
        <v>10</v>
      </c>
      <c r="S253" s="6">
        <v>22</v>
      </c>
      <c r="T253" s="6" t="str">
        <f t="shared" si="11"/>
        <v>Quinta</v>
      </c>
    </row>
    <row r="254" spans="1:20" ht="24">
      <c r="A254" s="7" t="s">
        <v>768</v>
      </c>
      <c r="B254" s="7" t="s">
        <v>507</v>
      </c>
      <c r="C254" s="8">
        <v>3</v>
      </c>
      <c r="D254" s="7" t="s">
        <v>866</v>
      </c>
      <c r="E254" s="7" t="s">
        <v>826</v>
      </c>
      <c r="F254">
        <v>1269</v>
      </c>
      <c r="G254" s="6">
        <v>26114</v>
      </c>
      <c r="H254" s="11" t="s">
        <v>827</v>
      </c>
      <c r="I254" s="6">
        <v>40</v>
      </c>
      <c r="J254" s="6">
        <v>76</v>
      </c>
      <c r="K254" s="6">
        <v>158</v>
      </c>
      <c r="L254" s="6">
        <v>45</v>
      </c>
      <c r="M254" s="10">
        <f t="shared" si="9"/>
        <v>351.11111111111109</v>
      </c>
      <c r="N254" s="10">
        <f t="shared" si="10"/>
        <v>352</v>
      </c>
      <c r="O254" s="6" t="s">
        <v>37</v>
      </c>
      <c r="P254" s="6">
        <v>4</v>
      </c>
      <c r="Q254" s="6">
        <v>6</v>
      </c>
      <c r="R254" s="6">
        <v>6</v>
      </c>
      <c r="S254" s="6">
        <v>16</v>
      </c>
      <c r="T254" s="6" t="str">
        <f t="shared" si="11"/>
        <v>Quinta</v>
      </c>
    </row>
    <row r="255" spans="1:20" ht="24">
      <c r="A255" s="7" t="s">
        <v>768</v>
      </c>
      <c r="B255" s="7" t="s">
        <v>507</v>
      </c>
      <c r="C255" s="8">
        <v>3</v>
      </c>
      <c r="D255" s="7" t="s">
        <v>866</v>
      </c>
      <c r="E255" s="7" t="s">
        <v>867</v>
      </c>
      <c r="F255">
        <v>1272</v>
      </c>
      <c r="G255" s="6">
        <v>25082</v>
      </c>
      <c r="H255" s="11" t="s">
        <v>868</v>
      </c>
      <c r="I255" s="6">
        <v>40</v>
      </c>
      <c r="J255" s="6">
        <v>35</v>
      </c>
      <c r="K255" s="6">
        <v>90</v>
      </c>
      <c r="L255" s="6">
        <v>52</v>
      </c>
      <c r="M255" s="10">
        <f t="shared" si="9"/>
        <v>173.07692307692307</v>
      </c>
      <c r="N255" s="10">
        <f t="shared" si="10"/>
        <v>174</v>
      </c>
      <c r="O255" s="6" t="s">
        <v>37</v>
      </c>
      <c r="P255" s="6">
        <v>1</v>
      </c>
      <c r="Q255" s="6">
        <v>3</v>
      </c>
      <c r="R255" s="6">
        <v>1</v>
      </c>
      <c r="S255" s="6">
        <v>5</v>
      </c>
      <c r="T255" s="6" t="str">
        <f t="shared" si="11"/>
        <v>Quinta</v>
      </c>
    </row>
    <row r="256" spans="1:20" ht="24">
      <c r="A256" s="7" t="s">
        <v>768</v>
      </c>
      <c r="B256" s="7" t="s">
        <v>507</v>
      </c>
      <c r="C256" s="8">
        <v>3</v>
      </c>
      <c r="D256" s="7" t="s">
        <v>866</v>
      </c>
      <c r="E256" s="7" t="s">
        <v>842</v>
      </c>
      <c r="F256">
        <v>1305</v>
      </c>
      <c r="G256" s="6">
        <v>28071</v>
      </c>
      <c r="H256" s="11" t="s">
        <v>843</v>
      </c>
      <c r="I256" s="6">
        <v>32</v>
      </c>
      <c r="J256" s="6">
        <v>33</v>
      </c>
      <c r="K256" s="6">
        <v>92</v>
      </c>
      <c r="L256" s="6">
        <v>56</v>
      </c>
      <c r="M256" s="10">
        <f t="shared" si="9"/>
        <v>164.28571428571428</v>
      </c>
      <c r="N256" s="10">
        <f t="shared" si="10"/>
        <v>165</v>
      </c>
      <c r="O256" s="6" t="s">
        <v>12</v>
      </c>
      <c r="P256" s="6">
        <v>3</v>
      </c>
      <c r="Q256" s="6">
        <v>3</v>
      </c>
      <c r="R256" s="6">
        <v>6</v>
      </c>
      <c r="S256" s="6">
        <v>12</v>
      </c>
      <c r="T256" s="6" t="str">
        <f t="shared" si="11"/>
        <v>Quinta</v>
      </c>
    </row>
    <row r="257" spans="1:20" ht="24">
      <c r="A257" s="7" t="s">
        <v>768</v>
      </c>
      <c r="B257" s="7" t="s">
        <v>507</v>
      </c>
      <c r="C257" s="8">
        <v>3</v>
      </c>
      <c r="D257" s="7" t="s">
        <v>866</v>
      </c>
      <c r="E257" s="7" t="s">
        <v>869</v>
      </c>
      <c r="F257">
        <v>1220</v>
      </c>
      <c r="G257" s="6">
        <v>25131</v>
      </c>
      <c r="H257" s="11" t="s">
        <v>870</v>
      </c>
      <c r="I257" s="6">
        <v>29</v>
      </c>
      <c r="J257" s="6">
        <v>12</v>
      </c>
      <c r="K257" s="6">
        <v>38</v>
      </c>
      <c r="L257" s="6">
        <v>69</v>
      </c>
      <c r="M257" s="10">
        <f t="shared" si="9"/>
        <v>55.072463768115945</v>
      </c>
      <c r="N257" s="10">
        <f t="shared" si="10"/>
        <v>56</v>
      </c>
      <c r="O257" s="6" t="s">
        <v>95</v>
      </c>
      <c r="P257" s="6">
        <v>2</v>
      </c>
      <c r="Q257" s="6">
        <v>2</v>
      </c>
      <c r="R257" s="6">
        <v>2</v>
      </c>
      <c r="S257" s="6">
        <v>6</v>
      </c>
      <c r="T257" s="6" t="str">
        <f t="shared" si="11"/>
        <v>Quinta</v>
      </c>
    </row>
    <row r="258" spans="1:20" ht="24">
      <c r="A258" s="7" t="s">
        <v>768</v>
      </c>
      <c r="B258" s="7" t="s">
        <v>507</v>
      </c>
      <c r="C258" s="8">
        <v>3</v>
      </c>
      <c r="D258" s="7" t="s">
        <v>866</v>
      </c>
      <c r="E258" s="7" t="s">
        <v>871</v>
      </c>
      <c r="F258">
        <v>1139</v>
      </c>
      <c r="G258" s="6">
        <v>4546</v>
      </c>
      <c r="H258" s="11" t="s">
        <v>872</v>
      </c>
      <c r="I258" s="6">
        <v>42</v>
      </c>
      <c r="J258" s="6">
        <v>6</v>
      </c>
      <c r="K258" s="6">
        <v>9</v>
      </c>
      <c r="L258" s="6">
        <v>43</v>
      </c>
      <c r="M258" s="10">
        <f t="shared" si="9"/>
        <v>20.930232558139537</v>
      </c>
      <c r="N258" s="10">
        <f t="shared" si="10"/>
        <v>21</v>
      </c>
      <c r="O258" s="6" t="s">
        <v>69</v>
      </c>
      <c r="P258" s="6">
        <v>0</v>
      </c>
      <c r="Q258" s="6">
        <v>1</v>
      </c>
      <c r="R258" s="6">
        <v>0</v>
      </c>
      <c r="S258" s="6">
        <v>1</v>
      </c>
      <c r="T258" s="6" t="str">
        <f t="shared" si="11"/>
        <v>Sexta</v>
      </c>
    </row>
    <row r="259" spans="1:20" ht="24">
      <c r="A259" s="7" t="s">
        <v>768</v>
      </c>
      <c r="B259" s="7" t="s">
        <v>507</v>
      </c>
      <c r="C259" s="8">
        <v>3</v>
      </c>
      <c r="D259" s="7" t="s">
        <v>866</v>
      </c>
      <c r="E259" s="7" t="s">
        <v>873</v>
      </c>
      <c r="F259">
        <v>1199</v>
      </c>
      <c r="G259" s="6">
        <v>29029</v>
      </c>
      <c r="H259" s="11" t="s">
        <v>874</v>
      </c>
      <c r="I259" s="6">
        <v>30</v>
      </c>
      <c r="J259" s="6">
        <v>5</v>
      </c>
      <c r="K259" s="6">
        <v>22</v>
      </c>
      <c r="L259" s="6">
        <v>65</v>
      </c>
      <c r="M259" s="10">
        <f t="shared" ref="M259:M322" si="12">IF(K259+L259=0,0,(100*K259/L259))</f>
        <v>33.846153846153847</v>
      </c>
      <c r="N259" s="10">
        <f t="shared" ref="N259:N322" si="13">ROUNDUP(M259,0)</f>
        <v>34</v>
      </c>
      <c r="O259" s="6" t="s">
        <v>37</v>
      </c>
      <c r="P259" s="6">
        <v>0</v>
      </c>
      <c r="Q259" s="6">
        <v>2</v>
      </c>
      <c r="R259" s="6">
        <v>0</v>
      </c>
      <c r="S259" s="6">
        <v>2</v>
      </c>
      <c r="T259" s="6" t="str">
        <f t="shared" ref="T259:T322" si="14">IF(F259&gt;2100,"Primera",
IF(F259&gt;=1800,"Segunda",
IF(F259&gt;=1600,"Tercera",
IF(F259&gt;=1400,"Cuarta",
IF(F259&gt;=1200,"Quinta",
IF(F259&gt;=1080,"Sexta",
IF(F259&gt;=980,"Septima",
"Octava")))))))</f>
        <v>Sexta</v>
      </c>
    </row>
    <row r="260" spans="1:20" ht="24">
      <c r="A260" s="7" t="s">
        <v>768</v>
      </c>
      <c r="B260" s="7" t="s">
        <v>507</v>
      </c>
      <c r="C260" s="8">
        <v>3</v>
      </c>
      <c r="D260" s="7" t="s">
        <v>866</v>
      </c>
      <c r="E260" s="7" t="s">
        <v>875</v>
      </c>
      <c r="F260">
        <v>1101</v>
      </c>
      <c r="G260" s="6">
        <v>23621</v>
      </c>
      <c r="H260" s="11" t="s">
        <v>876</v>
      </c>
      <c r="I260" s="6">
        <v>41</v>
      </c>
      <c r="J260" s="6">
        <v>56</v>
      </c>
      <c r="K260" s="6">
        <v>81</v>
      </c>
      <c r="L260" s="6">
        <v>40</v>
      </c>
      <c r="M260" s="10">
        <f t="shared" si="12"/>
        <v>202.5</v>
      </c>
      <c r="N260" s="10">
        <f t="shared" si="13"/>
        <v>203</v>
      </c>
      <c r="O260" s="6" t="s">
        <v>96</v>
      </c>
      <c r="P260" s="6">
        <v>4</v>
      </c>
      <c r="Q260" s="6">
        <v>0</v>
      </c>
      <c r="R260" s="6">
        <v>3</v>
      </c>
      <c r="S260" s="6">
        <v>7</v>
      </c>
      <c r="T260" s="6" t="str">
        <f t="shared" si="14"/>
        <v>Sexta</v>
      </c>
    </row>
    <row r="261" spans="1:20" ht="24">
      <c r="A261" s="7" t="s">
        <v>768</v>
      </c>
      <c r="B261" s="7" t="s">
        <v>526</v>
      </c>
      <c r="C261" s="8">
        <v>1</v>
      </c>
      <c r="D261" s="7" t="s">
        <v>800</v>
      </c>
      <c r="E261" s="7" t="s">
        <v>877</v>
      </c>
      <c r="F261">
        <v>1125</v>
      </c>
      <c r="G261" s="6">
        <v>27391</v>
      </c>
      <c r="H261" s="11" t="s">
        <v>878</v>
      </c>
      <c r="I261" s="6">
        <v>34</v>
      </c>
      <c r="J261" s="6">
        <v>8</v>
      </c>
      <c r="K261" s="6">
        <v>25</v>
      </c>
      <c r="L261" s="6">
        <v>60</v>
      </c>
      <c r="M261" s="10">
        <f t="shared" si="12"/>
        <v>41.666666666666664</v>
      </c>
      <c r="N261" s="10">
        <f t="shared" si="13"/>
        <v>42</v>
      </c>
      <c r="O261" s="6" t="s">
        <v>12</v>
      </c>
      <c r="P261" s="6">
        <v>1</v>
      </c>
      <c r="Q261" s="6">
        <v>1</v>
      </c>
      <c r="R261" s="6">
        <v>0</v>
      </c>
      <c r="S261" s="6">
        <v>2</v>
      </c>
      <c r="T261" s="6" t="str">
        <f t="shared" si="14"/>
        <v>Sexta</v>
      </c>
    </row>
    <row r="262" spans="1:20" ht="24">
      <c r="A262" s="7" t="s">
        <v>768</v>
      </c>
      <c r="B262" s="7" t="s">
        <v>526</v>
      </c>
      <c r="C262" s="8">
        <v>1</v>
      </c>
      <c r="D262" s="7" t="s">
        <v>800</v>
      </c>
      <c r="E262" s="7" t="s">
        <v>850</v>
      </c>
      <c r="F262">
        <v>1204</v>
      </c>
      <c r="G262" s="6">
        <v>26643</v>
      </c>
      <c r="H262" s="11" t="s">
        <v>851</v>
      </c>
      <c r="I262" s="6">
        <v>36</v>
      </c>
      <c r="J262" s="6">
        <v>24</v>
      </c>
      <c r="K262" s="6">
        <v>55</v>
      </c>
      <c r="L262" s="6">
        <v>50</v>
      </c>
      <c r="M262" s="10">
        <f t="shared" si="12"/>
        <v>110</v>
      </c>
      <c r="N262" s="10">
        <f t="shared" si="13"/>
        <v>110</v>
      </c>
      <c r="O262" s="6" t="s">
        <v>12</v>
      </c>
      <c r="P262" s="6">
        <v>0</v>
      </c>
      <c r="Q262" s="6">
        <v>1</v>
      </c>
      <c r="R262" s="6">
        <v>4</v>
      </c>
      <c r="S262" s="6">
        <v>5</v>
      </c>
      <c r="T262" s="6" t="str">
        <f t="shared" si="14"/>
        <v>Quinta</v>
      </c>
    </row>
    <row r="263" spans="1:20" ht="24">
      <c r="A263" s="7" t="s">
        <v>768</v>
      </c>
      <c r="B263" s="7" t="s">
        <v>526</v>
      </c>
      <c r="C263" s="8">
        <v>1</v>
      </c>
      <c r="D263" s="7" t="s">
        <v>800</v>
      </c>
      <c r="E263" s="7" t="s">
        <v>852</v>
      </c>
      <c r="F263">
        <v>1055</v>
      </c>
      <c r="G263" s="6">
        <v>23846</v>
      </c>
      <c r="H263" s="11" t="s">
        <v>853</v>
      </c>
      <c r="I263" s="6">
        <v>48</v>
      </c>
      <c r="J263" s="6">
        <v>35</v>
      </c>
      <c r="K263" s="6">
        <v>71</v>
      </c>
      <c r="L263" s="6">
        <v>49</v>
      </c>
      <c r="M263" s="10">
        <f t="shared" si="12"/>
        <v>144.89795918367346</v>
      </c>
      <c r="N263" s="10">
        <f t="shared" si="13"/>
        <v>145</v>
      </c>
      <c r="O263" s="6" t="s">
        <v>29</v>
      </c>
      <c r="P263" s="6">
        <v>2</v>
      </c>
      <c r="Q263" s="6">
        <v>1</v>
      </c>
      <c r="R263" s="6">
        <v>7</v>
      </c>
      <c r="S263" s="6">
        <v>10</v>
      </c>
      <c r="T263" s="6" t="str">
        <f t="shared" si="14"/>
        <v>Septima</v>
      </c>
    </row>
    <row r="264" spans="1:20" ht="24">
      <c r="A264" s="7" t="s">
        <v>768</v>
      </c>
      <c r="B264" s="7" t="s">
        <v>526</v>
      </c>
      <c r="C264" s="8">
        <v>1</v>
      </c>
      <c r="D264" s="7" t="s">
        <v>800</v>
      </c>
      <c r="E264" s="7" t="s">
        <v>879</v>
      </c>
      <c r="F264">
        <v>981</v>
      </c>
      <c r="G264" s="6">
        <v>29122</v>
      </c>
      <c r="H264" s="11" t="s">
        <v>880</v>
      </c>
      <c r="I264" s="6">
        <v>30</v>
      </c>
      <c r="J264" s="6">
        <v>2</v>
      </c>
      <c r="K264" s="6">
        <v>3</v>
      </c>
      <c r="L264" s="6">
        <v>27</v>
      </c>
      <c r="M264" s="10">
        <f t="shared" si="12"/>
        <v>11.111111111111111</v>
      </c>
      <c r="N264" s="10">
        <f t="shared" si="13"/>
        <v>12</v>
      </c>
      <c r="O264" s="6" t="s">
        <v>29</v>
      </c>
      <c r="P264" s="6">
        <v>0</v>
      </c>
      <c r="Q264" s="6">
        <v>0</v>
      </c>
      <c r="R264" s="6">
        <v>0</v>
      </c>
      <c r="S264" s="6">
        <v>0</v>
      </c>
      <c r="T264" s="6" t="str">
        <f t="shared" si="14"/>
        <v>Septima</v>
      </c>
    </row>
    <row r="265" spans="1:20" ht="24">
      <c r="A265" s="7" t="s">
        <v>768</v>
      </c>
      <c r="B265" s="7" t="s">
        <v>526</v>
      </c>
      <c r="C265" s="8">
        <v>1</v>
      </c>
      <c r="D265" s="7" t="s">
        <v>800</v>
      </c>
      <c r="E265" s="7" t="s">
        <v>860</v>
      </c>
      <c r="F265">
        <v>1112</v>
      </c>
      <c r="G265" s="6">
        <v>27824</v>
      </c>
      <c r="H265" s="11" t="s">
        <v>861</v>
      </c>
      <c r="I265" s="6">
        <v>36</v>
      </c>
      <c r="J265" s="6">
        <v>24</v>
      </c>
      <c r="K265" s="6">
        <v>48</v>
      </c>
      <c r="L265" s="6">
        <v>49</v>
      </c>
      <c r="M265" s="10">
        <f t="shared" si="12"/>
        <v>97.959183673469383</v>
      </c>
      <c r="N265" s="10">
        <f t="shared" si="13"/>
        <v>98</v>
      </c>
      <c r="O265" s="6" t="s">
        <v>12</v>
      </c>
      <c r="P265" s="6">
        <v>1</v>
      </c>
      <c r="Q265" s="6">
        <v>1</v>
      </c>
      <c r="R265" s="6">
        <v>1</v>
      </c>
      <c r="S265" s="6">
        <v>3</v>
      </c>
      <c r="T265" s="6" t="str">
        <f t="shared" si="14"/>
        <v>Sexta</v>
      </c>
    </row>
    <row r="266" spans="1:20" ht="24">
      <c r="A266" s="7" t="s">
        <v>768</v>
      </c>
      <c r="B266" s="7" t="s">
        <v>526</v>
      </c>
      <c r="C266" s="8">
        <v>1</v>
      </c>
      <c r="D266" s="7" t="s">
        <v>800</v>
      </c>
      <c r="E266" s="7" t="s">
        <v>881</v>
      </c>
      <c r="F266">
        <v>750</v>
      </c>
      <c r="G266" s="6">
        <v>24325</v>
      </c>
      <c r="H266" s="11" t="s">
        <v>882</v>
      </c>
      <c r="I266" s="6">
        <v>48</v>
      </c>
      <c r="J266" s="6">
        <v>29</v>
      </c>
      <c r="K266" s="6">
        <v>22</v>
      </c>
      <c r="L266" s="6">
        <v>21</v>
      </c>
      <c r="M266" s="10">
        <f t="shared" si="12"/>
        <v>104.76190476190476</v>
      </c>
      <c r="N266" s="10">
        <f t="shared" si="13"/>
        <v>105</v>
      </c>
      <c r="O266" s="6" t="s">
        <v>97</v>
      </c>
      <c r="P266" s="6">
        <v>0</v>
      </c>
      <c r="Q266" s="6">
        <v>0</v>
      </c>
      <c r="R266" s="6">
        <v>0</v>
      </c>
      <c r="S266" s="6">
        <v>0</v>
      </c>
      <c r="T266" s="6" t="str">
        <f t="shared" si="14"/>
        <v>Octava</v>
      </c>
    </row>
    <row r="267" spans="1:20" ht="24">
      <c r="A267" s="7" t="s">
        <v>768</v>
      </c>
      <c r="B267" s="7" t="s">
        <v>526</v>
      </c>
      <c r="C267" s="8">
        <v>1</v>
      </c>
      <c r="D267" s="7" t="s">
        <v>800</v>
      </c>
      <c r="E267" s="7" t="s">
        <v>854</v>
      </c>
      <c r="F267">
        <v>961</v>
      </c>
      <c r="G267" s="6">
        <v>26482</v>
      </c>
      <c r="H267" s="11" t="s">
        <v>855</v>
      </c>
      <c r="I267" s="6">
        <v>64</v>
      </c>
      <c r="J267" s="6">
        <v>8</v>
      </c>
      <c r="K267" s="6">
        <v>10</v>
      </c>
      <c r="L267" s="6">
        <v>34</v>
      </c>
      <c r="M267" s="10">
        <f t="shared" si="12"/>
        <v>29.411764705882351</v>
      </c>
      <c r="N267" s="10">
        <f t="shared" si="13"/>
        <v>30</v>
      </c>
      <c r="O267" s="6" t="s">
        <v>37</v>
      </c>
      <c r="P267" s="6">
        <v>0</v>
      </c>
      <c r="Q267" s="6">
        <v>0</v>
      </c>
      <c r="R267" s="6">
        <v>0</v>
      </c>
      <c r="S267" s="6">
        <v>0</v>
      </c>
      <c r="T267" s="6" t="str">
        <f t="shared" si="14"/>
        <v>Octava</v>
      </c>
    </row>
    <row r="268" spans="1:20" ht="24">
      <c r="A268" s="7" t="s">
        <v>768</v>
      </c>
      <c r="B268" s="7" t="s">
        <v>526</v>
      </c>
      <c r="C268" s="8">
        <v>1</v>
      </c>
      <c r="D268" s="7" t="s">
        <v>800</v>
      </c>
      <c r="E268" s="7" t="s">
        <v>856</v>
      </c>
      <c r="F268">
        <v>1109</v>
      </c>
      <c r="G268" s="6">
        <v>27343</v>
      </c>
      <c r="H268" s="11" t="s">
        <v>857</v>
      </c>
      <c r="I268" s="6">
        <v>51</v>
      </c>
      <c r="J268" s="6">
        <v>46</v>
      </c>
      <c r="K268" s="6">
        <v>86</v>
      </c>
      <c r="L268" s="6">
        <v>44</v>
      </c>
      <c r="M268" s="10">
        <f t="shared" si="12"/>
        <v>195.45454545454547</v>
      </c>
      <c r="N268" s="10">
        <f t="shared" si="13"/>
        <v>196</v>
      </c>
      <c r="O268" s="6" t="s">
        <v>93</v>
      </c>
      <c r="P268" s="6">
        <v>3</v>
      </c>
      <c r="Q268" s="6">
        <v>1</v>
      </c>
      <c r="R268" s="6">
        <v>6</v>
      </c>
      <c r="S268" s="6">
        <v>10</v>
      </c>
      <c r="T268" s="6" t="str">
        <f t="shared" si="14"/>
        <v>Sexta</v>
      </c>
    </row>
    <row r="269" spans="1:20" ht="24">
      <c r="A269" s="7" t="s">
        <v>768</v>
      </c>
      <c r="B269" s="7" t="s">
        <v>526</v>
      </c>
      <c r="C269" s="8">
        <v>2</v>
      </c>
      <c r="D269" s="7" t="s">
        <v>811</v>
      </c>
      <c r="E269" s="7" t="s">
        <v>873</v>
      </c>
      <c r="F269">
        <v>1199</v>
      </c>
      <c r="G269" s="6">
        <v>29029</v>
      </c>
      <c r="H269" s="11" t="s">
        <v>874</v>
      </c>
      <c r="I269" s="6">
        <v>30</v>
      </c>
      <c r="J269" s="6">
        <v>5</v>
      </c>
      <c r="K269" s="6">
        <v>22</v>
      </c>
      <c r="L269" s="6">
        <v>65</v>
      </c>
      <c r="M269" s="10">
        <f t="shared" si="12"/>
        <v>33.846153846153847</v>
      </c>
      <c r="N269" s="10">
        <f t="shared" si="13"/>
        <v>34</v>
      </c>
      <c r="O269" s="6" t="s">
        <v>37</v>
      </c>
      <c r="P269" s="6">
        <v>0</v>
      </c>
      <c r="Q269" s="6">
        <v>2</v>
      </c>
      <c r="R269" s="6">
        <v>0</v>
      </c>
      <c r="S269" s="6">
        <v>2</v>
      </c>
      <c r="T269" s="6" t="str">
        <f t="shared" si="14"/>
        <v>Sexta</v>
      </c>
    </row>
    <row r="270" spans="1:20" ht="24">
      <c r="A270" s="7" t="s">
        <v>768</v>
      </c>
      <c r="B270" s="7" t="s">
        <v>526</v>
      </c>
      <c r="C270" s="8">
        <v>2</v>
      </c>
      <c r="D270" s="7" t="s">
        <v>811</v>
      </c>
      <c r="E270" s="7" t="s">
        <v>883</v>
      </c>
      <c r="F270">
        <v>1117</v>
      </c>
      <c r="G270" s="6">
        <v>27832</v>
      </c>
      <c r="H270" s="11" t="s">
        <v>884</v>
      </c>
      <c r="I270" s="6">
        <v>58</v>
      </c>
      <c r="J270" s="6">
        <v>6</v>
      </c>
      <c r="K270" s="6">
        <v>20</v>
      </c>
      <c r="L270" s="6">
        <v>63</v>
      </c>
      <c r="M270" s="10">
        <f t="shared" si="12"/>
        <v>31.746031746031747</v>
      </c>
      <c r="N270" s="10">
        <f t="shared" si="13"/>
        <v>32</v>
      </c>
      <c r="O270" s="6" t="s">
        <v>69</v>
      </c>
      <c r="P270" s="6">
        <v>1</v>
      </c>
      <c r="Q270" s="6">
        <v>0</v>
      </c>
      <c r="R270" s="6">
        <v>1</v>
      </c>
      <c r="S270" s="6">
        <v>2</v>
      </c>
      <c r="T270" s="6" t="str">
        <f t="shared" si="14"/>
        <v>Sexta</v>
      </c>
    </row>
    <row r="271" spans="1:20" ht="24">
      <c r="A271" s="7" t="s">
        <v>768</v>
      </c>
      <c r="B271" s="7" t="s">
        <v>526</v>
      </c>
      <c r="C271" s="8">
        <v>2</v>
      </c>
      <c r="D271" s="7" t="s">
        <v>811</v>
      </c>
      <c r="E271" s="7" t="s">
        <v>871</v>
      </c>
      <c r="F271">
        <v>1139</v>
      </c>
      <c r="G271" s="6">
        <v>4546</v>
      </c>
      <c r="H271" s="11" t="s">
        <v>872</v>
      </c>
      <c r="I271" s="6">
        <v>42</v>
      </c>
      <c r="J271" s="6">
        <v>6</v>
      </c>
      <c r="K271" s="6">
        <v>9</v>
      </c>
      <c r="L271" s="6">
        <v>43</v>
      </c>
      <c r="M271" s="10">
        <f t="shared" si="12"/>
        <v>20.930232558139537</v>
      </c>
      <c r="N271" s="10">
        <f t="shared" si="13"/>
        <v>21</v>
      </c>
      <c r="O271" s="6" t="s">
        <v>69</v>
      </c>
      <c r="P271" s="6">
        <v>0</v>
      </c>
      <c r="Q271" s="6">
        <v>1</v>
      </c>
      <c r="R271" s="6">
        <v>0</v>
      </c>
      <c r="S271" s="6">
        <v>1</v>
      </c>
      <c r="T271" s="6" t="str">
        <f t="shared" si="14"/>
        <v>Sexta</v>
      </c>
    </row>
    <row r="272" spans="1:20" ht="24">
      <c r="A272" s="7" t="s">
        <v>768</v>
      </c>
      <c r="B272" s="7" t="s">
        <v>526</v>
      </c>
      <c r="C272" s="8">
        <v>2</v>
      </c>
      <c r="D272" s="7" t="s">
        <v>811</v>
      </c>
      <c r="E272" s="7" t="s">
        <v>885</v>
      </c>
      <c r="F272">
        <v>1447</v>
      </c>
      <c r="G272" s="6">
        <v>5362</v>
      </c>
      <c r="H272" s="11" t="s">
        <v>886</v>
      </c>
      <c r="I272" s="6">
        <v>31</v>
      </c>
      <c r="J272" s="6">
        <v>4</v>
      </c>
      <c r="K272" s="6">
        <v>6</v>
      </c>
      <c r="L272" s="6">
        <v>32</v>
      </c>
      <c r="M272" s="10">
        <f t="shared" si="12"/>
        <v>18.75</v>
      </c>
      <c r="N272" s="10">
        <f t="shared" si="13"/>
        <v>19</v>
      </c>
      <c r="O272" s="6" t="s">
        <v>98</v>
      </c>
      <c r="P272" s="6">
        <v>0</v>
      </c>
      <c r="Q272" s="6">
        <v>0</v>
      </c>
      <c r="R272" s="6">
        <v>0</v>
      </c>
      <c r="S272" s="6">
        <v>0</v>
      </c>
      <c r="T272" s="6" t="str">
        <f t="shared" si="14"/>
        <v>Cuarta</v>
      </c>
    </row>
    <row r="273" spans="1:20" ht="24">
      <c r="A273" s="7" t="s">
        <v>768</v>
      </c>
      <c r="B273" s="7" t="s">
        <v>526</v>
      </c>
      <c r="C273" s="8">
        <v>2</v>
      </c>
      <c r="D273" s="7" t="s">
        <v>811</v>
      </c>
      <c r="E273" s="7" t="s">
        <v>862</v>
      </c>
      <c r="F273">
        <v>1138</v>
      </c>
      <c r="G273" s="6">
        <v>25167</v>
      </c>
      <c r="H273" s="11" t="s">
        <v>863</v>
      </c>
      <c r="I273" s="6">
        <v>69</v>
      </c>
      <c r="J273" s="6">
        <v>35</v>
      </c>
      <c r="K273" s="6">
        <v>54</v>
      </c>
      <c r="L273" s="6">
        <v>40</v>
      </c>
      <c r="M273" s="10">
        <f t="shared" si="12"/>
        <v>135</v>
      </c>
      <c r="N273" s="10">
        <f t="shared" si="13"/>
        <v>135</v>
      </c>
      <c r="O273" s="6" t="s">
        <v>94</v>
      </c>
      <c r="P273" s="6">
        <v>2</v>
      </c>
      <c r="Q273" s="6">
        <v>0</v>
      </c>
      <c r="R273" s="6">
        <v>2</v>
      </c>
      <c r="S273" s="6">
        <v>4</v>
      </c>
      <c r="T273" s="6" t="str">
        <f t="shared" si="14"/>
        <v>Sexta</v>
      </c>
    </row>
    <row r="274" spans="1:20" ht="24">
      <c r="A274" s="7" t="s">
        <v>768</v>
      </c>
      <c r="B274" s="7" t="s">
        <v>526</v>
      </c>
      <c r="C274" s="8">
        <v>2</v>
      </c>
      <c r="D274" s="7" t="s">
        <v>811</v>
      </c>
      <c r="E274" s="7" t="s">
        <v>887</v>
      </c>
      <c r="F274">
        <v>1066</v>
      </c>
      <c r="G274" s="6">
        <v>23611</v>
      </c>
      <c r="H274" s="11" t="s">
        <v>888</v>
      </c>
      <c r="I274" s="6">
        <v>43</v>
      </c>
      <c r="J274" s="6">
        <v>37</v>
      </c>
      <c r="K274" s="6">
        <v>59</v>
      </c>
      <c r="L274" s="6">
        <v>38</v>
      </c>
      <c r="M274" s="10">
        <f t="shared" si="12"/>
        <v>155.26315789473685</v>
      </c>
      <c r="N274" s="10">
        <f t="shared" si="13"/>
        <v>156</v>
      </c>
      <c r="O274" s="6" t="s">
        <v>12</v>
      </c>
      <c r="P274" s="6">
        <v>0</v>
      </c>
      <c r="Q274" s="6">
        <v>0</v>
      </c>
      <c r="R274" s="6">
        <v>2</v>
      </c>
      <c r="S274" s="6">
        <v>2</v>
      </c>
      <c r="T274" s="6" t="str">
        <f t="shared" si="14"/>
        <v>Septima</v>
      </c>
    </row>
    <row r="275" spans="1:20" ht="24">
      <c r="A275" s="7" t="s">
        <v>768</v>
      </c>
      <c r="B275" s="7" t="s">
        <v>526</v>
      </c>
      <c r="C275" s="8">
        <v>2</v>
      </c>
      <c r="D275" s="7" t="s">
        <v>811</v>
      </c>
      <c r="E275" s="7" t="s">
        <v>875</v>
      </c>
      <c r="F275">
        <v>1101</v>
      </c>
      <c r="G275" s="6">
        <v>23621</v>
      </c>
      <c r="H275" s="11" t="s">
        <v>876</v>
      </c>
      <c r="I275" s="6">
        <v>41</v>
      </c>
      <c r="J275" s="6">
        <v>56</v>
      </c>
      <c r="K275" s="6">
        <v>81</v>
      </c>
      <c r="L275" s="6">
        <v>40</v>
      </c>
      <c r="M275" s="10">
        <f t="shared" si="12"/>
        <v>202.5</v>
      </c>
      <c r="N275" s="10">
        <f t="shared" si="13"/>
        <v>203</v>
      </c>
      <c r="O275" s="6" t="s">
        <v>96</v>
      </c>
      <c r="P275" s="6">
        <v>4</v>
      </c>
      <c r="Q275" s="6">
        <v>0</v>
      </c>
      <c r="R275" s="6">
        <v>3</v>
      </c>
      <c r="S275" s="6">
        <v>7</v>
      </c>
      <c r="T275" s="6" t="str">
        <f t="shared" si="14"/>
        <v>Sexta</v>
      </c>
    </row>
    <row r="276" spans="1:20" ht="24">
      <c r="A276" s="7" t="s">
        <v>768</v>
      </c>
      <c r="B276" s="7" t="s">
        <v>526</v>
      </c>
      <c r="C276" s="8">
        <v>2</v>
      </c>
      <c r="D276" s="7" t="s">
        <v>811</v>
      </c>
      <c r="E276" s="7" t="s">
        <v>864</v>
      </c>
      <c r="F276">
        <v>989</v>
      </c>
      <c r="G276" s="6">
        <v>24811</v>
      </c>
      <c r="H276" s="11" t="s">
        <v>865</v>
      </c>
      <c r="I276" s="6">
        <v>35</v>
      </c>
      <c r="J276" s="6">
        <v>29</v>
      </c>
      <c r="K276" s="6">
        <v>44</v>
      </c>
      <c r="L276" s="6">
        <v>40</v>
      </c>
      <c r="M276" s="10">
        <f t="shared" si="12"/>
        <v>110</v>
      </c>
      <c r="N276" s="10">
        <f t="shared" si="13"/>
        <v>110</v>
      </c>
      <c r="O276" s="6" t="s">
        <v>19</v>
      </c>
      <c r="P276" s="6">
        <v>0</v>
      </c>
      <c r="Q276" s="6">
        <v>2</v>
      </c>
      <c r="R276" s="6">
        <v>1</v>
      </c>
      <c r="S276" s="6">
        <v>3</v>
      </c>
      <c r="T276" s="6" t="str">
        <f t="shared" si="14"/>
        <v>Septima</v>
      </c>
    </row>
    <row r="277" spans="1:20">
      <c r="A277" s="7" t="s">
        <v>889</v>
      </c>
      <c r="B277" s="7" t="s">
        <v>421</v>
      </c>
      <c r="C277" s="8">
        <v>1</v>
      </c>
      <c r="D277" s="7" t="s">
        <v>889</v>
      </c>
      <c r="E277" s="7" t="s">
        <v>890</v>
      </c>
      <c r="F277">
        <v>1374</v>
      </c>
      <c r="G277" s="6">
        <v>6248</v>
      </c>
      <c r="H277" s="11" t="s">
        <v>891</v>
      </c>
      <c r="I277" s="6">
        <v>29</v>
      </c>
      <c r="J277" s="6">
        <v>1</v>
      </c>
      <c r="K277" s="6">
        <v>0</v>
      </c>
      <c r="L277" s="6">
        <v>0</v>
      </c>
      <c r="M277" s="10">
        <f t="shared" si="12"/>
        <v>0</v>
      </c>
      <c r="N277" s="10">
        <f t="shared" si="13"/>
        <v>0</v>
      </c>
      <c r="O277" s="6" t="s">
        <v>99</v>
      </c>
      <c r="P277" s="6">
        <v>0</v>
      </c>
      <c r="Q277" s="6">
        <v>0</v>
      </c>
      <c r="R277" s="6">
        <v>0</v>
      </c>
      <c r="S277" s="6">
        <v>0</v>
      </c>
      <c r="T277" s="6" t="str">
        <f t="shared" si="14"/>
        <v>Quinta</v>
      </c>
    </row>
    <row r="278" spans="1:20">
      <c r="A278" s="7" t="s">
        <v>889</v>
      </c>
      <c r="B278" s="7" t="s">
        <v>421</v>
      </c>
      <c r="C278" s="8">
        <v>1</v>
      </c>
      <c r="D278" s="7" t="s">
        <v>889</v>
      </c>
      <c r="E278" s="7" t="s">
        <v>892</v>
      </c>
      <c r="F278">
        <v>2449</v>
      </c>
      <c r="G278" s="6">
        <v>16898</v>
      </c>
      <c r="H278" s="11" t="s">
        <v>893</v>
      </c>
      <c r="I278" s="6">
        <v>22</v>
      </c>
      <c r="J278" s="6">
        <v>53</v>
      </c>
      <c r="K278" s="6">
        <v>210</v>
      </c>
      <c r="L278" s="6">
        <v>76</v>
      </c>
      <c r="M278" s="10">
        <f t="shared" si="12"/>
        <v>276.31578947368422</v>
      </c>
      <c r="N278" s="10">
        <f t="shared" si="13"/>
        <v>277</v>
      </c>
      <c r="O278" s="6" t="s">
        <v>100</v>
      </c>
      <c r="P278" s="6">
        <v>18</v>
      </c>
      <c r="Q278" s="6">
        <v>5</v>
      </c>
      <c r="R278" s="6">
        <v>9</v>
      </c>
      <c r="S278" s="6">
        <v>32</v>
      </c>
      <c r="T278" s="6" t="str">
        <f t="shared" si="14"/>
        <v>Primera</v>
      </c>
    </row>
    <row r="279" spans="1:20">
      <c r="A279" s="7" t="s">
        <v>889</v>
      </c>
      <c r="B279" s="7" t="s">
        <v>421</v>
      </c>
      <c r="C279" s="8">
        <v>1</v>
      </c>
      <c r="D279" s="7" t="s">
        <v>889</v>
      </c>
      <c r="E279" s="7" t="s">
        <v>894</v>
      </c>
      <c r="F279">
        <v>2364</v>
      </c>
      <c r="G279" s="6">
        <v>16897</v>
      </c>
      <c r="H279" s="11" t="s">
        <v>895</v>
      </c>
      <c r="I279" s="6">
        <v>21</v>
      </c>
      <c r="J279" s="6">
        <v>72</v>
      </c>
      <c r="K279" s="6">
        <v>264</v>
      </c>
      <c r="L279" s="6">
        <v>73</v>
      </c>
      <c r="M279" s="10">
        <f t="shared" si="12"/>
        <v>361.64383561643837</v>
      </c>
      <c r="N279" s="10">
        <f t="shared" si="13"/>
        <v>362</v>
      </c>
      <c r="O279" s="6" t="s">
        <v>101</v>
      </c>
      <c r="P279" s="6">
        <v>16</v>
      </c>
      <c r="Q279" s="6">
        <v>11</v>
      </c>
      <c r="R279" s="6">
        <v>14</v>
      </c>
      <c r="S279" s="6">
        <v>41</v>
      </c>
      <c r="T279" s="6" t="str">
        <f t="shared" si="14"/>
        <v>Primera</v>
      </c>
    </row>
    <row r="280" spans="1:20">
      <c r="A280" s="7" t="s">
        <v>889</v>
      </c>
      <c r="B280" s="7" t="s">
        <v>421</v>
      </c>
      <c r="C280" s="8">
        <v>1</v>
      </c>
      <c r="D280" s="7" t="s">
        <v>889</v>
      </c>
      <c r="E280" s="7" t="s">
        <v>896</v>
      </c>
      <c r="F280">
        <v>2330</v>
      </c>
      <c r="G280" s="6">
        <v>901</v>
      </c>
      <c r="H280" s="11" t="s">
        <v>897</v>
      </c>
      <c r="I280" s="6">
        <v>33</v>
      </c>
      <c r="J280" s="6">
        <v>130</v>
      </c>
      <c r="K280" s="6">
        <v>410</v>
      </c>
      <c r="L280" s="6">
        <v>65</v>
      </c>
      <c r="M280" s="10">
        <f t="shared" si="12"/>
        <v>630.76923076923072</v>
      </c>
      <c r="N280" s="10">
        <f t="shared" si="13"/>
        <v>631</v>
      </c>
      <c r="O280" s="6" t="s">
        <v>27</v>
      </c>
      <c r="P280" s="6">
        <v>13</v>
      </c>
      <c r="Q280" s="6">
        <v>16</v>
      </c>
      <c r="R280" s="6">
        <v>20</v>
      </c>
      <c r="S280" s="6">
        <v>49</v>
      </c>
      <c r="T280" s="6" t="str">
        <f t="shared" si="14"/>
        <v>Primera</v>
      </c>
    </row>
    <row r="281" spans="1:20">
      <c r="A281" s="7" t="s">
        <v>889</v>
      </c>
      <c r="B281" s="7" t="s">
        <v>421</v>
      </c>
      <c r="C281" s="8">
        <v>1</v>
      </c>
      <c r="D281" s="7" t="s">
        <v>889</v>
      </c>
      <c r="E281" s="7" t="s">
        <v>898</v>
      </c>
      <c r="F281">
        <v>2117</v>
      </c>
      <c r="G281" s="6">
        <v>17540</v>
      </c>
      <c r="H281" s="11" t="s">
        <v>899</v>
      </c>
      <c r="I281" s="6">
        <v>19</v>
      </c>
      <c r="J281" s="6">
        <v>56</v>
      </c>
      <c r="K281" s="6">
        <v>198</v>
      </c>
      <c r="L281" s="6">
        <v>65</v>
      </c>
      <c r="M281" s="10">
        <f t="shared" si="12"/>
        <v>304.61538461538464</v>
      </c>
      <c r="N281" s="10">
        <f t="shared" si="13"/>
        <v>305</v>
      </c>
      <c r="O281" s="6" t="s">
        <v>26</v>
      </c>
      <c r="P281" s="6">
        <v>6</v>
      </c>
      <c r="Q281" s="6">
        <v>11</v>
      </c>
      <c r="R281" s="6">
        <v>7</v>
      </c>
      <c r="S281" s="6">
        <v>24</v>
      </c>
      <c r="T281" s="6" t="str">
        <f t="shared" si="14"/>
        <v>Primera</v>
      </c>
    </row>
    <row r="282" spans="1:20">
      <c r="A282" s="7" t="s">
        <v>889</v>
      </c>
      <c r="B282" s="7" t="s">
        <v>421</v>
      </c>
      <c r="C282" s="8">
        <v>1</v>
      </c>
      <c r="D282" s="7" t="s">
        <v>889</v>
      </c>
      <c r="E282" s="7" t="s">
        <v>900</v>
      </c>
      <c r="F282">
        <v>1539</v>
      </c>
      <c r="G282" s="6">
        <v>6150</v>
      </c>
      <c r="H282" s="11" t="s">
        <v>901</v>
      </c>
      <c r="I282" s="6">
        <v>42</v>
      </c>
      <c r="J282" s="6">
        <v>2</v>
      </c>
      <c r="K282" s="6">
        <v>5</v>
      </c>
      <c r="L282" s="6">
        <v>50</v>
      </c>
      <c r="M282" s="10">
        <f t="shared" si="12"/>
        <v>10</v>
      </c>
      <c r="N282" s="10">
        <f t="shared" si="13"/>
        <v>10</v>
      </c>
      <c r="O282" s="6" t="s">
        <v>102</v>
      </c>
      <c r="P282" s="6">
        <v>0</v>
      </c>
      <c r="Q282" s="6">
        <v>0</v>
      </c>
      <c r="R282" s="6">
        <v>0</v>
      </c>
      <c r="S282" s="6">
        <v>0</v>
      </c>
      <c r="T282" s="6" t="str">
        <f t="shared" si="14"/>
        <v>Cuarta</v>
      </c>
    </row>
    <row r="283" spans="1:20">
      <c r="A283" s="7" t="s">
        <v>889</v>
      </c>
      <c r="B283" s="7" t="s">
        <v>434</v>
      </c>
      <c r="C283" s="8">
        <v>1</v>
      </c>
      <c r="D283" s="7" t="s">
        <v>902</v>
      </c>
      <c r="E283" s="7" t="s">
        <v>896</v>
      </c>
      <c r="F283">
        <v>2330</v>
      </c>
      <c r="G283" s="6">
        <v>901</v>
      </c>
      <c r="H283" s="11" t="s">
        <v>897</v>
      </c>
      <c r="I283" s="6">
        <v>33</v>
      </c>
      <c r="J283" s="6">
        <v>130</v>
      </c>
      <c r="K283" s="6">
        <v>410</v>
      </c>
      <c r="L283" s="6">
        <v>65</v>
      </c>
      <c r="M283" s="10">
        <f t="shared" si="12"/>
        <v>630.76923076923072</v>
      </c>
      <c r="N283" s="10">
        <f t="shared" si="13"/>
        <v>631</v>
      </c>
      <c r="O283" s="6" t="s">
        <v>27</v>
      </c>
      <c r="P283" s="6">
        <v>13</v>
      </c>
      <c r="Q283" s="6">
        <v>16</v>
      </c>
      <c r="R283" s="6">
        <v>20</v>
      </c>
      <c r="S283" s="6">
        <v>49</v>
      </c>
      <c r="T283" s="6" t="str">
        <f t="shared" si="14"/>
        <v>Primera</v>
      </c>
    </row>
    <row r="284" spans="1:20">
      <c r="A284" s="7" t="s">
        <v>889</v>
      </c>
      <c r="B284" s="7" t="s">
        <v>434</v>
      </c>
      <c r="C284" s="8">
        <v>1</v>
      </c>
      <c r="D284" s="7" t="s">
        <v>902</v>
      </c>
      <c r="E284" s="7" t="s">
        <v>898</v>
      </c>
      <c r="F284">
        <v>2117</v>
      </c>
      <c r="G284" s="6">
        <v>17540</v>
      </c>
      <c r="H284" s="11" t="s">
        <v>899</v>
      </c>
      <c r="I284" s="6">
        <v>19</v>
      </c>
      <c r="J284" s="6">
        <v>56</v>
      </c>
      <c r="K284" s="6">
        <v>198</v>
      </c>
      <c r="L284" s="6">
        <v>65</v>
      </c>
      <c r="M284" s="10">
        <f t="shared" si="12"/>
        <v>304.61538461538464</v>
      </c>
      <c r="N284" s="10">
        <f t="shared" si="13"/>
        <v>305</v>
      </c>
      <c r="O284" s="6" t="s">
        <v>26</v>
      </c>
      <c r="P284" s="6">
        <v>6</v>
      </c>
      <c r="Q284" s="6">
        <v>11</v>
      </c>
      <c r="R284" s="6">
        <v>7</v>
      </c>
      <c r="S284" s="6">
        <v>24</v>
      </c>
      <c r="T284" s="6" t="str">
        <f t="shared" si="14"/>
        <v>Primera</v>
      </c>
    </row>
    <row r="285" spans="1:20">
      <c r="A285" s="7" t="s">
        <v>889</v>
      </c>
      <c r="B285" s="7" t="s">
        <v>434</v>
      </c>
      <c r="C285" s="8">
        <v>1</v>
      </c>
      <c r="D285" s="7" t="s">
        <v>902</v>
      </c>
      <c r="E285" s="7" t="s">
        <v>903</v>
      </c>
      <c r="F285">
        <v>2112</v>
      </c>
      <c r="G285" s="6">
        <v>22595</v>
      </c>
      <c r="H285" s="11" t="s">
        <v>904</v>
      </c>
      <c r="I285" s="6">
        <v>18</v>
      </c>
      <c r="J285" s="6">
        <v>65</v>
      </c>
      <c r="K285" s="6">
        <v>197</v>
      </c>
      <c r="L285" s="6">
        <v>66</v>
      </c>
      <c r="M285" s="10">
        <f t="shared" si="12"/>
        <v>298.4848484848485</v>
      </c>
      <c r="N285" s="10">
        <f t="shared" si="13"/>
        <v>299</v>
      </c>
      <c r="O285" s="6" t="s">
        <v>19</v>
      </c>
      <c r="P285" s="6">
        <v>12</v>
      </c>
      <c r="Q285" s="6">
        <v>2</v>
      </c>
      <c r="R285" s="6">
        <v>10</v>
      </c>
      <c r="S285" s="6">
        <v>24</v>
      </c>
      <c r="T285" s="6" t="str">
        <f t="shared" si="14"/>
        <v>Primera</v>
      </c>
    </row>
    <row r="286" spans="1:20">
      <c r="A286" s="7" t="s">
        <v>889</v>
      </c>
      <c r="B286" s="7" t="s">
        <v>434</v>
      </c>
      <c r="C286" s="8">
        <v>1</v>
      </c>
      <c r="D286" s="7" t="s">
        <v>902</v>
      </c>
      <c r="E286" s="7" t="s">
        <v>905</v>
      </c>
      <c r="F286">
        <v>2106</v>
      </c>
      <c r="G286" s="6">
        <v>22271</v>
      </c>
      <c r="H286" s="11" t="s">
        <v>906</v>
      </c>
      <c r="I286" s="6">
        <v>12</v>
      </c>
      <c r="J286" s="6">
        <v>49</v>
      </c>
      <c r="K286" s="6">
        <v>179</v>
      </c>
      <c r="L286" s="6">
        <v>66</v>
      </c>
      <c r="M286" s="10">
        <f t="shared" si="12"/>
        <v>271.21212121212119</v>
      </c>
      <c r="N286" s="10">
        <f t="shared" si="13"/>
        <v>272</v>
      </c>
      <c r="O286" s="6" t="s">
        <v>18</v>
      </c>
      <c r="P286" s="6">
        <v>12</v>
      </c>
      <c r="Q286" s="6">
        <v>5</v>
      </c>
      <c r="R286" s="6">
        <v>7</v>
      </c>
      <c r="S286" s="6">
        <v>24</v>
      </c>
      <c r="T286" s="6" t="str">
        <f t="shared" si="14"/>
        <v>Primera</v>
      </c>
    </row>
    <row r="287" spans="1:20">
      <c r="A287" s="7" t="s">
        <v>889</v>
      </c>
      <c r="B287" s="7" t="s">
        <v>434</v>
      </c>
      <c r="C287" s="8">
        <v>1</v>
      </c>
      <c r="D287" s="7" t="s">
        <v>902</v>
      </c>
      <c r="E287" s="7" t="s">
        <v>907</v>
      </c>
      <c r="F287">
        <v>2132</v>
      </c>
      <c r="G287" s="6">
        <v>16407</v>
      </c>
      <c r="H287" s="11" t="s">
        <v>908</v>
      </c>
      <c r="I287" s="6">
        <v>17</v>
      </c>
      <c r="J287" s="6">
        <v>121</v>
      </c>
      <c r="K287" s="6">
        <v>362</v>
      </c>
      <c r="L287" s="6">
        <v>57</v>
      </c>
      <c r="M287" s="10">
        <f t="shared" si="12"/>
        <v>635.08771929824559</v>
      </c>
      <c r="N287" s="10">
        <f t="shared" si="13"/>
        <v>636</v>
      </c>
      <c r="O287" s="6" t="s">
        <v>27</v>
      </c>
      <c r="P287" s="6">
        <v>11</v>
      </c>
      <c r="Q287" s="6">
        <v>18</v>
      </c>
      <c r="R287" s="6">
        <v>24</v>
      </c>
      <c r="S287" s="6">
        <v>53</v>
      </c>
      <c r="T287" s="6" t="str">
        <f t="shared" si="14"/>
        <v>Primera</v>
      </c>
    </row>
    <row r="288" spans="1:20">
      <c r="A288" s="7" t="s">
        <v>889</v>
      </c>
      <c r="B288" s="7" t="s">
        <v>434</v>
      </c>
      <c r="C288" s="8">
        <v>1</v>
      </c>
      <c r="D288" s="7" t="s">
        <v>902</v>
      </c>
      <c r="E288" s="7" t="s">
        <v>909</v>
      </c>
      <c r="F288">
        <v>1171</v>
      </c>
      <c r="G288" s="6">
        <v>25580</v>
      </c>
      <c r="H288" s="11" t="s">
        <v>910</v>
      </c>
      <c r="I288" s="6">
        <v>48</v>
      </c>
      <c r="J288" s="6">
        <v>1</v>
      </c>
      <c r="K288" s="6">
        <v>1</v>
      </c>
      <c r="L288" s="6">
        <v>17</v>
      </c>
      <c r="M288" s="10">
        <f t="shared" si="12"/>
        <v>5.882352941176471</v>
      </c>
      <c r="N288" s="10">
        <f t="shared" si="13"/>
        <v>6</v>
      </c>
      <c r="O288" s="6" t="s">
        <v>103</v>
      </c>
      <c r="P288" s="6">
        <v>0</v>
      </c>
      <c r="Q288" s="6">
        <v>0</v>
      </c>
      <c r="R288" s="6">
        <v>0</v>
      </c>
      <c r="S288" s="6">
        <v>0</v>
      </c>
      <c r="T288" s="6" t="str">
        <f t="shared" si="14"/>
        <v>Sexta</v>
      </c>
    </row>
    <row r="289" spans="1:20">
      <c r="A289" s="7" t="s">
        <v>889</v>
      </c>
      <c r="B289" s="7" t="s">
        <v>434</v>
      </c>
      <c r="C289" s="8">
        <v>2</v>
      </c>
      <c r="D289" s="7" t="s">
        <v>911</v>
      </c>
      <c r="E289" s="7" t="s">
        <v>912</v>
      </c>
      <c r="F289">
        <v>2094</v>
      </c>
      <c r="G289" s="6">
        <v>19562</v>
      </c>
      <c r="H289" s="11" t="s">
        <v>913</v>
      </c>
      <c r="I289" s="6">
        <v>22</v>
      </c>
      <c r="J289" s="6">
        <v>36</v>
      </c>
      <c r="K289" s="6">
        <v>137</v>
      </c>
      <c r="L289" s="6">
        <v>64</v>
      </c>
      <c r="M289" s="10">
        <f t="shared" si="12"/>
        <v>214.0625</v>
      </c>
      <c r="N289" s="10">
        <f t="shared" si="13"/>
        <v>215</v>
      </c>
      <c r="O289" s="6" t="s">
        <v>104</v>
      </c>
      <c r="P289" s="6">
        <v>5</v>
      </c>
      <c r="Q289" s="6">
        <v>5</v>
      </c>
      <c r="R289" s="6">
        <v>7</v>
      </c>
      <c r="S289" s="6">
        <v>17</v>
      </c>
      <c r="T289" s="6" t="str">
        <f t="shared" si="14"/>
        <v>Segunda</v>
      </c>
    </row>
    <row r="290" spans="1:20">
      <c r="A290" s="7" t="s">
        <v>889</v>
      </c>
      <c r="B290" s="7" t="s">
        <v>434</v>
      </c>
      <c r="C290" s="8">
        <v>2</v>
      </c>
      <c r="D290" s="7" t="s">
        <v>911</v>
      </c>
      <c r="E290" s="7" t="s">
        <v>900</v>
      </c>
      <c r="F290">
        <v>1539</v>
      </c>
      <c r="G290" s="6">
        <v>6150</v>
      </c>
      <c r="H290" s="11" t="s">
        <v>901</v>
      </c>
      <c r="I290" s="6">
        <v>42</v>
      </c>
      <c r="J290" s="6">
        <v>2</v>
      </c>
      <c r="K290" s="6">
        <v>5</v>
      </c>
      <c r="L290" s="6">
        <v>50</v>
      </c>
      <c r="M290" s="10">
        <f t="shared" si="12"/>
        <v>10</v>
      </c>
      <c r="N290" s="10">
        <f t="shared" si="13"/>
        <v>10</v>
      </c>
      <c r="O290" s="6" t="s">
        <v>102</v>
      </c>
      <c r="P290" s="6">
        <v>0</v>
      </c>
      <c r="Q290" s="6">
        <v>0</v>
      </c>
      <c r="R290" s="6">
        <v>0</v>
      </c>
      <c r="S290" s="6">
        <v>0</v>
      </c>
      <c r="T290" s="6" t="str">
        <f t="shared" si="14"/>
        <v>Cuarta</v>
      </c>
    </row>
    <row r="291" spans="1:20">
      <c r="A291" s="7" t="s">
        <v>889</v>
      </c>
      <c r="B291" s="7" t="s">
        <v>434</v>
      </c>
      <c r="C291" s="8">
        <v>2</v>
      </c>
      <c r="D291" s="7" t="s">
        <v>911</v>
      </c>
      <c r="E291" s="7" t="s">
        <v>914</v>
      </c>
      <c r="F291">
        <v>2027</v>
      </c>
      <c r="G291" s="6">
        <v>13470</v>
      </c>
      <c r="H291" s="11" t="s">
        <v>915</v>
      </c>
      <c r="I291" s="6">
        <v>27</v>
      </c>
      <c r="J291" s="6">
        <v>170</v>
      </c>
      <c r="K291" s="6">
        <v>498</v>
      </c>
      <c r="L291" s="6">
        <v>59</v>
      </c>
      <c r="M291" s="10">
        <f t="shared" si="12"/>
        <v>844.06779661016947</v>
      </c>
      <c r="N291" s="10">
        <f t="shared" si="13"/>
        <v>845</v>
      </c>
      <c r="O291" s="6" t="s">
        <v>19</v>
      </c>
      <c r="P291" s="6">
        <v>20</v>
      </c>
      <c r="Q291" s="6">
        <v>14</v>
      </c>
      <c r="R291" s="6">
        <v>27</v>
      </c>
      <c r="S291" s="6">
        <v>61</v>
      </c>
      <c r="T291" s="6" t="str">
        <f t="shared" si="14"/>
        <v>Segunda</v>
      </c>
    </row>
    <row r="292" spans="1:20">
      <c r="A292" s="7" t="s">
        <v>889</v>
      </c>
      <c r="B292" s="7" t="s">
        <v>434</v>
      </c>
      <c r="C292" s="8">
        <v>2</v>
      </c>
      <c r="D292" s="7" t="s">
        <v>911</v>
      </c>
      <c r="E292" s="7" t="s">
        <v>916</v>
      </c>
      <c r="F292">
        <v>2090</v>
      </c>
      <c r="G292" s="6">
        <v>21344</v>
      </c>
      <c r="H292" s="11" t="s">
        <v>917</v>
      </c>
      <c r="I292" s="6">
        <v>23</v>
      </c>
      <c r="J292" s="6">
        <v>135</v>
      </c>
      <c r="K292" s="6">
        <v>390</v>
      </c>
      <c r="L292" s="6">
        <v>65</v>
      </c>
      <c r="M292" s="10">
        <f t="shared" si="12"/>
        <v>600</v>
      </c>
      <c r="N292" s="10">
        <f t="shared" si="13"/>
        <v>600</v>
      </c>
      <c r="O292" s="6" t="s">
        <v>27</v>
      </c>
      <c r="P292" s="6">
        <v>14</v>
      </c>
      <c r="Q292" s="6">
        <v>19</v>
      </c>
      <c r="R292" s="6">
        <v>19</v>
      </c>
      <c r="S292" s="6">
        <v>52</v>
      </c>
      <c r="T292" s="6" t="str">
        <f t="shared" si="14"/>
        <v>Segunda</v>
      </c>
    </row>
    <row r="293" spans="1:20">
      <c r="A293" s="7" t="s">
        <v>889</v>
      </c>
      <c r="B293" s="7" t="s">
        <v>434</v>
      </c>
      <c r="C293" s="8">
        <v>2</v>
      </c>
      <c r="D293" s="7" t="s">
        <v>911</v>
      </c>
      <c r="E293" s="7" t="s">
        <v>918</v>
      </c>
      <c r="F293">
        <v>2038</v>
      </c>
      <c r="G293" s="6">
        <v>22730</v>
      </c>
      <c r="H293" s="11" t="s">
        <v>919</v>
      </c>
      <c r="I293" s="6">
        <v>17</v>
      </c>
      <c r="J293" s="6">
        <v>93</v>
      </c>
      <c r="K293" s="6">
        <v>244</v>
      </c>
      <c r="L293" s="6">
        <v>55</v>
      </c>
      <c r="M293" s="10">
        <f t="shared" si="12"/>
        <v>443.63636363636363</v>
      </c>
      <c r="N293" s="10">
        <f t="shared" si="13"/>
        <v>444</v>
      </c>
      <c r="O293" s="6" t="s">
        <v>19</v>
      </c>
      <c r="P293" s="6">
        <v>10</v>
      </c>
      <c r="Q293" s="6">
        <v>8</v>
      </c>
      <c r="R293" s="6">
        <v>8</v>
      </c>
      <c r="S293" s="6">
        <v>26</v>
      </c>
      <c r="T293" s="6" t="str">
        <f t="shared" si="14"/>
        <v>Segunda</v>
      </c>
    </row>
    <row r="294" spans="1:20">
      <c r="A294" s="7" t="s">
        <v>889</v>
      </c>
      <c r="B294" s="7" t="s">
        <v>434</v>
      </c>
      <c r="C294" s="8">
        <v>2</v>
      </c>
      <c r="D294" s="7" t="s">
        <v>911</v>
      </c>
      <c r="E294" s="7" t="s">
        <v>920</v>
      </c>
      <c r="F294">
        <v>1861</v>
      </c>
      <c r="G294" s="6">
        <v>14121</v>
      </c>
      <c r="H294" s="11" t="s">
        <v>921</v>
      </c>
      <c r="I294" s="6">
        <v>23</v>
      </c>
      <c r="J294" s="6">
        <v>102</v>
      </c>
      <c r="K294" s="6">
        <v>260</v>
      </c>
      <c r="L294" s="6">
        <v>48</v>
      </c>
      <c r="M294" s="10">
        <f t="shared" si="12"/>
        <v>541.66666666666663</v>
      </c>
      <c r="N294" s="10">
        <f t="shared" si="13"/>
        <v>542</v>
      </c>
      <c r="O294" s="6" t="s">
        <v>105</v>
      </c>
      <c r="P294" s="6">
        <v>5</v>
      </c>
      <c r="Q294" s="6">
        <v>10</v>
      </c>
      <c r="R294" s="6">
        <v>10</v>
      </c>
      <c r="S294" s="6">
        <v>25</v>
      </c>
      <c r="T294" s="6" t="str">
        <f t="shared" si="14"/>
        <v>Segunda</v>
      </c>
    </row>
    <row r="295" spans="1:20">
      <c r="A295" s="7" t="s">
        <v>889</v>
      </c>
      <c r="B295" s="7" t="s">
        <v>451</v>
      </c>
      <c r="C295" s="8">
        <v>1</v>
      </c>
      <c r="D295" s="7" t="s">
        <v>889</v>
      </c>
      <c r="E295" s="7" t="s">
        <v>903</v>
      </c>
      <c r="F295">
        <v>2112</v>
      </c>
      <c r="G295" s="6">
        <v>22595</v>
      </c>
      <c r="H295" s="11" t="s">
        <v>904</v>
      </c>
      <c r="I295" s="6">
        <v>18</v>
      </c>
      <c r="J295" s="6">
        <v>65</v>
      </c>
      <c r="K295" s="6">
        <v>197</v>
      </c>
      <c r="L295" s="6">
        <v>66</v>
      </c>
      <c r="M295" s="10">
        <f t="shared" si="12"/>
        <v>298.4848484848485</v>
      </c>
      <c r="N295" s="10">
        <f t="shared" si="13"/>
        <v>299</v>
      </c>
      <c r="O295" s="6" t="s">
        <v>19</v>
      </c>
      <c r="P295" s="6">
        <v>12</v>
      </c>
      <c r="Q295" s="6">
        <v>2</v>
      </c>
      <c r="R295" s="6">
        <v>10</v>
      </c>
      <c r="S295" s="6">
        <v>24</v>
      </c>
      <c r="T295" s="6" t="str">
        <f t="shared" si="14"/>
        <v>Primera</v>
      </c>
    </row>
    <row r="296" spans="1:20">
      <c r="A296" s="7" t="s">
        <v>889</v>
      </c>
      <c r="B296" s="7" t="s">
        <v>451</v>
      </c>
      <c r="C296" s="8">
        <v>1</v>
      </c>
      <c r="D296" s="7" t="s">
        <v>889</v>
      </c>
      <c r="E296" s="7" t="s">
        <v>914</v>
      </c>
      <c r="F296">
        <v>2027</v>
      </c>
      <c r="G296" s="6">
        <v>13470</v>
      </c>
      <c r="H296" s="11" t="s">
        <v>915</v>
      </c>
      <c r="I296" s="6">
        <v>27</v>
      </c>
      <c r="J296" s="6">
        <v>170</v>
      </c>
      <c r="K296" s="6">
        <v>498</v>
      </c>
      <c r="L296" s="6">
        <v>59</v>
      </c>
      <c r="M296" s="10">
        <f t="shared" si="12"/>
        <v>844.06779661016947</v>
      </c>
      <c r="N296" s="10">
        <f t="shared" si="13"/>
        <v>845</v>
      </c>
      <c r="O296" s="6" t="s">
        <v>19</v>
      </c>
      <c r="P296" s="6">
        <v>20</v>
      </c>
      <c r="Q296" s="6">
        <v>14</v>
      </c>
      <c r="R296" s="6">
        <v>27</v>
      </c>
      <c r="S296" s="6">
        <v>61</v>
      </c>
      <c r="T296" s="6" t="str">
        <f t="shared" si="14"/>
        <v>Segunda</v>
      </c>
    </row>
    <row r="297" spans="1:20">
      <c r="A297" s="7" t="s">
        <v>889</v>
      </c>
      <c r="B297" s="7" t="s">
        <v>451</v>
      </c>
      <c r="C297" s="8">
        <v>1</v>
      </c>
      <c r="D297" s="7" t="s">
        <v>889</v>
      </c>
      <c r="E297" s="7" t="s">
        <v>916</v>
      </c>
      <c r="F297">
        <v>2090</v>
      </c>
      <c r="G297" s="6">
        <v>21344</v>
      </c>
      <c r="H297" s="11" t="s">
        <v>917</v>
      </c>
      <c r="I297" s="6">
        <v>23</v>
      </c>
      <c r="J297" s="6">
        <v>135</v>
      </c>
      <c r="K297" s="6">
        <v>390</v>
      </c>
      <c r="L297" s="6">
        <v>65</v>
      </c>
      <c r="M297" s="10">
        <f t="shared" si="12"/>
        <v>600</v>
      </c>
      <c r="N297" s="10">
        <f t="shared" si="13"/>
        <v>600</v>
      </c>
      <c r="O297" s="6" t="s">
        <v>27</v>
      </c>
      <c r="P297" s="6">
        <v>14</v>
      </c>
      <c r="Q297" s="6">
        <v>19</v>
      </c>
      <c r="R297" s="6">
        <v>19</v>
      </c>
      <c r="S297" s="6">
        <v>52</v>
      </c>
      <c r="T297" s="6" t="str">
        <f t="shared" si="14"/>
        <v>Segunda</v>
      </c>
    </row>
    <row r="298" spans="1:20">
      <c r="A298" s="7" t="s">
        <v>889</v>
      </c>
      <c r="B298" s="7" t="s">
        <v>451</v>
      </c>
      <c r="C298" s="8">
        <v>1</v>
      </c>
      <c r="D298" s="7" t="s">
        <v>889</v>
      </c>
      <c r="E298" s="7" t="s">
        <v>905</v>
      </c>
      <c r="F298">
        <v>2106</v>
      </c>
      <c r="G298" s="6">
        <v>22271</v>
      </c>
      <c r="H298" s="11" t="s">
        <v>906</v>
      </c>
      <c r="I298" s="6">
        <v>12</v>
      </c>
      <c r="J298" s="6">
        <v>49</v>
      </c>
      <c r="K298" s="6">
        <v>179</v>
      </c>
      <c r="L298" s="6">
        <v>66</v>
      </c>
      <c r="M298" s="10">
        <f t="shared" si="12"/>
        <v>271.21212121212119</v>
      </c>
      <c r="N298" s="10">
        <f t="shared" si="13"/>
        <v>272</v>
      </c>
      <c r="O298" s="6" t="s">
        <v>18</v>
      </c>
      <c r="P298" s="6">
        <v>12</v>
      </c>
      <c r="Q298" s="6">
        <v>5</v>
      </c>
      <c r="R298" s="6">
        <v>7</v>
      </c>
      <c r="S298" s="6">
        <v>24</v>
      </c>
      <c r="T298" s="6" t="str">
        <f t="shared" si="14"/>
        <v>Primera</v>
      </c>
    </row>
    <row r="299" spans="1:20">
      <c r="A299" s="7" t="s">
        <v>889</v>
      </c>
      <c r="B299" s="7" t="s">
        <v>451</v>
      </c>
      <c r="C299" s="8">
        <v>1</v>
      </c>
      <c r="D299" s="7" t="s">
        <v>889</v>
      </c>
      <c r="E299" s="7" t="s">
        <v>922</v>
      </c>
      <c r="F299">
        <v>1913</v>
      </c>
      <c r="G299" s="6">
        <v>24773</v>
      </c>
      <c r="H299" s="11" t="s">
        <v>923</v>
      </c>
      <c r="I299" s="6">
        <v>14</v>
      </c>
      <c r="J299" s="6">
        <v>44</v>
      </c>
      <c r="K299" s="6">
        <v>121</v>
      </c>
      <c r="L299" s="6">
        <v>60</v>
      </c>
      <c r="M299" s="10">
        <f t="shared" si="12"/>
        <v>201.66666666666666</v>
      </c>
      <c r="N299" s="10">
        <f t="shared" si="13"/>
        <v>202</v>
      </c>
      <c r="O299" s="6" t="s">
        <v>19</v>
      </c>
      <c r="P299" s="6">
        <v>6</v>
      </c>
      <c r="Q299" s="6">
        <v>1</v>
      </c>
      <c r="R299" s="6">
        <v>9</v>
      </c>
      <c r="S299" s="6">
        <v>16</v>
      </c>
      <c r="T299" s="6" t="str">
        <f t="shared" si="14"/>
        <v>Segunda</v>
      </c>
    </row>
    <row r="300" spans="1:20">
      <c r="A300" s="7" t="s">
        <v>889</v>
      </c>
      <c r="B300" s="7" t="s">
        <v>451</v>
      </c>
      <c r="C300" s="8">
        <v>1</v>
      </c>
      <c r="D300" s="7" t="s">
        <v>889</v>
      </c>
      <c r="E300" s="7" t="s">
        <v>907</v>
      </c>
      <c r="F300">
        <v>2132</v>
      </c>
      <c r="G300" s="6">
        <v>16407</v>
      </c>
      <c r="H300" s="11" t="s">
        <v>908</v>
      </c>
      <c r="I300" s="6">
        <v>17</v>
      </c>
      <c r="J300" s="6">
        <v>121</v>
      </c>
      <c r="K300" s="6">
        <v>362</v>
      </c>
      <c r="L300" s="6">
        <v>57</v>
      </c>
      <c r="M300" s="10">
        <f t="shared" si="12"/>
        <v>635.08771929824559</v>
      </c>
      <c r="N300" s="10">
        <f t="shared" si="13"/>
        <v>636</v>
      </c>
      <c r="O300" s="6" t="s">
        <v>27</v>
      </c>
      <c r="P300" s="6">
        <v>11</v>
      </c>
      <c r="Q300" s="6">
        <v>18</v>
      </c>
      <c r="R300" s="6">
        <v>24</v>
      </c>
      <c r="S300" s="6">
        <v>53</v>
      </c>
      <c r="T300" s="6" t="str">
        <f t="shared" si="14"/>
        <v>Primera</v>
      </c>
    </row>
    <row r="301" spans="1:20">
      <c r="A301" s="7" t="s">
        <v>889</v>
      </c>
      <c r="B301" s="7" t="s">
        <v>451</v>
      </c>
      <c r="C301" s="8">
        <v>1</v>
      </c>
      <c r="D301" s="7" t="s">
        <v>889</v>
      </c>
      <c r="E301" s="7" t="s">
        <v>918</v>
      </c>
      <c r="F301">
        <v>2038</v>
      </c>
      <c r="G301" s="6">
        <v>22730</v>
      </c>
      <c r="H301" s="11" t="s">
        <v>919</v>
      </c>
      <c r="I301" s="6">
        <v>17</v>
      </c>
      <c r="J301" s="6">
        <v>93</v>
      </c>
      <c r="K301" s="6">
        <v>244</v>
      </c>
      <c r="L301" s="6">
        <v>55</v>
      </c>
      <c r="M301" s="10">
        <f t="shared" si="12"/>
        <v>443.63636363636363</v>
      </c>
      <c r="N301" s="10">
        <f t="shared" si="13"/>
        <v>444</v>
      </c>
      <c r="O301" s="6" t="s">
        <v>19</v>
      </c>
      <c r="P301" s="6">
        <v>10</v>
      </c>
      <c r="Q301" s="6">
        <v>8</v>
      </c>
      <c r="R301" s="6">
        <v>8</v>
      </c>
      <c r="S301" s="6">
        <v>26</v>
      </c>
      <c r="T301" s="6" t="str">
        <f t="shared" si="14"/>
        <v>Segunda</v>
      </c>
    </row>
    <row r="302" spans="1:20">
      <c r="A302" s="7" t="s">
        <v>889</v>
      </c>
      <c r="B302" s="7" t="s">
        <v>781</v>
      </c>
      <c r="C302" s="8">
        <v>1</v>
      </c>
      <c r="D302" s="7" t="s">
        <v>889</v>
      </c>
      <c r="E302" s="7" t="s">
        <v>918</v>
      </c>
      <c r="F302">
        <v>2038</v>
      </c>
      <c r="G302" s="6">
        <v>22730</v>
      </c>
      <c r="H302" s="11" t="s">
        <v>919</v>
      </c>
      <c r="I302" s="6">
        <v>17</v>
      </c>
      <c r="J302" s="6">
        <v>93</v>
      </c>
      <c r="K302" s="6">
        <v>244</v>
      </c>
      <c r="L302" s="6">
        <v>55</v>
      </c>
      <c r="M302" s="10">
        <f t="shared" si="12"/>
        <v>443.63636363636363</v>
      </c>
      <c r="N302" s="10">
        <f t="shared" si="13"/>
        <v>444</v>
      </c>
      <c r="O302" s="6" t="s">
        <v>19</v>
      </c>
      <c r="P302" s="6">
        <v>10</v>
      </c>
      <c r="Q302" s="6">
        <v>8</v>
      </c>
      <c r="R302" s="6">
        <v>8</v>
      </c>
      <c r="S302" s="6">
        <v>26</v>
      </c>
      <c r="T302" s="6" t="str">
        <f t="shared" si="14"/>
        <v>Segunda</v>
      </c>
    </row>
    <row r="303" spans="1:20">
      <c r="A303" s="7" t="s">
        <v>889</v>
      </c>
      <c r="B303" s="7" t="s">
        <v>781</v>
      </c>
      <c r="C303" s="8">
        <v>1</v>
      </c>
      <c r="D303" s="7" t="s">
        <v>889</v>
      </c>
      <c r="E303" s="7" t="s">
        <v>909</v>
      </c>
      <c r="F303">
        <v>1171</v>
      </c>
      <c r="G303" s="6">
        <v>25580</v>
      </c>
      <c r="H303" s="11" t="s">
        <v>910</v>
      </c>
      <c r="I303" s="6">
        <v>48</v>
      </c>
      <c r="J303" s="6">
        <v>1</v>
      </c>
      <c r="K303" s="6">
        <v>1</v>
      </c>
      <c r="L303" s="6">
        <v>17</v>
      </c>
      <c r="M303" s="10">
        <f t="shared" si="12"/>
        <v>5.882352941176471</v>
      </c>
      <c r="N303" s="10">
        <f t="shared" si="13"/>
        <v>6</v>
      </c>
      <c r="O303" s="6" t="s">
        <v>103</v>
      </c>
      <c r="P303" s="6">
        <v>0</v>
      </c>
      <c r="Q303" s="6">
        <v>0</v>
      </c>
      <c r="R303" s="6">
        <v>0</v>
      </c>
      <c r="S303" s="6">
        <v>0</v>
      </c>
      <c r="T303" s="6" t="str">
        <f t="shared" si="14"/>
        <v>Sexta</v>
      </c>
    </row>
    <row r="304" spans="1:20">
      <c r="A304" s="7" t="s">
        <v>889</v>
      </c>
      <c r="B304" s="7" t="s">
        <v>781</v>
      </c>
      <c r="C304" s="8">
        <v>1</v>
      </c>
      <c r="D304" s="7" t="s">
        <v>889</v>
      </c>
      <c r="E304" s="7" t="s">
        <v>924</v>
      </c>
      <c r="F304">
        <v>1940</v>
      </c>
      <c r="G304" s="6">
        <v>17538</v>
      </c>
      <c r="H304" s="11" t="s">
        <v>925</v>
      </c>
      <c r="I304" s="6">
        <v>47</v>
      </c>
      <c r="J304" s="6">
        <v>66</v>
      </c>
      <c r="K304" s="6">
        <v>192</v>
      </c>
      <c r="L304" s="6">
        <v>64</v>
      </c>
      <c r="M304" s="10">
        <f t="shared" si="12"/>
        <v>300</v>
      </c>
      <c r="N304" s="10">
        <f t="shared" si="13"/>
        <v>300</v>
      </c>
      <c r="O304" s="6" t="s">
        <v>18</v>
      </c>
      <c r="P304" s="6">
        <v>11</v>
      </c>
      <c r="Q304" s="6">
        <v>8</v>
      </c>
      <c r="R304" s="6">
        <v>9</v>
      </c>
      <c r="S304" s="6">
        <v>28</v>
      </c>
      <c r="T304" s="6" t="str">
        <f t="shared" si="14"/>
        <v>Segunda</v>
      </c>
    </row>
    <row r="305" spans="1:20">
      <c r="A305" s="7" t="s">
        <v>889</v>
      </c>
      <c r="B305" s="7" t="s">
        <v>781</v>
      </c>
      <c r="C305" s="8">
        <v>1</v>
      </c>
      <c r="D305" s="7" t="s">
        <v>889</v>
      </c>
      <c r="E305" s="7" t="s">
        <v>920</v>
      </c>
      <c r="F305">
        <v>1861</v>
      </c>
      <c r="G305" s="6">
        <v>14121</v>
      </c>
      <c r="H305" s="11" t="s">
        <v>921</v>
      </c>
      <c r="I305" s="6">
        <v>23</v>
      </c>
      <c r="J305" s="6">
        <v>102</v>
      </c>
      <c r="K305" s="6">
        <v>260</v>
      </c>
      <c r="L305" s="6">
        <v>48</v>
      </c>
      <c r="M305" s="10">
        <f t="shared" si="12"/>
        <v>541.66666666666663</v>
      </c>
      <c r="N305" s="10">
        <f t="shared" si="13"/>
        <v>542</v>
      </c>
      <c r="O305" s="6" t="s">
        <v>105</v>
      </c>
      <c r="P305" s="6">
        <v>5</v>
      </c>
      <c r="Q305" s="6">
        <v>10</v>
      </c>
      <c r="R305" s="6">
        <v>10</v>
      </c>
      <c r="S305" s="6">
        <v>25</v>
      </c>
      <c r="T305" s="6" t="str">
        <f t="shared" si="14"/>
        <v>Segunda</v>
      </c>
    </row>
    <row r="306" spans="1:20">
      <c r="A306" s="7" t="s">
        <v>889</v>
      </c>
      <c r="B306" s="7" t="s">
        <v>781</v>
      </c>
      <c r="C306" s="8">
        <v>1</v>
      </c>
      <c r="D306" s="7" t="s">
        <v>889</v>
      </c>
      <c r="E306" s="7" t="s">
        <v>926</v>
      </c>
      <c r="F306">
        <v>1865</v>
      </c>
      <c r="G306" s="6">
        <v>15334</v>
      </c>
      <c r="H306" s="11" t="s">
        <v>927</v>
      </c>
      <c r="I306" s="6">
        <v>25</v>
      </c>
      <c r="J306" s="6">
        <v>85</v>
      </c>
      <c r="K306" s="6">
        <v>201</v>
      </c>
      <c r="L306" s="6">
        <v>56</v>
      </c>
      <c r="M306" s="10">
        <f t="shared" si="12"/>
        <v>358.92857142857144</v>
      </c>
      <c r="N306" s="10">
        <f t="shared" si="13"/>
        <v>359</v>
      </c>
      <c r="O306" s="6" t="s">
        <v>27</v>
      </c>
      <c r="P306" s="6">
        <v>10</v>
      </c>
      <c r="Q306" s="6">
        <v>10</v>
      </c>
      <c r="R306" s="6">
        <v>9</v>
      </c>
      <c r="S306" s="6">
        <v>29</v>
      </c>
      <c r="T306" s="6" t="str">
        <f t="shared" si="14"/>
        <v>Segunda</v>
      </c>
    </row>
    <row r="307" spans="1:20">
      <c r="A307" s="7" t="s">
        <v>889</v>
      </c>
      <c r="B307" s="7" t="s">
        <v>781</v>
      </c>
      <c r="C307" s="8">
        <v>1</v>
      </c>
      <c r="D307" s="7" t="s">
        <v>889</v>
      </c>
      <c r="E307" s="7" t="s">
        <v>928</v>
      </c>
      <c r="F307">
        <v>1758</v>
      </c>
      <c r="G307" s="6">
        <v>19867</v>
      </c>
      <c r="H307" s="11" t="s">
        <v>929</v>
      </c>
      <c r="I307" s="6">
        <v>29</v>
      </c>
      <c r="J307" s="6">
        <v>67</v>
      </c>
      <c r="K307" s="6">
        <v>196</v>
      </c>
      <c r="L307" s="6">
        <v>59</v>
      </c>
      <c r="M307" s="10">
        <f t="shared" si="12"/>
        <v>332.20338983050846</v>
      </c>
      <c r="N307" s="10">
        <f t="shared" si="13"/>
        <v>333</v>
      </c>
      <c r="O307" s="6" t="s">
        <v>70</v>
      </c>
      <c r="P307" s="6">
        <v>8</v>
      </c>
      <c r="Q307" s="6">
        <v>8</v>
      </c>
      <c r="R307" s="6">
        <v>9</v>
      </c>
      <c r="S307" s="6">
        <v>25</v>
      </c>
      <c r="T307" s="6" t="str">
        <f t="shared" si="14"/>
        <v>Tercera</v>
      </c>
    </row>
    <row r="308" spans="1:20">
      <c r="A308" s="7" t="s">
        <v>889</v>
      </c>
      <c r="B308" s="7" t="s">
        <v>781</v>
      </c>
      <c r="C308" s="8">
        <v>1</v>
      </c>
      <c r="D308" s="7" t="s">
        <v>889</v>
      </c>
      <c r="E308" s="7" t="s">
        <v>930</v>
      </c>
      <c r="F308">
        <v>1629</v>
      </c>
      <c r="G308" s="6">
        <v>12153</v>
      </c>
      <c r="H308" s="11" t="s">
        <v>931</v>
      </c>
      <c r="I308" s="6">
        <v>62</v>
      </c>
      <c r="J308" s="6">
        <v>309</v>
      </c>
      <c r="K308" s="6">
        <v>640</v>
      </c>
      <c r="L308" s="6">
        <v>46</v>
      </c>
      <c r="M308" s="10">
        <f t="shared" si="12"/>
        <v>1391.304347826087</v>
      </c>
      <c r="N308" s="10">
        <f t="shared" si="13"/>
        <v>1392</v>
      </c>
      <c r="O308" s="6" t="s">
        <v>19</v>
      </c>
      <c r="P308" s="6">
        <v>15</v>
      </c>
      <c r="Q308" s="6">
        <v>18</v>
      </c>
      <c r="R308" s="6">
        <v>24</v>
      </c>
      <c r="S308" s="6">
        <v>57</v>
      </c>
      <c r="T308" s="6" t="str">
        <f t="shared" si="14"/>
        <v>Tercera</v>
      </c>
    </row>
    <row r="309" spans="1:20">
      <c r="A309" s="7" t="s">
        <v>889</v>
      </c>
      <c r="B309" s="7" t="s">
        <v>468</v>
      </c>
      <c r="C309" s="8">
        <v>1</v>
      </c>
      <c r="D309" s="7" t="s">
        <v>889</v>
      </c>
      <c r="E309" s="7" t="s">
        <v>932</v>
      </c>
      <c r="F309">
        <v>1782</v>
      </c>
      <c r="G309" s="6">
        <v>11117</v>
      </c>
      <c r="H309" s="11" t="s">
        <v>933</v>
      </c>
      <c r="I309" s="6">
        <v>57</v>
      </c>
      <c r="J309" s="6">
        <v>29</v>
      </c>
      <c r="K309" s="6">
        <v>48</v>
      </c>
      <c r="L309" s="6">
        <v>37</v>
      </c>
      <c r="M309" s="10">
        <f t="shared" si="12"/>
        <v>129.72972972972974</v>
      </c>
      <c r="N309" s="10">
        <f t="shared" si="13"/>
        <v>130</v>
      </c>
      <c r="O309" s="6" t="s">
        <v>45</v>
      </c>
      <c r="P309" s="6">
        <v>3</v>
      </c>
      <c r="Q309" s="6">
        <v>0</v>
      </c>
      <c r="R309" s="6">
        <v>3</v>
      </c>
      <c r="S309" s="6">
        <v>6</v>
      </c>
      <c r="T309" s="6" t="str">
        <f t="shared" si="14"/>
        <v>Tercera</v>
      </c>
    </row>
    <row r="310" spans="1:20">
      <c r="A310" s="7" t="s">
        <v>889</v>
      </c>
      <c r="B310" s="7" t="s">
        <v>468</v>
      </c>
      <c r="C310" s="8">
        <v>1</v>
      </c>
      <c r="D310" s="7" t="s">
        <v>889</v>
      </c>
      <c r="E310" s="7" t="s">
        <v>934</v>
      </c>
      <c r="F310">
        <v>1662</v>
      </c>
      <c r="G310" s="6">
        <v>2238</v>
      </c>
      <c r="H310" s="11" t="s">
        <v>935</v>
      </c>
      <c r="I310" s="6">
        <v>51</v>
      </c>
      <c r="J310" s="6">
        <v>102</v>
      </c>
      <c r="K310" s="6">
        <v>249</v>
      </c>
      <c r="L310" s="6">
        <v>56</v>
      </c>
      <c r="M310" s="10">
        <f t="shared" si="12"/>
        <v>444.64285714285717</v>
      </c>
      <c r="N310" s="10">
        <f t="shared" si="13"/>
        <v>445</v>
      </c>
      <c r="O310" s="6" t="s">
        <v>106</v>
      </c>
      <c r="P310" s="6">
        <v>5</v>
      </c>
      <c r="Q310" s="6">
        <v>5</v>
      </c>
      <c r="R310" s="6">
        <v>18</v>
      </c>
      <c r="S310" s="6">
        <v>28</v>
      </c>
      <c r="T310" s="6" t="str">
        <f t="shared" si="14"/>
        <v>Tercera</v>
      </c>
    </row>
    <row r="311" spans="1:20">
      <c r="A311" s="7" t="s">
        <v>889</v>
      </c>
      <c r="B311" s="7" t="s">
        <v>468</v>
      </c>
      <c r="C311" s="8">
        <v>1</v>
      </c>
      <c r="D311" s="7" t="s">
        <v>889</v>
      </c>
      <c r="E311" s="7" t="s">
        <v>936</v>
      </c>
      <c r="F311">
        <v>1812</v>
      </c>
      <c r="G311" s="6">
        <v>16204</v>
      </c>
      <c r="H311" s="11" t="s">
        <v>937</v>
      </c>
      <c r="I311" s="6">
        <v>35</v>
      </c>
      <c r="J311" s="6">
        <v>78</v>
      </c>
      <c r="K311" s="6">
        <v>230</v>
      </c>
      <c r="L311" s="6">
        <v>56</v>
      </c>
      <c r="M311" s="10">
        <f t="shared" si="12"/>
        <v>410.71428571428572</v>
      </c>
      <c r="N311" s="10">
        <f t="shared" si="13"/>
        <v>411</v>
      </c>
      <c r="O311" s="6" t="s">
        <v>107</v>
      </c>
      <c r="P311" s="6">
        <v>8</v>
      </c>
      <c r="Q311" s="6">
        <v>1</v>
      </c>
      <c r="R311" s="6">
        <v>17</v>
      </c>
      <c r="S311" s="6">
        <v>26</v>
      </c>
      <c r="T311" s="6" t="str">
        <f t="shared" si="14"/>
        <v>Segunda</v>
      </c>
    </row>
    <row r="312" spans="1:20">
      <c r="A312" s="7" t="s">
        <v>889</v>
      </c>
      <c r="B312" s="7" t="s">
        <v>468</v>
      </c>
      <c r="C312" s="8">
        <v>1</v>
      </c>
      <c r="D312" s="7" t="s">
        <v>889</v>
      </c>
      <c r="E312" s="7" t="s">
        <v>938</v>
      </c>
      <c r="F312">
        <v>0</v>
      </c>
      <c r="G312" s="6">
        <v>29426</v>
      </c>
      <c r="H312" s="11" t="s">
        <v>939</v>
      </c>
      <c r="I312" s="6">
        <v>14</v>
      </c>
      <c r="M312" s="10">
        <f t="shared" si="12"/>
        <v>0</v>
      </c>
      <c r="N312" s="10">
        <f t="shared" si="13"/>
        <v>0</v>
      </c>
      <c r="P312" s="6">
        <v>0</v>
      </c>
      <c r="Q312" s="6">
        <v>0</v>
      </c>
      <c r="R312" s="6">
        <v>0</v>
      </c>
      <c r="S312" s="6">
        <v>0</v>
      </c>
      <c r="T312" s="6" t="str">
        <f t="shared" si="14"/>
        <v>Octava</v>
      </c>
    </row>
    <row r="313" spans="1:20">
      <c r="A313" s="7" t="s">
        <v>889</v>
      </c>
      <c r="B313" s="7" t="s">
        <v>468</v>
      </c>
      <c r="C313" s="8">
        <v>1</v>
      </c>
      <c r="D313" s="7" t="s">
        <v>889</v>
      </c>
      <c r="E313" s="7" t="s">
        <v>930</v>
      </c>
      <c r="F313">
        <v>1629</v>
      </c>
      <c r="G313" s="6">
        <v>12153</v>
      </c>
      <c r="H313" s="11" t="s">
        <v>931</v>
      </c>
      <c r="I313" s="6">
        <v>62</v>
      </c>
      <c r="J313" s="6">
        <v>309</v>
      </c>
      <c r="K313" s="6">
        <v>640</v>
      </c>
      <c r="L313" s="6">
        <v>46</v>
      </c>
      <c r="M313" s="10">
        <f t="shared" si="12"/>
        <v>1391.304347826087</v>
      </c>
      <c r="N313" s="10">
        <f t="shared" si="13"/>
        <v>1392</v>
      </c>
      <c r="O313" s="6" t="s">
        <v>19</v>
      </c>
      <c r="P313" s="6">
        <v>15</v>
      </c>
      <c r="Q313" s="6">
        <v>18</v>
      </c>
      <c r="R313" s="6">
        <v>24</v>
      </c>
      <c r="S313" s="6">
        <v>57</v>
      </c>
      <c r="T313" s="6" t="str">
        <f t="shared" si="14"/>
        <v>Tercera</v>
      </c>
    </row>
    <row r="314" spans="1:20">
      <c r="A314" s="7" t="s">
        <v>889</v>
      </c>
      <c r="B314" s="7" t="s">
        <v>468</v>
      </c>
      <c r="C314" s="8">
        <v>1</v>
      </c>
      <c r="D314" s="7" t="s">
        <v>889</v>
      </c>
      <c r="E314" s="7" t="s">
        <v>940</v>
      </c>
      <c r="F314">
        <v>1640</v>
      </c>
      <c r="G314" s="6">
        <v>13874</v>
      </c>
      <c r="H314" s="11" t="s">
        <v>941</v>
      </c>
      <c r="I314" s="6">
        <v>26</v>
      </c>
      <c r="J314" s="6">
        <v>105</v>
      </c>
      <c r="K314" s="6">
        <v>261</v>
      </c>
      <c r="L314" s="6">
        <v>54</v>
      </c>
      <c r="M314" s="10">
        <f t="shared" si="12"/>
        <v>483.33333333333331</v>
      </c>
      <c r="N314" s="10">
        <f t="shared" si="13"/>
        <v>484</v>
      </c>
      <c r="O314" s="6" t="s">
        <v>108</v>
      </c>
      <c r="P314" s="6">
        <v>9</v>
      </c>
      <c r="Q314" s="6">
        <v>9</v>
      </c>
      <c r="R314" s="6">
        <v>16</v>
      </c>
      <c r="S314" s="6">
        <v>34</v>
      </c>
      <c r="T314" s="6" t="str">
        <f t="shared" si="14"/>
        <v>Tercera</v>
      </c>
    </row>
    <row r="315" spans="1:20">
      <c r="A315" s="7" t="s">
        <v>889</v>
      </c>
      <c r="B315" s="7" t="s">
        <v>468</v>
      </c>
      <c r="C315" s="8">
        <v>1</v>
      </c>
      <c r="D315" s="7" t="s">
        <v>889</v>
      </c>
      <c r="E315" s="7" t="s">
        <v>942</v>
      </c>
      <c r="F315">
        <v>1643</v>
      </c>
      <c r="G315" s="6">
        <v>22235</v>
      </c>
      <c r="H315" s="11" t="s">
        <v>943</v>
      </c>
      <c r="I315" s="6">
        <v>24</v>
      </c>
      <c r="J315" s="6">
        <v>61</v>
      </c>
      <c r="K315" s="6">
        <v>184</v>
      </c>
      <c r="L315" s="6">
        <v>63</v>
      </c>
      <c r="M315" s="10">
        <f t="shared" si="12"/>
        <v>292.06349206349205</v>
      </c>
      <c r="N315" s="10">
        <f t="shared" si="13"/>
        <v>293</v>
      </c>
      <c r="O315" s="6" t="s">
        <v>70</v>
      </c>
      <c r="P315" s="6">
        <v>9</v>
      </c>
      <c r="Q315" s="6">
        <v>7</v>
      </c>
      <c r="R315" s="6">
        <v>5</v>
      </c>
      <c r="S315" s="6">
        <v>21</v>
      </c>
      <c r="T315" s="6" t="str">
        <f t="shared" si="14"/>
        <v>Tercera</v>
      </c>
    </row>
    <row r="316" spans="1:20">
      <c r="A316" s="7" t="s">
        <v>889</v>
      </c>
      <c r="B316" s="7" t="s">
        <v>496</v>
      </c>
      <c r="C316" s="8">
        <v>1</v>
      </c>
      <c r="D316" s="7" t="s">
        <v>889</v>
      </c>
      <c r="E316" s="7" t="s">
        <v>944</v>
      </c>
      <c r="F316">
        <v>1506</v>
      </c>
      <c r="G316" s="6">
        <v>16071</v>
      </c>
      <c r="H316" s="11" t="s">
        <v>945</v>
      </c>
      <c r="I316" s="6">
        <v>21</v>
      </c>
      <c r="J316" s="6">
        <v>26</v>
      </c>
      <c r="K316" s="6">
        <v>76</v>
      </c>
      <c r="L316" s="6">
        <v>58</v>
      </c>
      <c r="M316" s="10">
        <f t="shared" si="12"/>
        <v>131.0344827586207</v>
      </c>
      <c r="N316" s="10">
        <f t="shared" si="13"/>
        <v>132</v>
      </c>
      <c r="O316" s="6" t="s">
        <v>109</v>
      </c>
      <c r="P316" s="6">
        <v>6</v>
      </c>
      <c r="Q316" s="6">
        <v>1</v>
      </c>
      <c r="R316" s="6">
        <v>4</v>
      </c>
      <c r="S316" s="6">
        <v>11</v>
      </c>
      <c r="T316" s="6" t="str">
        <f t="shared" si="14"/>
        <v>Cuarta</v>
      </c>
    </row>
    <row r="317" spans="1:20">
      <c r="A317" s="7" t="s">
        <v>889</v>
      </c>
      <c r="B317" s="7" t="s">
        <v>496</v>
      </c>
      <c r="C317" s="8">
        <v>1</v>
      </c>
      <c r="D317" s="7" t="s">
        <v>889</v>
      </c>
      <c r="E317" s="7" t="s">
        <v>946</v>
      </c>
      <c r="F317">
        <v>1638</v>
      </c>
      <c r="G317" s="6">
        <v>23299</v>
      </c>
      <c r="H317" s="11" t="s">
        <v>947</v>
      </c>
      <c r="I317" s="6">
        <v>46</v>
      </c>
      <c r="J317" s="6">
        <v>76</v>
      </c>
      <c r="K317" s="6">
        <v>203</v>
      </c>
      <c r="L317" s="6">
        <v>58</v>
      </c>
      <c r="M317" s="10">
        <f t="shared" si="12"/>
        <v>350</v>
      </c>
      <c r="N317" s="10">
        <f t="shared" si="13"/>
        <v>350</v>
      </c>
      <c r="O317" s="6" t="s">
        <v>12</v>
      </c>
      <c r="P317" s="6">
        <v>5</v>
      </c>
      <c r="Q317" s="6">
        <v>9</v>
      </c>
      <c r="R317" s="6">
        <v>11</v>
      </c>
      <c r="S317" s="6">
        <v>25</v>
      </c>
      <c r="T317" s="6" t="str">
        <f t="shared" si="14"/>
        <v>Tercera</v>
      </c>
    </row>
    <row r="318" spans="1:20">
      <c r="A318" s="7" t="s">
        <v>889</v>
      </c>
      <c r="B318" s="7" t="s">
        <v>496</v>
      </c>
      <c r="C318" s="8">
        <v>1</v>
      </c>
      <c r="D318" s="7" t="s">
        <v>889</v>
      </c>
      <c r="E318" s="7" t="s">
        <v>948</v>
      </c>
      <c r="F318">
        <v>1644</v>
      </c>
      <c r="G318" s="6">
        <v>693</v>
      </c>
      <c r="H318" s="11" t="s">
        <v>949</v>
      </c>
      <c r="I318" s="6">
        <v>50</v>
      </c>
      <c r="J318" s="6">
        <v>1</v>
      </c>
      <c r="K318" s="6">
        <v>0</v>
      </c>
      <c r="L318" s="6">
        <v>0</v>
      </c>
      <c r="M318" s="10">
        <f t="shared" si="12"/>
        <v>0</v>
      </c>
      <c r="N318" s="10">
        <f t="shared" si="13"/>
        <v>0</v>
      </c>
      <c r="O318" s="6" t="s">
        <v>110</v>
      </c>
      <c r="P318" s="6">
        <v>0</v>
      </c>
      <c r="Q318" s="6">
        <v>0</v>
      </c>
      <c r="R318" s="6">
        <v>0</v>
      </c>
      <c r="S318" s="6">
        <v>0</v>
      </c>
      <c r="T318" s="6" t="str">
        <f t="shared" si="14"/>
        <v>Tercera</v>
      </c>
    </row>
    <row r="319" spans="1:20">
      <c r="A319" s="7" t="s">
        <v>889</v>
      </c>
      <c r="B319" s="7" t="s">
        <v>496</v>
      </c>
      <c r="C319" s="8">
        <v>1</v>
      </c>
      <c r="D319" s="7" t="s">
        <v>889</v>
      </c>
      <c r="E319" s="7" t="s">
        <v>950</v>
      </c>
      <c r="F319">
        <v>1507</v>
      </c>
      <c r="G319" s="6">
        <v>27353</v>
      </c>
      <c r="H319" s="11" t="s">
        <v>951</v>
      </c>
      <c r="I319" s="6">
        <v>33</v>
      </c>
      <c r="J319" s="6">
        <v>23</v>
      </c>
      <c r="K319" s="6">
        <v>78</v>
      </c>
      <c r="L319" s="6">
        <v>72</v>
      </c>
      <c r="M319" s="10">
        <f t="shared" si="12"/>
        <v>108.33333333333333</v>
      </c>
      <c r="N319" s="10">
        <f t="shared" si="13"/>
        <v>109</v>
      </c>
      <c r="O319" s="6" t="s">
        <v>12</v>
      </c>
      <c r="P319" s="6">
        <v>6</v>
      </c>
      <c r="Q319" s="6">
        <v>0</v>
      </c>
      <c r="R319" s="6">
        <v>3</v>
      </c>
      <c r="S319" s="6">
        <v>9</v>
      </c>
      <c r="T319" s="6" t="str">
        <f t="shared" si="14"/>
        <v>Cuarta</v>
      </c>
    </row>
    <row r="320" spans="1:20">
      <c r="A320" s="7" t="s">
        <v>889</v>
      </c>
      <c r="B320" s="7" t="s">
        <v>496</v>
      </c>
      <c r="C320" s="8">
        <v>1</v>
      </c>
      <c r="D320" s="7" t="s">
        <v>889</v>
      </c>
      <c r="E320" s="7" t="s">
        <v>952</v>
      </c>
      <c r="F320">
        <v>1309</v>
      </c>
      <c r="G320" s="6">
        <v>22234</v>
      </c>
      <c r="H320" s="11" t="s">
        <v>953</v>
      </c>
      <c r="I320" s="6">
        <v>21</v>
      </c>
      <c r="J320" s="6">
        <v>48</v>
      </c>
      <c r="K320" s="6">
        <v>108</v>
      </c>
      <c r="L320" s="6">
        <v>48</v>
      </c>
      <c r="M320" s="10">
        <f t="shared" si="12"/>
        <v>225</v>
      </c>
      <c r="N320" s="10">
        <f t="shared" si="13"/>
        <v>225</v>
      </c>
      <c r="O320" s="6" t="s">
        <v>40</v>
      </c>
      <c r="P320" s="6">
        <v>2</v>
      </c>
      <c r="Q320" s="6">
        <v>3</v>
      </c>
      <c r="R320" s="6">
        <v>6</v>
      </c>
      <c r="S320" s="6">
        <v>11</v>
      </c>
      <c r="T320" s="6" t="str">
        <f t="shared" si="14"/>
        <v>Quinta</v>
      </c>
    </row>
    <row r="321" spans="1:20">
      <c r="A321" s="7" t="s">
        <v>889</v>
      </c>
      <c r="B321" s="7" t="s">
        <v>496</v>
      </c>
      <c r="C321" s="8">
        <v>1</v>
      </c>
      <c r="D321" s="7" t="s">
        <v>889</v>
      </c>
      <c r="E321" s="7" t="s">
        <v>954</v>
      </c>
      <c r="F321">
        <v>1000</v>
      </c>
      <c r="G321" s="6">
        <v>13565</v>
      </c>
      <c r="H321" s="11" t="s">
        <v>955</v>
      </c>
      <c r="I321" s="6">
        <v>51</v>
      </c>
      <c r="J321" s="6">
        <v>0</v>
      </c>
      <c r="K321" s="6">
        <v>0</v>
      </c>
      <c r="L321" s="6">
        <v>0</v>
      </c>
      <c r="M321" s="10">
        <f t="shared" si="12"/>
        <v>0</v>
      </c>
      <c r="N321" s="10">
        <f t="shared" si="13"/>
        <v>0</v>
      </c>
      <c r="P321" s="6">
        <v>0</v>
      </c>
      <c r="Q321" s="6">
        <v>0</v>
      </c>
      <c r="R321" s="6">
        <v>0</v>
      </c>
      <c r="S321" s="6">
        <v>0</v>
      </c>
      <c r="T321" s="6" t="str">
        <f t="shared" si="14"/>
        <v>Septima</v>
      </c>
    </row>
    <row r="322" spans="1:20">
      <c r="A322" s="7" t="s">
        <v>889</v>
      </c>
      <c r="B322" s="7" t="s">
        <v>496</v>
      </c>
      <c r="C322" s="8">
        <v>1</v>
      </c>
      <c r="D322" s="7" t="s">
        <v>889</v>
      </c>
      <c r="E322" s="7" t="s">
        <v>956</v>
      </c>
      <c r="F322">
        <v>1269</v>
      </c>
      <c r="G322" s="6">
        <v>24308</v>
      </c>
      <c r="H322" s="11" t="s">
        <v>957</v>
      </c>
      <c r="I322" s="6">
        <v>54</v>
      </c>
      <c r="J322" s="6">
        <v>6</v>
      </c>
      <c r="K322" s="6">
        <v>17</v>
      </c>
      <c r="L322" s="6">
        <v>52</v>
      </c>
      <c r="M322" s="10">
        <f t="shared" si="12"/>
        <v>32.692307692307693</v>
      </c>
      <c r="N322" s="10">
        <f t="shared" si="13"/>
        <v>33</v>
      </c>
      <c r="O322" s="6" t="s">
        <v>73</v>
      </c>
      <c r="P322" s="6">
        <v>0</v>
      </c>
      <c r="Q322" s="6">
        <v>1</v>
      </c>
      <c r="R322" s="6">
        <v>1</v>
      </c>
      <c r="S322" s="6">
        <v>2</v>
      </c>
      <c r="T322" s="6" t="str">
        <f t="shared" si="14"/>
        <v>Quinta</v>
      </c>
    </row>
    <row r="323" spans="1:20">
      <c r="A323" s="7" t="s">
        <v>889</v>
      </c>
      <c r="B323" s="7" t="s">
        <v>496</v>
      </c>
      <c r="C323" s="8">
        <v>1</v>
      </c>
      <c r="D323" s="7" t="s">
        <v>889</v>
      </c>
      <c r="E323" s="7" t="s">
        <v>958</v>
      </c>
      <c r="F323">
        <v>1353</v>
      </c>
      <c r="G323" s="6">
        <v>22278</v>
      </c>
      <c r="H323" s="11" t="s">
        <v>959</v>
      </c>
      <c r="I323" s="6">
        <v>50</v>
      </c>
      <c r="J323" s="6">
        <v>45</v>
      </c>
      <c r="K323" s="6">
        <v>125</v>
      </c>
      <c r="L323" s="6">
        <v>59</v>
      </c>
      <c r="M323" s="10">
        <f t="shared" ref="M323:M386" si="15">IF(K323+L323=0,0,(100*K323/L323))</f>
        <v>211.86440677966101</v>
      </c>
      <c r="N323" s="10">
        <f t="shared" ref="N323:N386" si="16">ROUNDUP(M323,0)</f>
        <v>212</v>
      </c>
      <c r="O323" s="6" t="s">
        <v>37</v>
      </c>
      <c r="P323" s="6">
        <v>2</v>
      </c>
      <c r="Q323" s="6">
        <v>5</v>
      </c>
      <c r="R323" s="6">
        <v>5</v>
      </c>
      <c r="S323" s="6">
        <v>12</v>
      </c>
      <c r="T323" s="6" t="str">
        <f t="shared" ref="T323:T386" si="17">IF(F323&gt;2100,"Primera",
IF(F323&gt;=1800,"Segunda",
IF(F323&gt;=1600,"Tercera",
IF(F323&gt;=1400,"Cuarta",
IF(F323&gt;=1200,"Quinta",
IF(F323&gt;=1080,"Sexta",
IF(F323&gt;=980,"Septima",
"Octava")))))))</f>
        <v>Quinta</v>
      </c>
    </row>
    <row r="324" spans="1:20">
      <c r="A324" s="7" t="s">
        <v>889</v>
      </c>
      <c r="B324" s="7" t="s">
        <v>507</v>
      </c>
      <c r="C324" s="8">
        <v>1</v>
      </c>
      <c r="D324" s="7" t="s">
        <v>902</v>
      </c>
      <c r="E324" s="7" t="s">
        <v>960</v>
      </c>
      <c r="F324">
        <v>1324</v>
      </c>
      <c r="G324" s="6">
        <v>22465</v>
      </c>
      <c r="H324" s="11" t="s">
        <v>961</v>
      </c>
      <c r="I324" s="6">
        <v>66</v>
      </c>
      <c r="J324" s="6">
        <v>32</v>
      </c>
      <c r="K324" s="6">
        <v>80</v>
      </c>
      <c r="L324" s="6">
        <v>57</v>
      </c>
      <c r="M324" s="10">
        <f t="shared" si="15"/>
        <v>140.35087719298247</v>
      </c>
      <c r="N324" s="10">
        <f t="shared" si="16"/>
        <v>141</v>
      </c>
      <c r="O324" s="6" t="s">
        <v>111</v>
      </c>
      <c r="P324" s="6">
        <v>3</v>
      </c>
      <c r="Q324" s="6">
        <v>1</v>
      </c>
      <c r="R324" s="6">
        <v>9</v>
      </c>
      <c r="S324" s="6">
        <v>13</v>
      </c>
      <c r="T324" s="6" t="str">
        <f t="shared" si="17"/>
        <v>Quinta</v>
      </c>
    </row>
    <row r="325" spans="1:20">
      <c r="A325" s="7" t="s">
        <v>889</v>
      </c>
      <c r="B325" s="7" t="s">
        <v>507</v>
      </c>
      <c r="C325" s="8">
        <v>1</v>
      </c>
      <c r="D325" s="7" t="s">
        <v>902</v>
      </c>
      <c r="E325" s="7" t="s">
        <v>962</v>
      </c>
      <c r="F325">
        <v>1259</v>
      </c>
      <c r="G325" s="6">
        <v>25833</v>
      </c>
      <c r="H325" s="11" t="s">
        <v>963</v>
      </c>
      <c r="I325" s="6">
        <v>15</v>
      </c>
      <c r="J325" s="6">
        <v>25</v>
      </c>
      <c r="K325" s="6">
        <v>61</v>
      </c>
      <c r="L325" s="6">
        <v>50</v>
      </c>
      <c r="M325" s="10">
        <f t="shared" si="15"/>
        <v>122</v>
      </c>
      <c r="N325" s="10">
        <f t="shared" si="16"/>
        <v>122</v>
      </c>
      <c r="O325" s="6" t="s">
        <v>112</v>
      </c>
      <c r="P325" s="6">
        <v>2</v>
      </c>
      <c r="Q325" s="6">
        <v>4</v>
      </c>
      <c r="R325" s="6">
        <v>2</v>
      </c>
      <c r="S325" s="6">
        <v>8</v>
      </c>
      <c r="T325" s="6" t="str">
        <f t="shared" si="17"/>
        <v>Quinta</v>
      </c>
    </row>
    <row r="326" spans="1:20">
      <c r="A326" s="7" t="s">
        <v>889</v>
      </c>
      <c r="B326" s="7" t="s">
        <v>507</v>
      </c>
      <c r="C326" s="8">
        <v>1</v>
      </c>
      <c r="D326" s="7" t="s">
        <v>902</v>
      </c>
      <c r="E326" s="7" t="s">
        <v>964</v>
      </c>
      <c r="F326">
        <v>1701</v>
      </c>
      <c r="G326" s="6">
        <v>984</v>
      </c>
      <c r="H326" s="11" t="s">
        <v>965</v>
      </c>
      <c r="I326" s="6">
        <v>33</v>
      </c>
      <c r="J326" s="6">
        <v>6</v>
      </c>
      <c r="K326" s="6">
        <v>13</v>
      </c>
      <c r="L326" s="6">
        <v>41</v>
      </c>
      <c r="M326" s="10">
        <f t="shared" si="15"/>
        <v>31.707317073170731</v>
      </c>
      <c r="N326" s="10">
        <f t="shared" si="16"/>
        <v>32</v>
      </c>
      <c r="O326" s="6" t="s">
        <v>113</v>
      </c>
      <c r="P326" s="6">
        <v>0</v>
      </c>
      <c r="Q326" s="6">
        <v>1</v>
      </c>
      <c r="R326" s="6">
        <v>1</v>
      </c>
      <c r="S326" s="6">
        <v>2</v>
      </c>
      <c r="T326" s="6" t="str">
        <f t="shared" si="17"/>
        <v>Tercera</v>
      </c>
    </row>
    <row r="327" spans="1:20">
      <c r="A327" s="7" t="s">
        <v>889</v>
      </c>
      <c r="B327" s="7" t="s">
        <v>507</v>
      </c>
      <c r="C327" s="8">
        <v>1</v>
      </c>
      <c r="D327" s="7" t="s">
        <v>902</v>
      </c>
      <c r="E327" s="7" t="s">
        <v>966</v>
      </c>
      <c r="F327">
        <v>1251</v>
      </c>
      <c r="G327" s="6">
        <v>202</v>
      </c>
      <c r="H327" s="11" t="s">
        <v>967</v>
      </c>
      <c r="I327" s="6">
        <v>52</v>
      </c>
      <c r="J327" s="6">
        <v>16</v>
      </c>
      <c r="K327" s="6">
        <v>51</v>
      </c>
      <c r="L327" s="6">
        <v>57</v>
      </c>
      <c r="M327" s="10">
        <f t="shared" si="15"/>
        <v>89.473684210526315</v>
      </c>
      <c r="N327" s="10">
        <f t="shared" si="16"/>
        <v>90</v>
      </c>
      <c r="O327" s="6" t="s">
        <v>18</v>
      </c>
      <c r="P327" s="6">
        <v>2</v>
      </c>
      <c r="Q327" s="6">
        <v>1</v>
      </c>
      <c r="R327" s="6">
        <v>1</v>
      </c>
      <c r="S327" s="6">
        <v>4</v>
      </c>
      <c r="T327" s="6" t="str">
        <f t="shared" si="17"/>
        <v>Quinta</v>
      </c>
    </row>
    <row r="328" spans="1:20">
      <c r="A328" s="7" t="s">
        <v>889</v>
      </c>
      <c r="B328" s="7" t="s">
        <v>507</v>
      </c>
      <c r="C328" s="8">
        <v>1</v>
      </c>
      <c r="D328" s="7" t="s">
        <v>902</v>
      </c>
      <c r="E328" s="7" t="s">
        <v>956</v>
      </c>
      <c r="F328">
        <v>1269</v>
      </c>
      <c r="G328" s="6">
        <v>24308</v>
      </c>
      <c r="H328" s="11" t="s">
        <v>957</v>
      </c>
      <c r="I328" s="6">
        <v>54</v>
      </c>
      <c r="J328" s="6">
        <v>6</v>
      </c>
      <c r="K328" s="6">
        <v>17</v>
      </c>
      <c r="L328" s="6">
        <v>52</v>
      </c>
      <c r="M328" s="10">
        <f t="shared" si="15"/>
        <v>32.692307692307693</v>
      </c>
      <c r="N328" s="10">
        <f t="shared" si="16"/>
        <v>33</v>
      </c>
      <c r="O328" s="6" t="s">
        <v>73</v>
      </c>
      <c r="P328" s="6">
        <v>0</v>
      </c>
      <c r="Q328" s="6">
        <v>1</v>
      </c>
      <c r="R328" s="6">
        <v>1</v>
      </c>
      <c r="S328" s="6">
        <v>2</v>
      </c>
      <c r="T328" s="6" t="str">
        <f t="shared" si="17"/>
        <v>Quinta</v>
      </c>
    </row>
    <row r="329" spans="1:20">
      <c r="A329" s="7" t="s">
        <v>889</v>
      </c>
      <c r="B329" s="7" t="s">
        <v>507</v>
      </c>
      <c r="C329" s="8">
        <v>1</v>
      </c>
      <c r="D329" s="7" t="s">
        <v>902</v>
      </c>
      <c r="E329" s="7" t="s">
        <v>968</v>
      </c>
      <c r="F329">
        <v>1265</v>
      </c>
      <c r="G329" s="6">
        <v>26476</v>
      </c>
      <c r="H329" s="11" t="s">
        <v>969</v>
      </c>
      <c r="I329" s="6">
        <v>8</v>
      </c>
      <c r="J329" s="6">
        <v>10</v>
      </c>
      <c r="K329" s="6">
        <v>30</v>
      </c>
      <c r="L329" s="6">
        <v>67</v>
      </c>
      <c r="M329" s="10">
        <f t="shared" si="15"/>
        <v>44.776119402985074</v>
      </c>
      <c r="N329" s="10">
        <f t="shared" si="16"/>
        <v>45</v>
      </c>
      <c r="O329" s="6" t="s">
        <v>114</v>
      </c>
      <c r="P329" s="6">
        <v>3</v>
      </c>
      <c r="Q329" s="6">
        <v>0</v>
      </c>
      <c r="R329" s="6">
        <v>0</v>
      </c>
      <c r="S329" s="6">
        <v>3</v>
      </c>
      <c r="T329" s="6" t="str">
        <f t="shared" si="17"/>
        <v>Quinta</v>
      </c>
    </row>
    <row r="330" spans="1:20">
      <c r="A330" s="7" t="s">
        <v>889</v>
      </c>
      <c r="B330" s="7" t="s">
        <v>507</v>
      </c>
      <c r="C330" s="8">
        <v>1</v>
      </c>
      <c r="D330" s="7" t="s">
        <v>902</v>
      </c>
      <c r="E330" s="7" t="s">
        <v>970</v>
      </c>
      <c r="F330">
        <v>1756</v>
      </c>
      <c r="G330" s="6">
        <v>169</v>
      </c>
      <c r="H330" s="11" t="s">
        <v>971</v>
      </c>
      <c r="I330" s="6">
        <v>61</v>
      </c>
      <c r="J330" s="6">
        <v>56</v>
      </c>
      <c r="K330" s="6">
        <v>100</v>
      </c>
      <c r="L330" s="6">
        <v>37</v>
      </c>
      <c r="M330" s="10">
        <f t="shared" si="15"/>
        <v>270.27027027027026</v>
      </c>
      <c r="N330" s="10">
        <f t="shared" si="16"/>
        <v>271</v>
      </c>
      <c r="O330" s="6" t="s">
        <v>115</v>
      </c>
      <c r="P330" s="6">
        <v>1</v>
      </c>
      <c r="Q330" s="6">
        <v>4</v>
      </c>
      <c r="R330" s="6">
        <v>1</v>
      </c>
      <c r="S330" s="6">
        <v>6</v>
      </c>
      <c r="T330" s="6" t="str">
        <f t="shared" si="17"/>
        <v>Tercera</v>
      </c>
    </row>
    <row r="331" spans="1:20">
      <c r="A331" s="7" t="s">
        <v>889</v>
      </c>
      <c r="B331" s="7" t="s">
        <v>507</v>
      </c>
      <c r="C331" s="8">
        <v>1</v>
      </c>
      <c r="D331" s="7" t="s">
        <v>902</v>
      </c>
      <c r="E331" s="7" t="s">
        <v>958</v>
      </c>
      <c r="F331">
        <v>1353</v>
      </c>
      <c r="G331" s="6">
        <v>22278</v>
      </c>
      <c r="H331" s="11" t="s">
        <v>959</v>
      </c>
      <c r="I331" s="6">
        <v>50</v>
      </c>
      <c r="J331" s="6">
        <v>45</v>
      </c>
      <c r="K331" s="6">
        <v>125</v>
      </c>
      <c r="L331" s="6">
        <v>59</v>
      </c>
      <c r="M331" s="10">
        <f t="shared" si="15"/>
        <v>211.86440677966101</v>
      </c>
      <c r="N331" s="10">
        <f t="shared" si="16"/>
        <v>212</v>
      </c>
      <c r="O331" s="6" t="s">
        <v>37</v>
      </c>
      <c r="P331" s="6">
        <v>2</v>
      </c>
      <c r="Q331" s="6">
        <v>5</v>
      </c>
      <c r="R331" s="6">
        <v>5</v>
      </c>
      <c r="S331" s="6">
        <v>12</v>
      </c>
      <c r="T331" s="6" t="str">
        <f t="shared" si="17"/>
        <v>Quinta</v>
      </c>
    </row>
    <row r="332" spans="1:20">
      <c r="A332" s="7" t="s">
        <v>889</v>
      </c>
      <c r="B332" s="7" t="s">
        <v>507</v>
      </c>
      <c r="C332" s="8">
        <v>2</v>
      </c>
      <c r="D332" s="7" t="s">
        <v>911</v>
      </c>
      <c r="E332" s="7" t="s">
        <v>972</v>
      </c>
      <c r="F332">
        <v>1234</v>
      </c>
      <c r="G332" s="6">
        <v>10077</v>
      </c>
      <c r="H332" s="11" t="s">
        <v>973</v>
      </c>
      <c r="I332" s="6">
        <v>27</v>
      </c>
      <c r="J332" s="6">
        <v>22</v>
      </c>
      <c r="K332" s="6">
        <v>37</v>
      </c>
      <c r="L332" s="6">
        <v>40</v>
      </c>
      <c r="M332" s="10">
        <f t="shared" si="15"/>
        <v>92.5</v>
      </c>
      <c r="N332" s="10">
        <f t="shared" si="16"/>
        <v>93</v>
      </c>
      <c r="O332" s="6" t="s">
        <v>38</v>
      </c>
      <c r="P332" s="6">
        <v>1</v>
      </c>
      <c r="Q332" s="6">
        <v>1</v>
      </c>
      <c r="R332" s="6">
        <v>1</v>
      </c>
      <c r="S332" s="6">
        <v>3</v>
      </c>
      <c r="T332" s="6" t="str">
        <f t="shared" si="17"/>
        <v>Quinta</v>
      </c>
    </row>
    <row r="333" spans="1:20">
      <c r="A333" s="7" t="s">
        <v>889</v>
      </c>
      <c r="B333" s="7" t="s">
        <v>507</v>
      </c>
      <c r="C333" s="8">
        <v>2</v>
      </c>
      <c r="D333" s="7" t="s">
        <v>911</v>
      </c>
      <c r="E333" s="7" t="s">
        <v>974</v>
      </c>
      <c r="F333">
        <v>1345</v>
      </c>
      <c r="G333" s="6">
        <v>19663</v>
      </c>
      <c r="H333" s="11" t="s">
        <v>975</v>
      </c>
      <c r="I333" s="6">
        <v>47</v>
      </c>
      <c r="J333" s="6">
        <v>11</v>
      </c>
      <c r="K333" s="6">
        <v>30</v>
      </c>
      <c r="L333" s="6">
        <v>60</v>
      </c>
      <c r="M333" s="10">
        <f t="shared" si="15"/>
        <v>50</v>
      </c>
      <c r="N333" s="10">
        <f t="shared" si="16"/>
        <v>50</v>
      </c>
      <c r="O333" s="6" t="s">
        <v>43</v>
      </c>
      <c r="P333" s="6">
        <v>0</v>
      </c>
      <c r="Q333" s="6">
        <v>0</v>
      </c>
      <c r="R333" s="6">
        <v>2</v>
      </c>
      <c r="S333" s="6">
        <v>2</v>
      </c>
      <c r="T333" s="6" t="str">
        <f t="shared" si="17"/>
        <v>Quinta</v>
      </c>
    </row>
    <row r="334" spans="1:20">
      <c r="A334" s="7" t="s">
        <v>889</v>
      </c>
      <c r="B334" s="7" t="s">
        <v>507</v>
      </c>
      <c r="C334" s="8">
        <v>2</v>
      </c>
      <c r="D334" s="7" t="s">
        <v>911</v>
      </c>
      <c r="E334" s="7" t="s">
        <v>954</v>
      </c>
      <c r="F334">
        <v>1000</v>
      </c>
      <c r="G334" s="6">
        <v>13565</v>
      </c>
      <c r="H334" s="11" t="s">
        <v>955</v>
      </c>
      <c r="I334" s="6">
        <v>51</v>
      </c>
      <c r="J334" s="6">
        <v>0</v>
      </c>
      <c r="K334" s="6">
        <v>0</v>
      </c>
      <c r="L334" s="6">
        <v>0</v>
      </c>
      <c r="M334" s="10">
        <f t="shared" si="15"/>
        <v>0</v>
      </c>
      <c r="N334" s="10">
        <f t="shared" si="16"/>
        <v>0</v>
      </c>
      <c r="P334" s="6">
        <v>0</v>
      </c>
      <c r="Q334" s="6">
        <v>0</v>
      </c>
      <c r="R334" s="6">
        <v>0</v>
      </c>
      <c r="S334" s="6">
        <v>0</v>
      </c>
      <c r="T334" s="6" t="str">
        <f t="shared" si="17"/>
        <v>Septima</v>
      </c>
    </row>
    <row r="335" spans="1:20">
      <c r="A335" s="7" t="s">
        <v>889</v>
      </c>
      <c r="B335" s="7" t="s">
        <v>507</v>
      </c>
      <c r="C335" s="8">
        <v>2</v>
      </c>
      <c r="D335" s="7" t="s">
        <v>911</v>
      </c>
      <c r="E335" s="7" t="s">
        <v>976</v>
      </c>
      <c r="F335">
        <v>1285</v>
      </c>
      <c r="G335" s="6">
        <v>27229</v>
      </c>
      <c r="H335" s="11" t="s">
        <v>977</v>
      </c>
      <c r="I335" s="6">
        <v>49</v>
      </c>
      <c r="J335" s="6">
        <v>24</v>
      </c>
      <c r="K335" s="6">
        <v>75</v>
      </c>
      <c r="L335" s="6">
        <v>69</v>
      </c>
      <c r="M335" s="10">
        <f t="shared" si="15"/>
        <v>108.69565217391305</v>
      </c>
      <c r="N335" s="10">
        <f t="shared" si="16"/>
        <v>109</v>
      </c>
      <c r="O335" s="6" t="s">
        <v>43</v>
      </c>
      <c r="P335" s="6">
        <v>7</v>
      </c>
      <c r="Q335" s="6">
        <v>1</v>
      </c>
      <c r="R335" s="6">
        <v>7</v>
      </c>
      <c r="S335" s="6">
        <v>15</v>
      </c>
      <c r="T335" s="6" t="str">
        <f t="shared" si="17"/>
        <v>Quinta</v>
      </c>
    </row>
    <row r="336" spans="1:20">
      <c r="A336" s="7" t="s">
        <v>889</v>
      </c>
      <c r="B336" s="7" t="s">
        <v>507</v>
      </c>
      <c r="C336" s="8">
        <v>2</v>
      </c>
      <c r="D336" s="7" t="s">
        <v>911</v>
      </c>
      <c r="E336" s="7" t="s">
        <v>978</v>
      </c>
      <c r="F336">
        <v>1283</v>
      </c>
      <c r="G336" s="6">
        <v>24882</v>
      </c>
      <c r="H336" s="11" t="s">
        <v>979</v>
      </c>
      <c r="I336" s="6">
        <v>70</v>
      </c>
      <c r="J336" s="6">
        <v>53</v>
      </c>
      <c r="K336" s="6">
        <v>138</v>
      </c>
      <c r="L336" s="6">
        <v>61</v>
      </c>
      <c r="M336" s="10">
        <f t="shared" si="15"/>
        <v>226.2295081967213</v>
      </c>
      <c r="N336" s="10">
        <f t="shared" si="16"/>
        <v>227</v>
      </c>
      <c r="O336" s="6" t="s">
        <v>26</v>
      </c>
      <c r="P336" s="6">
        <v>5</v>
      </c>
      <c r="Q336" s="6">
        <v>4</v>
      </c>
      <c r="R336" s="6">
        <v>14</v>
      </c>
      <c r="S336" s="6">
        <v>23</v>
      </c>
      <c r="T336" s="6" t="str">
        <f t="shared" si="17"/>
        <v>Quinta</v>
      </c>
    </row>
    <row r="337" spans="1:20">
      <c r="A337" s="7" t="s">
        <v>889</v>
      </c>
      <c r="B337" s="7" t="s">
        <v>507</v>
      </c>
      <c r="C337" s="8">
        <v>2</v>
      </c>
      <c r="D337" s="7" t="s">
        <v>911</v>
      </c>
      <c r="E337" s="7" t="s">
        <v>980</v>
      </c>
      <c r="F337">
        <v>1253</v>
      </c>
      <c r="G337" s="6">
        <v>28691</v>
      </c>
      <c r="H337" s="11" t="s">
        <v>981</v>
      </c>
      <c r="I337" s="6">
        <v>50</v>
      </c>
      <c r="J337" s="6">
        <v>6</v>
      </c>
      <c r="K337" s="6">
        <v>24</v>
      </c>
      <c r="L337" s="6">
        <v>80</v>
      </c>
      <c r="M337" s="10">
        <f t="shared" si="15"/>
        <v>30</v>
      </c>
      <c r="N337" s="10">
        <f t="shared" si="16"/>
        <v>30</v>
      </c>
      <c r="O337" s="6" t="s">
        <v>106</v>
      </c>
      <c r="P337" s="6">
        <v>2</v>
      </c>
      <c r="Q337" s="6">
        <v>1</v>
      </c>
      <c r="R337" s="6">
        <v>0</v>
      </c>
      <c r="S337" s="6">
        <v>3</v>
      </c>
      <c r="T337" s="6" t="str">
        <f t="shared" si="17"/>
        <v>Quinta</v>
      </c>
    </row>
    <row r="338" spans="1:20">
      <c r="A338" s="7" t="s">
        <v>889</v>
      </c>
      <c r="B338" s="7" t="s">
        <v>507</v>
      </c>
      <c r="C338" s="8">
        <v>2</v>
      </c>
      <c r="D338" s="7" t="s">
        <v>911</v>
      </c>
      <c r="E338" s="7" t="s">
        <v>982</v>
      </c>
      <c r="F338">
        <v>1205</v>
      </c>
      <c r="G338" s="6">
        <v>3584</v>
      </c>
      <c r="H338" s="11" t="s">
        <v>983</v>
      </c>
      <c r="I338" s="6">
        <v>40</v>
      </c>
      <c r="J338" s="6">
        <v>70</v>
      </c>
      <c r="K338" s="6">
        <v>163</v>
      </c>
      <c r="L338" s="6">
        <v>51</v>
      </c>
      <c r="M338" s="10">
        <f t="shared" si="15"/>
        <v>319.60784313725492</v>
      </c>
      <c r="N338" s="10">
        <f t="shared" si="16"/>
        <v>320</v>
      </c>
      <c r="O338" s="6" t="s">
        <v>37</v>
      </c>
      <c r="P338" s="6">
        <v>5</v>
      </c>
      <c r="Q338" s="6">
        <v>3</v>
      </c>
      <c r="R338" s="6">
        <v>11</v>
      </c>
      <c r="S338" s="6">
        <v>19</v>
      </c>
      <c r="T338" s="6" t="str">
        <f t="shared" si="17"/>
        <v>Quinta</v>
      </c>
    </row>
    <row r="339" spans="1:20">
      <c r="A339" s="7" t="s">
        <v>889</v>
      </c>
      <c r="B339" s="7" t="s">
        <v>507</v>
      </c>
      <c r="C339" s="8">
        <v>2</v>
      </c>
      <c r="D339" s="7" t="s">
        <v>911</v>
      </c>
      <c r="E339" s="7" t="s">
        <v>984</v>
      </c>
      <c r="F339">
        <v>1000</v>
      </c>
      <c r="G339" s="6">
        <v>10120</v>
      </c>
      <c r="H339" s="11" t="s">
        <v>985</v>
      </c>
      <c r="I339" s="6">
        <v>26</v>
      </c>
      <c r="J339" s="6">
        <v>0</v>
      </c>
      <c r="K339" s="6">
        <v>0</v>
      </c>
      <c r="L339" s="6">
        <v>0</v>
      </c>
      <c r="M339" s="10">
        <f t="shared" si="15"/>
        <v>0</v>
      </c>
      <c r="N339" s="10">
        <f t="shared" si="16"/>
        <v>0</v>
      </c>
      <c r="P339" s="6">
        <v>0</v>
      </c>
      <c r="Q339" s="6">
        <v>0</v>
      </c>
      <c r="R339" s="6">
        <v>0</v>
      </c>
      <c r="S339" s="6">
        <v>0</v>
      </c>
      <c r="T339" s="6" t="str">
        <f t="shared" si="17"/>
        <v>Septima</v>
      </c>
    </row>
    <row r="340" spans="1:20">
      <c r="A340" s="7" t="s">
        <v>889</v>
      </c>
      <c r="B340" s="7" t="s">
        <v>526</v>
      </c>
      <c r="C340" s="8">
        <v>1</v>
      </c>
      <c r="D340" s="7" t="s">
        <v>902</v>
      </c>
      <c r="E340" s="7" t="s">
        <v>986</v>
      </c>
      <c r="F340">
        <v>1447</v>
      </c>
      <c r="G340" s="6">
        <v>7436</v>
      </c>
      <c r="H340" s="11" t="s">
        <v>987</v>
      </c>
      <c r="I340" s="6">
        <v>29</v>
      </c>
      <c r="J340" s="6">
        <v>5</v>
      </c>
      <c r="K340" s="6">
        <v>7</v>
      </c>
      <c r="L340" s="6">
        <v>39</v>
      </c>
      <c r="M340" s="10">
        <f t="shared" si="15"/>
        <v>17.948717948717949</v>
      </c>
      <c r="N340" s="10">
        <f t="shared" si="16"/>
        <v>18</v>
      </c>
      <c r="O340" s="6" t="s">
        <v>116</v>
      </c>
      <c r="P340" s="6">
        <v>0</v>
      </c>
      <c r="Q340" s="6">
        <v>0</v>
      </c>
      <c r="R340" s="6">
        <v>0</v>
      </c>
      <c r="S340" s="6">
        <v>0</v>
      </c>
      <c r="T340" s="6" t="str">
        <f t="shared" si="17"/>
        <v>Cuarta</v>
      </c>
    </row>
    <row r="341" spans="1:20">
      <c r="A341" s="7" t="s">
        <v>889</v>
      </c>
      <c r="B341" s="7" t="s">
        <v>526</v>
      </c>
      <c r="C341" s="8">
        <v>1</v>
      </c>
      <c r="D341" s="7" t="s">
        <v>902</v>
      </c>
      <c r="E341" s="7" t="s">
        <v>988</v>
      </c>
      <c r="F341">
        <v>983</v>
      </c>
      <c r="G341" s="6">
        <v>24892</v>
      </c>
      <c r="H341" s="11" t="s">
        <v>989</v>
      </c>
      <c r="I341" s="6">
        <v>12</v>
      </c>
      <c r="J341" s="6">
        <v>14</v>
      </c>
      <c r="K341" s="6">
        <v>14</v>
      </c>
      <c r="L341" s="6">
        <v>30</v>
      </c>
      <c r="M341" s="10">
        <f t="shared" si="15"/>
        <v>46.666666666666664</v>
      </c>
      <c r="N341" s="10">
        <f t="shared" si="16"/>
        <v>47</v>
      </c>
      <c r="O341" s="6" t="s">
        <v>37</v>
      </c>
      <c r="P341" s="6">
        <v>1</v>
      </c>
      <c r="Q341" s="6">
        <v>0</v>
      </c>
      <c r="R341" s="6">
        <v>0</v>
      </c>
      <c r="S341" s="6">
        <v>1</v>
      </c>
      <c r="T341" s="6" t="str">
        <f t="shared" si="17"/>
        <v>Septima</v>
      </c>
    </row>
    <row r="342" spans="1:20">
      <c r="A342" s="7" t="s">
        <v>889</v>
      </c>
      <c r="B342" s="7" t="s">
        <v>526</v>
      </c>
      <c r="C342" s="8">
        <v>1</v>
      </c>
      <c r="D342" s="7" t="s">
        <v>902</v>
      </c>
      <c r="E342" s="7" t="s">
        <v>990</v>
      </c>
      <c r="F342">
        <v>1374</v>
      </c>
      <c r="G342" s="6">
        <v>28725</v>
      </c>
      <c r="H342" s="11" t="s">
        <v>991</v>
      </c>
      <c r="I342" s="6">
        <v>13</v>
      </c>
      <c r="J342" s="6">
        <v>9</v>
      </c>
      <c r="K342" s="6">
        <v>38</v>
      </c>
      <c r="L342" s="6">
        <v>78</v>
      </c>
      <c r="M342" s="10">
        <f t="shared" si="15"/>
        <v>48.717948717948715</v>
      </c>
      <c r="N342" s="10">
        <f t="shared" si="16"/>
        <v>49</v>
      </c>
      <c r="O342" s="6" t="s">
        <v>12</v>
      </c>
      <c r="P342" s="6">
        <v>2</v>
      </c>
      <c r="Q342" s="6">
        <v>1</v>
      </c>
      <c r="R342" s="6">
        <v>1</v>
      </c>
      <c r="S342" s="6">
        <v>4</v>
      </c>
      <c r="T342" s="6" t="str">
        <f t="shared" si="17"/>
        <v>Quinta</v>
      </c>
    </row>
    <row r="343" spans="1:20">
      <c r="A343" s="7" t="s">
        <v>889</v>
      </c>
      <c r="B343" s="7" t="s">
        <v>526</v>
      </c>
      <c r="C343" s="8">
        <v>1</v>
      </c>
      <c r="D343" s="7" t="s">
        <v>902</v>
      </c>
      <c r="E343" s="7" t="s">
        <v>992</v>
      </c>
      <c r="F343">
        <v>960</v>
      </c>
      <c r="G343" s="6">
        <v>24872</v>
      </c>
      <c r="H343" s="11" t="s">
        <v>993</v>
      </c>
      <c r="I343" s="6">
        <v>54</v>
      </c>
      <c r="J343" s="6">
        <v>38</v>
      </c>
      <c r="K343" s="6">
        <v>53</v>
      </c>
      <c r="L343" s="6">
        <v>28</v>
      </c>
      <c r="M343" s="10">
        <f t="shared" si="15"/>
        <v>189.28571428571428</v>
      </c>
      <c r="N343" s="10">
        <f t="shared" si="16"/>
        <v>190</v>
      </c>
      <c r="O343" s="6" t="s">
        <v>37</v>
      </c>
      <c r="P343" s="6">
        <v>1</v>
      </c>
      <c r="Q343" s="6">
        <v>4</v>
      </c>
      <c r="R343" s="6">
        <v>4</v>
      </c>
      <c r="S343" s="6">
        <v>9</v>
      </c>
      <c r="T343" s="6" t="str">
        <f t="shared" si="17"/>
        <v>Octava</v>
      </c>
    </row>
    <row r="344" spans="1:20">
      <c r="A344" s="7" t="s">
        <v>889</v>
      </c>
      <c r="B344" s="7" t="s">
        <v>526</v>
      </c>
      <c r="C344" s="8">
        <v>1</v>
      </c>
      <c r="D344" s="7" t="s">
        <v>902</v>
      </c>
      <c r="E344" s="7" t="s">
        <v>994</v>
      </c>
      <c r="F344">
        <v>1013</v>
      </c>
      <c r="G344" s="6">
        <v>29532</v>
      </c>
      <c r="H344" s="11" t="s">
        <v>995</v>
      </c>
      <c r="I344" s="6">
        <v>57</v>
      </c>
      <c r="J344" s="6">
        <v>2</v>
      </c>
      <c r="K344" s="6">
        <v>8</v>
      </c>
      <c r="L344" s="6">
        <v>80</v>
      </c>
      <c r="M344" s="10">
        <f t="shared" si="15"/>
        <v>10</v>
      </c>
      <c r="N344" s="10">
        <f t="shared" si="16"/>
        <v>10</v>
      </c>
      <c r="O344" s="6" t="s">
        <v>37</v>
      </c>
      <c r="P344" s="6">
        <v>0</v>
      </c>
      <c r="Q344" s="6">
        <v>0</v>
      </c>
      <c r="R344" s="6">
        <v>1</v>
      </c>
      <c r="S344" s="6">
        <v>1</v>
      </c>
      <c r="T344" s="6" t="str">
        <f t="shared" si="17"/>
        <v>Septima</v>
      </c>
    </row>
    <row r="345" spans="1:20">
      <c r="A345" s="7" t="s">
        <v>889</v>
      </c>
      <c r="B345" s="7" t="s">
        <v>526</v>
      </c>
      <c r="C345" s="8">
        <v>1</v>
      </c>
      <c r="D345" s="7" t="s">
        <v>902</v>
      </c>
      <c r="E345" s="7" t="s">
        <v>996</v>
      </c>
      <c r="F345">
        <v>968</v>
      </c>
      <c r="G345" s="6">
        <v>29605</v>
      </c>
      <c r="H345" s="11" t="s">
        <v>997</v>
      </c>
      <c r="I345" s="6">
        <v>13</v>
      </c>
      <c r="J345" s="6">
        <v>2</v>
      </c>
      <c r="K345" s="6">
        <v>5</v>
      </c>
      <c r="L345" s="6">
        <v>63</v>
      </c>
      <c r="M345" s="10">
        <f t="shared" si="15"/>
        <v>7.9365079365079367</v>
      </c>
      <c r="N345" s="10">
        <f t="shared" si="16"/>
        <v>8</v>
      </c>
      <c r="O345" s="6" t="s">
        <v>20</v>
      </c>
      <c r="P345" s="6">
        <v>0</v>
      </c>
      <c r="Q345" s="6">
        <v>0</v>
      </c>
      <c r="R345" s="6">
        <v>1</v>
      </c>
      <c r="S345" s="6">
        <v>1</v>
      </c>
      <c r="T345" s="6" t="str">
        <f t="shared" si="17"/>
        <v>Octava</v>
      </c>
    </row>
    <row r="346" spans="1:20">
      <c r="A346" s="7" t="s">
        <v>889</v>
      </c>
      <c r="B346" s="7" t="s">
        <v>526</v>
      </c>
      <c r="C346" s="8">
        <v>1</v>
      </c>
      <c r="D346" s="7" t="s">
        <v>902</v>
      </c>
      <c r="E346" s="7" t="s">
        <v>998</v>
      </c>
      <c r="F346">
        <v>944</v>
      </c>
      <c r="G346" s="6">
        <v>24893</v>
      </c>
      <c r="H346" s="11" t="s">
        <v>999</v>
      </c>
      <c r="I346" s="6">
        <v>53</v>
      </c>
      <c r="J346" s="6">
        <v>2</v>
      </c>
      <c r="K346" s="6">
        <v>5</v>
      </c>
      <c r="L346" s="6">
        <v>50</v>
      </c>
      <c r="M346" s="10">
        <f t="shared" si="15"/>
        <v>10</v>
      </c>
      <c r="N346" s="10">
        <f t="shared" si="16"/>
        <v>10</v>
      </c>
      <c r="O346" s="6" t="s">
        <v>37</v>
      </c>
      <c r="P346" s="6">
        <v>0</v>
      </c>
      <c r="Q346" s="6">
        <v>1</v>
      </c>
      <c r="R346" s="6">
        <v>0</v>
      </c>
      <c r="S346" s="6">
        <v>1</v>
      </c>
      <c r="T346" s="6" t="str">
        <f t="shared" si="17"/>
        <v>Octava</v>
      </c>
    </row>
    <row r="347" spans="1:20">
      <c r="A347" s="7" t="s">
        <v>889</v>
      </c>
      <c r="B347" s="7" t="s">
        <v>526</v>
      </c>
      <c r="C347" s="8">
        <v>1</v>
      </c>
      <c r="D347" s="7" t="s">
        <v>902</v>
      </c>
      <c r="E347" s="7" t="s">
        <v>1000</v>
      </c>
      <c r="F347">
        <v>984</v>
      </c>
      <c r="G347" s="6">
        <v>25935</v>
      </c>
      <c r="H347" s="11" t="s">
        <v>1001</v>
      </c>
      <c r="I347" s="6">
        <v>12</v>
      </c>
      <c r="J347" s="6">
        <v>7</v>
      </c>
      <c r="K347" s="6">
        <v>9</v>
      </c>
      <c r="L347" s="6">
        <v>30</v>
      </c>
      <c r="M347" s="10">
        <f t="shared" si="15"/>
        <v>30</v>
      </c>
      <c r="N347" s="10">
        <f t="shared" si="16"/>
        <v>30</v>
      </c>
      <c r="O347" s="6" t="s">
        <v>37</v>
      </c>
      <c r="P347" s="6">
        <v>0</v>
      </c>
      <c r="Q347" s="6">
        <v>1</v>
      </c>
      <c r="R347" s="6">
        <v>1</v>
      </c>
      <c r="S347" s="6">
        <v>2</v>
      </c>
      <c r="T347" s="6" t="str">
        <f t="shared" si="17"/>
        <v>Septima</v>
      </c>
    </row>
    <row r="348" spans="1:20">
      <c r="A348" s="7" t="s">
        <v>889</v>
      </c>
      <c r="B348" s="7" t="s">
        <v>526</v>
      </c>
      <c r="C348" s="8">
        <v>2</v>
      </c>
      <c r="D348" s="7" t="s">
        <v>911</v>
      </c>
      <c r="E348" s="7" t="s">
        <v>984</v>
      </c>
      <c r="F348">
        <v>1000</v>
      </c>
      <c r="G348" s="6">
        <v>10120</v>
      </c>
      <c r="H348" s="11" t="s">
        <v>985</v>
      </c>
      <c r="I348" s="6">
        <v>26</v>
      </c>
      <c r="J348" s="6">
        <v>0</v>
      </c>
      <c r="K348" s="6">
        <v>0</v>
      </c>
      <c r="L348" s="6">
        <v>0</v>
      </c>
      <c r="M348" s="10">
        <f t="shared" si="15"/>
        <v>0</v>
      </c>
      <c r="N348" s="10">
        <f t="shared" si="16"/>
        <v>0</v>
      </c>
      <c r="P348" s="6">
        <v>0</v>
      </c>
      <c r="Q348" s="6">
        <v>0</v>
      </c>
      <c r="R348" s="6">
        <v>0</v>
      </c>
      <c r="S348" s="6">
        <v>0</v>
      </c>
      <c r="T348" s="6" t="str">
        <f t="shared" si="17"/>
        <v>Septima</v>
      </c>
    </row>
    <row r="349" spans="1:20">
      <c r="A349" s="7" t="s">
        <v>889</v>
      </c>
      <c r="B349" s="7" t="s">
        <v>526</v>
      </c>
      <c r="C349" s="8">
        <v>2</v>
      </c>
      <c r="D349" s="7" t="s">
        <v>911</v>
      </c>
      <c r="E349" s="7" t="s">
        <v>1002</v>
      </c>
      <c r="F349">
        <v>1324</v>
      </c>
      <c r="G349" s="6">
        <v>18582</v>
      </c>
      <c r="H349" s="11" t="s">
        <v>1003</v>
      </c>
      <c r="I349" s="6">
        <v>31</v>
      </c>
      <c r="J349" s="6">
        <v>36</v>
      </c>
      <c r="K349" s="6">
        <v>68</v>
      </c>
      <c r="L349" s="6">
        <v>46</v>
      </c>
      <c r="M349" s="10">
        <f t="shared" si="15"/>
        <v>147.82608695652175</v>
      </c>
      <c r="N349" s="10">
        <f t="shared" si="16"/>
        <v>148</v>
      </c>
      <c r="O349" s="6" t="s">
        <v>93</v>
      </c>
      <c r="P349" s="6">
        <v>2</v>
      </c>
      <c r="Q349" s="6">
        <v>1</v>
      </c>
      <c r="R349" s="6">
        <v>4</v>
      </c>
      <c r="S349" s="6">
        <v>7</v>
      </c>
      <c r="T349" s="6" t="str">
        <f t="shared" si="17"/>
        <v>Quinta</v>
      </c>
    </row>
    <row r="350" spans="1:20">
      <c r="A350" s="7" t="s">
        <v>889</v>
      </c>
      <c r="B350" s="7" t="s">
        <v>526</v>
      </c>
      <c r="C350" s="8">
        <v>2</v>
      </c>
      <c r="D350" s="7" t="s">
        <v>911</v>
      </c>
      <c r="E350" s="7" t="s">
        <v>1004</v>
      </c>
      <c r="F350">
        <v>1119</v>
      </c>
      <c r="G350" s="6">
        <v>25890</v>
      </c>
      <c r="H350" s="11" t="s">
        <v>1005</v>
      </c>
      <c r="I350" s="6">
        <v>42</v>
      </c>
      <c r="J350" s="6">
        <v>8</v>
      </c>
      <c r="K350" s="6">
        <v>21</v>
      </c>
      <c r="L350" s="6">
        <v>62</v>
      </c>
      <c r="M350" s="10">
        <f t="shared" si="15"/>
        <v>33.87096774193548</v>
      </c>
      <c r="N350" s="10">
        <f t="shared" si="16"/>
        <v>34</v>
      </c>
      <c r="O350" s="6" t="s">
        <v>43</v>
      </c>
      <c r="P350" s="6">
        <v>0</v>
      </c>
      <c r="Q350" s="6">
        <v>2</v>
      </c>
      <c r="R350" s="6">
        <v>1</v>
      </c>
      <c r="S350" s="6">
        <v>3</v>
      </c>
      <c r="T350" s="6" t="str">
        <f t="shared" si="17"/>
        <v>Sexta</v>
      </c>
    </row>
    <row r="351" spans="1:20">
      <c r="A351" s="7" t="s">
        <v>889</v>
      </c>
      <c r="B351" s="7" t="s">
        <v>526</v>
      </c>
      <c r="C351" s="8">
        <v>2</v>
      </c>
      <c r="D351" s="7" t="s">
        <v>911</v>
      </c>
      <c r="E351" s="7" t="s">
        <v>1006</v>
      </c>
      <c r="F351">
        <v>1370</v>
      </c>
      <c r="G351" s="6">
        <v>9927</v>
      </c>
      <c r="H351" s="11" t="s">
        <v>1007</v>
      </c>
      <c r="I351" s="6">
        <v>43</v>
      </c>
      <c r="J351" s="6">
        <v>3</v>
      </c>
      <c r="K351" s="6">
        <v>8</v>
      </c>
      <c r="L351" s="6">
        <v>67</v>
      </c>
      <c r="M351" s="10">
        <f t="shared" si="15"/>
        <v>11.940298507462687</v>
      </c>
      <c r="N351" s="10">
        <f t="shared" si="16"/>
        <v>12</v>
      </c>
      <c r="O351" s="6" t="s">
        <v>117</v>
      </c>
      <c r="P351" s="6">
        <v>0</v>
      </c>
      <c r="Q351" s="6">
        <v>0</v>
      </c>
      <c r="R351" s="6">
        <v>1</v>
      </c>
      <c r="S351" s="6">
        <v>1</v>
      </c>
      <c r="T351" s="6" t="str">
        <f t="shared" si="17"/>
        <v>Quinta</v>
      </c>
    </row>
    <row r="352" spans="1:20">
      <c r="A352" s="7" t="s">
        <v>889</v>
      </c>
      <c r="B352" s="7" t="s">
        <v>526</v>
      </c>
      <c r="C352" s="8">
        <v>2</v>
      </c>
      <c r="D352" s="7" t="s">
        <v>911</v>
      </c>
      <c r="E352" s="7" t="s">
        <v>1008</v>
      </c>
      <c r="F352">
        <v>1165</v>
      </c>
      <c r="G352" s="6">
        <v>27152</v>
      </c>
      <c r="H352" s="11" t="s">
        <v>1009</v>
      </c>
      <c r="I352" s="6">
        <v>56</v>
      </c>
      <c r="J352" s="6">
        <v>37</v>
      </c>
      <c r="K352" s="6">
        <v>77</v>
      </c>
      <c r="L352" s="6">
        <v>45</v>
      </c>
      <c r="M352" s="10">
        <f t="shared" si="15"/>
        <v>171.11111111111111</v>
      </c>
      <c r="N352" s="10">
        <f t="shared" si="16"/>
        <v>172</v>
      </c>
      <c r="O352" s="6" t="s">
        <v>12</v>
      </c>
      <c r="P352" s="6">
        <v>3</v>
      </c>
      <c r="Q352" s="6">
        <v>3</v>
      </c>
      <c r="R352" s="6">
        <v>6</v>
      </c>
      <c r="S352" s="6">
        <v>12</v>
      </c>
      <c r="T352" s="6" t="str">
        <f t="shared" si="17"/>
        <v>Sexta</v>
      </c>
    </row>
    <row r="353" spans="1:20">
      <c r="A353" s="7" t="s">
        <v>889</v>
      </c>
      <c r="B353" s="7" t="s">
        <v>526</v>
      </c>
      <c r="C353" s="8">
        <v>2</v>
      </c>
      <c r="D353" s="7" t="s">
        <v>911</v>
      </c>
      <c r="E353" s="7" t="s">
        <v>1010</v>
      </c>
      <c r="F353">
        <v>1026</v>
      </c>
      <c r="G353" s="6">
        <v>28703</v>
      </c>
      <c r="H353" s="11" t="s">
        <v>1011</v>
      </c>
      <c r="I353" s="6">
        <v>49</v>
      </c>
      <c r="J353" s="6">
        <v>3</v>
      </c>
      <c r="K353" s="6">
        <v>6</v>
      </c>
      <c r="L353" s="6">
        <v>55</v>
      </c>
      <c r="M353" s="10">
        <f t="shared" si="15"/>
        <v>10.909090909090908</v>
      </c>
      <c r="N353" s="10">
        <f t="shared" si="16"/>
        <v>11</v>
      </c>
      <c r="O353" s="6" t="s">
        <v>22</v>
      </c>
      <c r="P353" s="6">
        <v>0</v>
      </c>
      <c r="Q353" s="6">
        <v>1</v>
      </c>
      <c r="R353" s="6">
        <v>0</v>
      </c>
      <c r="S353" s="6">
        <v>1</v>
      </c>
      <c r="T353" s="6" t="str">
        <f t="shared" si="17"/>
        <v>Septima</v>
      </c>
    </row>
    <row r="354" spans="1:20">
      <c r="A354" s="7" t="s">
        <v>889</v>
      </c>
      <c r="B354" s="7" t="s">
        <v>526</v>
      </c>
      <c r="C354" s="8">
        <v>2</v>
      </c>
      <c r="D354" s="7" t="s">
        <v>911</v>
      </c>
      <c r="E354" s="7" t="s">
        <v>1012</v>
      </c>
      <c r="F354">
        <v>1133</v>
      </c>
      <c r="G354" s="6">
        <v>27024</v>
      </c>
      <c r="H354" s="11" t="s">
        <v>1013</v>
      </c>
      <c r="I354" s="6">
        <v>51</v>
      </c>
      <c r="J354" s="6">
        <v>12</v>
      </c>
      <c r="K354" s="6">
        <v>27</v>
      </c>
      <c r="L354" s="6">
        <v>54</v>
      </c>
      <c r="M354" s="10">
        <f t="shared" si="15"/>
        <v>50</v>
      </c>
      <c r="N354" s="10">
        <f t="shared" si="16"/>
        <v>50</v>
      </c>
      <c r="O354" s="6" t="s">
        <v>26</v>
      </c>
      <c r="P354" s="6">
        <v>1</v>
      </c>
      <c r="Q354" s="6">
        <v>1</v>
      </c>
      <c r="R354" s="6">
        <v>2</v>
      </c>
      <c r="S354" s="6">
        <v>4</v>
      </c>
      <c r="T354" s="6" t="str">
        <f t="shared" si="17"/>
        <v>Sexta</v>
      </c>
    </row>
    <row r="355" spans="1:20">
      <c r="A355" s="7" t="s">
        <v>889</v>
      </c>
      <c r="B355" s="7" t="s">
        <v>526</v>
      </c>
      <c r="C355" s="8">
        <v>2</v>
      </c>
      <c r="D355" s="7" t="s">
        <v>911</v>
      </c>
      <c r="E355" s="7" t="s">
        <v>1014</v>
      </c>
      <c r="F355">
        <v>1107</v>
      </c>
      <c r="G355" s="6">
        <v>27409</v>
      </c>
      <c r="H355" s="11" t="s">
        <v>1015</v>
      </c>
      <c r="I355" s="6">
        <v>55</v>
      </c>
      <c r="J355" s="6">
        <v>29</v>
      </c>
      <c r="K355" s="6">
        <v>54</v>
      </c>
      <c r="L355" s="6">
        <v>43</v>
      </c>
      <c r="M355" s="10">
        <f t="shared" si="15"/>
        <v>125.58139534883721</v>
      </c>
      <c r="N355" s="10">
        <f t="shared" si="16"/>
        <v>126</v>
      </c>
      <c r="O355" s="6" t="s">
        <v>26</v>
      </c>
      <c r="P355" s="6">
        <v>2</v>
      </c>
      <c r="Q355" s="6">
        <v>2</v>
      </c>
      <c r="R355" s="6">
        <v>4</v>
      </c>
      <c r="S355" s="6">
        <v>8</v>
      </c>
      <c r="T355" s="6" t="str">
        <f t="shared" si="17"/>
        <v>Sexta</v>
      </c>
    </row>
    <row r="356" spans="1:20">
      <c r="A356" s="7" t="s">
        <v>1016</v>
      </c>
      <c r="B356" s="7" t="s">
        <v>468</v>
      </c>
      <c r="C356" s="8">
        <v>1</v>
      </c>
      <c r="D356" s="7" t="s">
        <v>1016</v>
      </c>
      <c r="E356" s="7" t="s">
        <v>1017</v>
      </c>
      <c r="F356">
        <v>1812</v>
      </c>
      <c r="G356" s="6">
        <v>24231</v>
      </c>
      <c r="H356" s="11" t="s">
        <v>1018</v>
      </c>
      <c r="I356" s="6">
        <v>17</v>
      </c>
      <c r="J356" s="6">
        <v>79</v>
      </c>
      <c r="K356" s="6">
        <v>232</v>
      </c>
      <c r="L356" s="6">
        <v>64</v>
      </c>
      <c r="M356" s="10">
        <f t="shared" si="15"/>
        <v>362.5</v>
      </c>
      <c r="N356" s="10">
        <f t="shared" si="16"/>
        <v>363</v>
      </c>
      <c r="O356" s="6" t="s">
        <v>18</v>
      </c>
      <c r="P356" s="6">
        <v>13</v>
      </c>
      <c r="Q356" s="6">
        <v>14</v>
      </c>
      <c r="R356" s="6">
        <v>11</v>
      </c>
      <c r="S356" s="6">
        <v>38</v>
      </c>
      <c r="T356" s="6" t="str">
        <f t="shared" si="17"/>
        <v>Segunda</v>
      </c>
    </row>
    <row r="357" spans="1:20">
      <c r="A357" s="7" t="s">
        <v>1016</v>
      </c>
      <c r="B357" s="7" t="s">
        <v>468</v>
      </c>
      <c r="C357" s="8">
        <v>1</v>
      </c>
      <c r="D357" s="7" t="s">
        <v>1016</v>
      </c>
      <c r="E357" s="7" t="s">
        <v>1019</v>
      </c>
      <c r="F357">
        <v>1725</v>
      </c>
      <c r="G357" s="6">
        <v>17142</v>
      </c>
      <c r="H357" s="11" t="s">
        <v>1020</v>
      </c>
      <c r="I357" s="6">
        <v>34</v>
      </c>
      <c r="J357" s="6">
        <v>116</v>
      </c>
      <c r="K357" s="6">
        <v>354</v>
      </c>
      <c r="L357" s="6">
        <v>57</v>
      </c>
      <c r="M357" s="10">
        <f t="shared" si="15"/>
        <v>621.0526315789474</v>
      </c>
      <c r="N357" s="10">
        <f t="shared" si="16"/>
        <v>622</v>
      </c>
      <c r="O357" s="6" t="s">
        <v>12</v>
      </c>
      <c r="P357" s="6">
        <v>16</v>
      </c>
      <c r="Q357" s="6">
        <v>14</v>
      </c>
      <c r="R357" s="6">
        <v>23</v>
      </c>
      <c r="S357" s="6">
        <v>53</v>
      </c>
      <c r="T357" s="6" t="str">
        <f t="shared" si="17"/>
        <v>Tercera</v>
      </c>
    </row>
    <row r="358" spans="1:20">
      <c r="A358" s="7" t="s">
        <v>1016</v>
      </c>
      <c r="B358" s="7" t="s">
        <v>468</v>
      </c>
      <c r="C358" s="8">
        <v>1</v>
      </c>
      <c r="D358" s="7" t="s">
        <v>1016</v>
      </c>
      <c r="E358" s="7" t="s">
        <v>1021</v>
      </c>
      <c r="F358">
        <v>1608</v>
      </c>
      <c r="G358" s="6">
        <v>19929</v>
      </c>
      <c r="H358" s="11" t="s">
        <v>1022</v>
      </c>
      <c r="I358" s="6">
        <v>15</v>
      </c>
      <c r="J358" s="6">
        <v>86</v>
      </c>
      <c r="K358" s="6">
        <v>207</v>
      </c>
      <c r="L358" s="6">
        <v>54</v>
      </c>
      <c r="M358" s="10">
        <f t="shared" si="15"/>
        <v>383.33333333333331</v>
      </c>
      <c r="N358" s="10">
        <f t="shared" si="16"/>
        <v>384</v>
      </c>
      <c r="O358" s="6" t="s">
        <v>18</v>
      </c>
      <c r="P358" s="6">
        <v>5</v>
      </c>
      <c r="Q358" s="6">
        <v>13</v>
      </c>
      <c r="R358" s="6">
        <v>12</v>
      </c>
      <c r="S358" s="6">
        <v>30</v>
      </c>
      <c r="T358" s="6" t="str">
        <f t="shared" si="17"/>
        <v>Tercera</v>
      </c>
    </row>
    <row r="359" spans="1:20">
      <c r="A359" s="7" t="s">
        <v>1016</v>
      </c>
      <c r="B359" s="7" t="s">
        <v>468</v>
      </c>
      <c r="C359" s="8">
        <v>1</v>
      </c>
      <c r="D359" s="7" t="s">
        <v>1016</v>
      </c>
      <c r="E359" s="7" t="s">
        <v>1023</v>
      </c>
      <c r="F359">
        <v>1605</v>
      </c>
      <c r="G359" s="6">
        <v>22958</v>
      </c>
      <c r="H359" s="11" t="s">
        <v>1024</v>
      </c>
      <c r="I359" s="6">
        <v>63</v>
      </c>
      <c r="J359" s="6">
        <v>18</v>
      </c>
      <c r="K359" s="6">
        <v>52</v>
      </c>
      <c r="L359" s="6">
        <v>68</v>
      </c>
      <c r="M359" s="10">
        <f t="shared" si="15"/>
        <v>76.470588235294116</v>
      </c>
      <c r="N359" s="10">
        <f t="shared" si="16"/>
        <v>77</v>
      </c>
      <c r="O359" s="6" t="s">
        <v>30</v>
      </c>
      <c r="P359" s="6">
        <v>4</v>
      </c>
      <c r="Q359" s="6">
        <v>2</v>
      </c>
      <c r="R359" s="6">
        <v>2</v>
      </c>
      <c r="S359" s="6">
        <v>8</v>
      </c>
      <c r="T359" s="6" t="str">
        <f t="shared" si="17"/>
        <v>Tercera</v>
      </c>
    </row>
    <row r="360" spans="1:20">
      <c r="A360" s="7" t="s">
        <v>1016</v>
      </c>
      <c r="B360" s="7" t="s">
        <v>468</v>
      </c>
      <c r="C360" s="8">
        <v>1</v>
      </c>
      <c r="D360" s="7" t="s">
        <v>1016</v>
      </c>
      <c r="E360" s="7" t="s">
        <v>1025</v>
      </c>
      <c r="F360">
        <v>1838</v>
      </c>
      <c r="G360" s="6">
        <v>22067</v>
      </c>
      <c r="H360" s="11" t="s">
        <v>1026</v>
      </c>
      <c r="I360" s="6">
        <v>22</v>
      </c>
      <c r="J360" s="6">
        <v>52</v>
      </c>
      <c r="K360" s="6">
        <v>151</v>
      </c>
      <c r="L360" s="6">
        <v>65</v>
      </c>
      <c r="M360" s="10">
        <f t="shared" si="15"/>
        <v>232.30769230769232</v>
      </c>
      <c r="N360" s="10">
        <f t="shared" si="16"/>
        <v>233</v>
      </c>
      <c r="O360" s="6" t="s">
        <v>18</v>
      </c>
      <c r="P360" s="6">
        <v>8</v>
      </c>
      <c r="Q360" s="6">
        <v>4</v>
      </c>
      <c r="R360" s="6">
        <v>11</v>
      </c>
      <c r="S360" s="6">
        <v>23</v>
      </c>
      <c r="T360" s="6" t="str">
        <f t="shared" si="17"/>
        <v>Segunda</v>
      </c>
    </row>
    <row r="361" spans="1:20">
      <c r="A361" s="7" t="s">
        <v>1016</v>
      </c>
      <c r="B361" s="7" t="s">
        <v>468</v>
      </c>
      <c r="C361" s="8">
        <v>1</v>
      </c>
      <c r="D361" s="7" t="s">
        <v>1016</v>
      </c>
      <c r="E361" s="7" t="s">
        <v>1027</v>
      </c>
      <c r="F361">
        <v>1235</v>
      </c>
      <c r="G361" s="6">
        <v>8533</v>
      </c>
      <c r="H361" s="11" t="s">
        <v>1028</v>
      </c>
      <c r="I361" s="6">
        <v>33</v>
      </c>
      <c r="J361" s="6">
        <v>2</v>
      </c>
      <c r="K361" s="6">
        <v>0</v>
      </c>
      <c r="L361" s="6">
        <v>0</v>
      </c>
      <c r="M361" s="10">
        <f t="shared" si="15"/>
        <v>0</v>
      </c>
      <c r="N361" s="10">
        <f t="shared" si="16"/>
        <v>0</v>
      </c>
      <c r="O361" s="6" t="s">
        <v>118</v>
      </c>
      <c r="P361" s="6">
        <v>0</v>
      </c>
      <c r="Q361" s="6">
        <v>0</v>
      </c>
      <c r="R361" s="6">
        <v>0</v>
      </c>
      <c r="S361" s="6">
        <v>0</v>
      </c>
      <c r="T361" s="6" t="str">
        <f t="shared" si="17"/>
        <v>Quinta</v>
      </c>
    </row>
    <row r="362" spans="1:20">
      <c r="A362" s="7" t="s">
        <v>1016</v>
      </c>
      <c r="B362" s="7" t="s">
        <v>468</v>
      </c>
      <c r="C362" s="8">
        <v>1</v>
      </c>
      <c r="D362" s="7" t="s">
        <v>1016</v>
      </c>
      <c r="E362" s="7" t="s">
        <v>1029</v>
      </c>
      <c r="F362">
        <v>1593</v>
      </c>
      <c r="G362" s="6">
        <v>21729</v>
      </c>
      <c r="H362" s="11" t="s">
        <v>1030</v>
      </c>
      <c r="I362" s="6">
        <v>47</v>
      </c>
      <c r="J362" s="6">
        <v>54</v>
      </c>
      <c r="K362" s="6">
        <v>157</v>
      </c>
      <c r="L362" s="6">
        <v>54</v>
      </c>
      <c r="M362" s="10">
        <f t="shared" si="15"/>
        <v>290.74074074074076</v>
      </c>
      <c r="N362" s="10">
        <f t="shared" si="16"/>
        <v>291</v>
      </c>
      <c r="O362" s="6" t="s">
        <v>69</v>
      </c>
      <c r="P362" s="6">
        <v>8</v>
      </c>
      <c r="Q362" s="6">
        <v>9</v>
      </c>
      <c r="R362" s="6">
        <v>6</v>
      </c>
      <c r="S362" s="6">
        <v>23</v>
      </c>
      <c r="T362" s="6" t="str">
        <f t="shared" si="17"/>
        <v>Cuarta</v>
      </c>
    </row>
    <row r="363" spans="1:20">
      <c r="A363" s="7" t="s">
        <v>1016</v>
      </c>
      <c r="B363" s="7" t="s">
        <v>507</v>
      </c>
      <c r="C363" s="8">
        <v>1</v>
      </c>
      <c r="D363" s="7" t="s">
        <v>1031</v>
      </c>
      <c r="E363" s="7" t="s">
        <v>1032</v>
      </c>
      <c r="F363">
        <v>1221</v>
      </c>
      <c r="G363" s="6">
        <v>14287</v>
      </c>
      <c r="H363" s="11" t="s">
        <v>1033</v>
      </c>
      <c r="I363" s="6">
        <v>53</v>
      </c>
      <c r="J363" s="6">
        <v>98</v>
      </c>
      <c r="K363" s="6">
        <v>206</v>
      </c>
      <c r="L363" s="6">
        <v>50</v>
      </c>
      <c r="M363" s="10">
        <f t="shared" si="15"/>
        <v>412</v>
      </c>
      <c r="N363" s="10">
        <f t="shared" si="16"/>
        <v>412</v>
      </c>
      <c r="O363" s="6" t="s">
        <v>118</v>
      </c>
      <c r="P363" s="6">
        <v>5</v>
      </c>
      <c r="Q363" s="6">
        <v>5</v>
      </c>
      <c r="R363" s="6">
        <v>14</v>
      </c>
      <c r="S363" s="6">
        <v>24</v>
      </c>
      <c r="T363" s="6" t="str">
        <f t="shared" si="17"/>
        <v>Quinta</v>
      </c>
    </row>
    <row r="364" spans="1:20">
      <c r="A364" s="7" t="s">
        <v>1016</v>
      </c>
      <c r="B364" s="7" t="s">
        <v>507</v>
      </c>
      <c r="C364" s="8">
        <v>1</v>
      </c>
      <c r="D364" s="7" t="s">
        <v>1031</v>
      </c>
      <c r="E364" s="7" t="s">
        <v>1034</v>
      </c>
      <c r="F364">
        <v>1340</v>
      </c>
      <c r="G364" s="6">
        <v>27740</v>
      </c>
      <c r="H364" s="11" t="s">
        <v>1035</v>
      </c>
      <c r="I364" s="6">
        <v>13</v>
      </c>
      <c r="J364" s="6">
        <v>9</v>
      </c>
      <c r="K364" s="6">
        <v>31</v>
      </c>
      <c r="L364" s="6">
        <v>60</v>
      </c>
      <c r="M364" s="10">
        <f t="shared" si="15"/>
        <v>51.666666666666664</v>
      </c>
      <c r="N364" s="10">
        <f t="shared" si="16"/>
        <v>52</v>
      </c>
      <c r="O364" s="6" t="s">
        <v>37</v>
      </c>
      <c r="P364" s="6">
        <v>2</v>
      </c>
      <c r="Q364" s="6">
        <v>0</v>
      </c>
      <c r="R364" s="6">
        <v>1</v>
      </c>
      <c r="S364" s="6">
        <v>3</v>
      </c>
      <c r="T364" s="6" t="str">
        <f t="shared" si="17"/>
        <v>Quinta</v>
      </c>
    </row>
    <row r="365" spans="1:20">
      <c r="A365" s="7" t="s">
        <v>1016</v>
      </c>
      <c r="B365" s="7" t="s">
        <v>507</v>
      </c>
      <c r="C365" s="8">
        <v>1</v>
      </c>
      <c r="D365" s="7" t="s">
        <v>1031</v>
      </c>
      <c r="E365" s="7" t="s">
        <v>1036</v>
      </c>
      <c r="F365">
        <v>1279</v>
      </c>
      <c r="G365" s="6">
        <v>28090</v>
      </c>
      <c r="H365" s="11" t="s">
        <v>1037</v>
      </c>
      <c r="I365" s="6">
        <v>19</v>
      </c>
      <c r="J365" s="6">
        <v>20</v>
      </c>
      <c r="K365" s="6">
        <v>44</v>
      </c>
      <c r="L365" s="6">
        <v>49</v>
      </c>
      <c r="M365" s="10">
        <f t="shared" si="15"/>
        <v>89.795918367346943</v>
      </c>
      <c r="N365" s="10">
        <f t="shared" si="16"/>
        <v>90</v>
      </c>
      <c r="O365" s="6" t="s">
        <v>37</v>
      </c>
      <c r="P365" s="6">
        <v>1</v>
      </c>
      <c r="Q365" s="6">
        <v>1</v>
      </c>
      <c r="R365" s="6">
        <v>3</v>
      </c>
      <c r="S365" s="6">
        <v>5</v>
      </c>
      <c r="T365" s="6" t="str">
        <f t="shared" si="17"/>
        <v>Quinta</v>
      </c>
    </row>
    <row r="366" spans="1:20">
      <c r="A366" s="7" t="s">
        <v>1016</v>
      </c>
      <c r="B366" s="7" t="s">
        <v>507</v>
      </c>
      <c r="C366" s="8">
        <v>1</v>
      </c>
      <c r="D366" s="7" t="s">
        <v>1031</v>
      </c>
      <c r="E366" s="7" t="s">
        <v>1038</v>
      </c>
      <c r="F366">
        <v>1281</v>
      </c>
      <c r="G366" s="6">
        <v>23153</v>
      </c>
      <c r="H366" s="11" t="s">
        <v>1039</v>
      </c>
      <c r="I366" s="6">
        <v>30</v>
      </c>
      <c r="J366" s="6">
        <v>131</v>
      </c>
      <c r="K366" s="6">
        <v>200</v>
      </c>
      <c r="L366" s="6">
        <v>36</v>
      </c>
      <c r="M366" s="10">
        <f t="shared" si="15"/>
        <v>555.55555555555554</v>
      </c>
      <c r="N366" s="10">
        <f t="shared" si="16"/>
        <v>556</v>
      </c>
      <c r="O366" s="6" t="s">
        <v>37</v>
      </c>
      <c r="P366" s="6">
        <v>3</v>
      </c>
      <c r="Q366" s="6">
        <v>8</v>
      </c>
      <c r="R366" s="6">
        <v>9</v>
      </c>
      <c r="S366" s="6">
        <v>20</v>
      </c>
      <c r="T366" s="6" t="str">
        <f t="shared" si="17"/>
        <v>Quinta</v>
      </c>
    </row>
    <row r="367" spans="1:20">
      <c r="A367" s="7" t="s">
        <v>1016</v>
      </c>
      <c r="B367" s="7" t="s">
        <v>507</v>
      </c>
      <c r="C367" s="8">
        <v>1</v>
      </c>
      <c r="D367" s="7" t="s">
        <v>1031</v>
      </c>
      <c r="E367" s="7" t="s">
        <v>1040</v>
      </c>
      <c r="F367">
        <v>1203</v>
      </c>
      <c r="G367" s="6">
        <v>27448</v>
      </c>
      <c r="H367" s="11" t="s">
        <v>1041</v>
      </c>
      <c r="I367" s="6">
        <v>47</v>
      </c>
      <c r="J367" s="6">
        <v>12</v>
      </c>
      <c r="K367" s="6">
        <v>33</v>
      </c>
      <c r="L367" s="6">
        <v>55</v>
      </c>
      <c r="M367" s="10">
        <f t="shared" si="15"/>
        <v>60</v>
      </c>
      <c r="N367" s="10">
        <f t="shared" si="16"/>
        <v>60</v>
      </c>
      <c r="O367" s="6" t="s">
        <v>43</v>
      </c>
      <c r="P367" s="6">
        <v>1</v>
      </c>
      <c r="Q367" s="6">
        <v>3</v>
      </c>
      <c r="R367" s="6">
        <v>0</v>
      </c>
      <c r="S367" s="6">
        <v>4</v>
      </c>
      <c r="T367" s="6" t="str">
        <f t="shared" si="17"/>
        <v>Quinta</v>
      </c>
    </row>
    <row r="368" spans="1:20" ht="24">
      <c r="A368" s="7" t="s">
        <v>1016</v>
      </c>
      <c r="B368" s="7" t="s">
        <v>507</v>
      </c>
      <c r="C368" s="8">
        <v>1</v>
      </c>
      <c r="D368" s="7" t="s">
        <v>1031</v>
      </c>
      <c r="E368" s="7" t="s">
        <v>1042</v>
      </c>
      <c r="F368">
        <v>1000</v>
      </c>
      <c r="G368" s="6">
        <v>18514</v>
      </c>
      <c r="H368" s="11" t="s">
        <v>1043</v>
      </c>
      <c r="I368" s="6">
        <v>46</v>
      </c>
      <c r="J368" s="6">
        <v>4</v>
      </c>
      <c r="K368" s="6">
        <v>8</v>
      </c>
      <c r="L368" s="6">
        <v>50</v>
      </c>
      <c r="M368" s="10">
        <f t="shared" si="15"/>
        <v>16</v>
      </c>
      <c r="N368" s="10">
        <f t="shared" si="16"/>
        <v>16</v>
      </c>
      <c r="O368" s="6" t="s">
        <v>119</v>
      </c>
      <c r="P368" s="6">
        <v>0</v>
      </c>
      <c r="Q368" s="6">
        <v>0</v>
      </c>
      <c r="R368" s="6">
        <v>0</v>
      </c>
      <c r="S368" s="6">
        <v>0</v>
      </c>
      <c r="T368" s="6" t="str">
        <f t="shared" si="17"/>
        <v>Septima</v>
      </c>
    </row>
    <row r="369" spans="1:20">
      <c r="A369" s="7" t="s">
        <v>1016</v>
      </c>
      <c r="B369" s="7" t="s">
        <v>507</v>
      </c>
      <c r="C369" s="8">
        <v>1</v>
      </c>
      <c r="D369" s="7" t="s">
        <v>1031</v>
      </c>
      <c r="E369" s="7" t="s">
        <v>1044</v>
      </c>
      <c r="F369">
        <v>1225</v>
      </c>
      <c r="G369" s="6">
        <v>12793</v>
      </c>
      <c r="H369" s="11" t="s">
        <v>1045</v>
      </c>
      <c r="I369" s="6">
        <v>30</v>
      </c>
      <c r="J369" s="6">
        <v>40</v>
      </c>
      <c r="K369" s="6">
        <v>80</v>
      </c>
      <c r="L369" s="6">
        <v>49</v>
      </c>
      <c r="M369" s="10">
        <f t="shared" si="15"/>
        <v>163.26530612244898</v>
      </c>
      <c r="N369" s="10">
        <f t="shared" si="16"/>
        <v>164</v>
      </c>
      <c r="O369" s="6" t="s">
        <v>37</v>
      </c>
      <c r="P369" s="6">
        <v>1</v>
      </c>
      <c r="Q369" s="6">
        <v>2</v>
      </c>
      <c r="R369" s="6">
        <v>4</v>
      </c>
      <c r="S369" s="6">
        <v>7</v>
      </c>
      <c r="T369" s="6" t="str">
        <f t="shared" si="17"/>
        <v>Quinta</v>
      </c>
    </row>
    <row r="370" spans="1:20">
      <c r="A370" s="7" t="s">
        <v>1016</v>
      </c>
      <c r="B370" s="7" t="s">
        <v>507</v>
      </c>
      <c r="C370" s="8">
        <v>1</v>
      </c>
      <c r="D370" s="7" t="s">
        <v>1031</v>
      </c>
      <c r="E370" s="7" t="s">
        <v>1046</v>
      </c>
      <c r="F370">
        <v>1004</v>
      </c>
      <c r="G370" s="6">
        <v>26614</v>
      </c>
      <c r="H370" s="11" t="s">
        <v>1047</v>
      </c>
      <c r="I370" s="6">
        <v>36</v>
      </c>
      <c r="J370" s="6">
        <v>4</v>
      </c>
      <c r="K370" s="6">
        <v>7</v>
      </c>
      <c r="L370" s="6">
        <v>39</v>
      </c>
      <c r="M370" s="10">
        <f t="shared" si="15"/>
        <v>17.948717948717949</v>
      </c>
      <c r="N370" s="10">
        <f t="shared" si="16"/>
        <v>18</v>
      </c>
      <c r="O370" s="6" t="s">
        <v>30</v>
      </c>
      <c r="P370" s="6">
        <v>0</v>
      </c>
      <c r="Q370" s="6">
        <v>0</v>
      </c>
      <c r="R370" s="6">
        <v>0</v>
      </c>
      <c r="S370" s="6">
        <v>0</v>
      </c>
      <c r="T370" s="6" t="str">
        <f t="shared" si="17"/>
        <v>Septima</v>
      </c>
    </row>
    <row r="371" spans="1:20">
      <c r="A371" s="7" t="s">
        <v>1016</v>
      </c>
      <c r="B371" s="7" t="s">
        <v>507</v>
      </c>
      <c r="C371" s="8">
        <v>2</v>
      </c>
      <c r="D371" s="7" t="s">
        <v>1048</v>
      </c>
      <c r="E371" s="7" t="s">
        <v>1049</v>
      </c>
      <c r="F371">
        <v>1313</v>
      </c>
      <c r="G371" s="6">
        <v>26353</v>
      </c>
      <c r="H371" s="11" t="s">
        <v>1050</v>
      </c>
      <c r="I371" s="6">
        <v>29</v>
      </c>
      <c r="J371" s="6">
        <v>9</v>
      </c>
      <c r="K371" s="6">
        <v>37</v>
      </c>
      <c r="L371" s="6">
        <v>80</v>
      </c>
      <c r="M371" s="10">
        <f t="shared" si="15"/>
        <v>46.25</v>
      </c>
      <c r="N371" s="10">
        <f t="shared" si="16"/>
        <v>47</v>
      </c>
      <c r="O371" s="6" t="s">
        <v>37</v>
      </c>
      <c r="P371" s="6">
        <v>2</v>
      </c>
      <c r="Q371" s="6">
        <v>0</v>
      </c>
      <c r="R371" s="6">
        <v>2</v>
      </c>
      <c r="S371" s="6">
        <v>4</v>
      </c>
      <c r="T371" s="6" t="str">
        <f t="shared" si="17"/>
        <v>Quinta</v>
      </c>
    </row>
    <row r="372" spans="1:20">
      <c r="A372" s="7" t="s">
        <v>1016</v>
      </c>
      <c r="B372" s="7" t="s">
        <v>507</v>
      </c>
      <c r="C372" s="8">
        <v>2</v>
      </c>
      <c r="D372" s="7" t="s">
        <v>1048</v>
      </c>
      <c r="E372" s="7" t="s">
        <v>1051</v>
      </c>
      <c r="F372">
        <v>1274</v>
      </c>
      <c r="G372" s="6">
        <v>21099</v>
      </c>
      <c r="H372" s="11" t="s">
        <v>1052</v>
      </c>
      <c r="I372" s="6">
        <v>41</v>
      </c>
      <c r="J372" s="6">
        <v>89</v>
      </c>
      <c r="K372" s="6">
        <v>190</v>
      </c>
      <c r="L372" s="6">
        <v>46</v>
      </c>
      <c r="M372" s="10">
        <f t="shared" si="15"/>
        <v>413.04347826086956</v>
      </c>
      <c r="N372" s="10">
        <f t="shared" si="16"/>
        <v>414</v>
      </c>
      <c r="O372" s="6" t="s">
        <v>13</v>
      </c>
      <c r="P372" s="6">
        <v>3</v>
      </c>
      <c r="Q372" s="6">
        <v>6</v>
      </c>
      <c r="R372" s="6">
        <v>8</v>
      </c>
      <c r="S372" s="6">
        <v>17</v>
      </c>
      <c r="T372" s="6" t="str">
        <f t="shared" si="17"/>
        <v>Quinta</v>
      </c>
    </row>
    <row r="373" spans="1:20">
      <c r="A373" s="7" t="s">
        <v>1016</v>
      </c>
      <c r="B373" s="7" t="s">
        <v>507</v>
      </c>
      <c r="C373" s="8">
        <v>2</v>
      </c>
      <c r="D373" s="7" t="s">
        <v>1048</v>
      </c>
      <c r="E373" s="7" t="s">
        <v>1053</v>
      </c>
      <c r="F373">
        <v>1375</v>
      </c>
      <c r="G373" s="6">
        <v>26141</v>
      </c>
      <c r="H373" s="11" t="s">
        <v>1054</v>
      </c>
      <c r="I373" s="6">
        <v>61</v>
      </c>
      <c r="J373" s="6">
        <v>32</v>
      </c>
      <c r="K373" s="6">
        <v>93</v>
      </c>
      <c r="L373" s="6">
        <v>65</v>
      </c>
      <c r="M373" s="10">
        <f t="shared" si="15"/>
        <v>143.07692307692307</v>
      </c>
      <c r="N373" s="10">
        <f t="shared" si="16"/>
        <v>144</v>
      </c>
      <c r="O373" s="6" t="s">
        <v>19</v>
      </c>
      <c r="P373" s="6">
        <v>4</v>
      </c>
      <c r="Q373" s="6">
        <v>4</v>
      </c>
      <c r="R373" s="6">
        <v>4</v>
      </c>
      <c r="S373" s="6">
        <v>12</v>
      </c>
      <c r="T373" s="6" t="str">
        <f t="shared" si="17"/>
        <v>Quinta</v>
      </c>
    </row>
    <row r="374" spans="1:20">
      <c r="A374" s="7" t="s">
        <v>1016</v>
      </c>
      <c r="B374" s="7" t="s">
        <v>507</v>
      </c>
      <c r="C374" s="8">
        <v>2</v>
      </c>
      <c r="D374" s="7" t="s">
        <v>1048</v>
      </c>
      <c r="E374" s="7" t="s">
        <v>1055</v>
      </c>
      <c r="F374">
        <v>1251</v>
      </c>
      <c r="G374" s="6">
        <v>12312</v>
      </c>
      <c r="H374" s="11" t="s">
        <v>1056</v>
      </c>
      <c r="I374" s="6">
        <v>27</v>
      </c>
      <c r="J374" s="6">
        <v>15</v>
      </c>
      <c r="K374" s="6">
        <v>31</v>
      </c>
      <c r="L374" s="6">
        <v>53</v>
      </c>
      <c r="M374" s="10">
        <f t="shared" si="15"/>
        <v>58.490566037735846</v>
      </c>
      <c r="N374" s="10">
        <f t="shared" si="16"/>
        <v>59</v>
      </c>
      <c r="O374" s="6" t="s">
        <v>30</v>
      </c>
      <c r="P374" s="6">
        <v>0</v>
      </c>
      <c r="Q374" s="6">
        <v>0</v>
      </c>
      <c r="R374" s="6">
        <v>3</v>
      </c>
      <c r="S374" s="6">
        <v>3</v>
      </c>
      <c r="T374" s="6" t="str">
        <f t="shared" si="17"/>
        <v>Quinta</v>
      </c>
    </row>
    <row r="375" spans="1:20">
      <c r="A375" s="7" t="s">
        <v>1016</v>
      </c>
      <c r="B375" s="7" t="s">
        <v>507</v>
      </c>
      <c r="C375" s="8">
        <v>2</v>
      </c>
      <c r="D375" s="7" t="s">
        <v>1048</v>
      </c>
      <c r="E375" s="7" t="s">
        <v>1057</v>
      </c>
      <c r="F375">
        <v>1395</v>
      </c>
      <c r="G375" s="6">
        <v>19229</v>
      </c>
      <c r="H375" s="11" t="s">
        <v>1058</v>
      </c>
      <c r="I375" s="6">
        <v>51</v>
      </c>
      <c r="J375" s="6">
        <v>23</v>
      </c>
      <c r="K375" s="6">
        <v>60</v>
      </c>
      <c r="L375" s="6">
        <v>58</v>
      </c>
      <c r="M375" s="10">
        <f t="shared" si="15"/>
        <v>103.44827586206897</v>
      </c>
      <c r="N375" s="10">
        <f t="shared" si="16"/>
        <v>104</v>
      </c>
      <c r="O375" s="6" t="s">
        <v>37</v>
      </c>
      <c r="P375" s="6">
        <v>3</v>
      </c>
      <c r="Q375" s="6">
        <v>0</v>
      </c>
      <c r="R375" s="6">
        <v>3</v>
      </c>
      <c r="S375" s="6">
        <v>6</v>
      </c>
      <c r="T375" s="6" t="str">
        <f t="shared" si="17"/>
        <v>Quinta</v>
      </c>
    </row>
    <row r="376" spans="1:20">
      <c r="A376" s="7" t="s">
        <v>1016</v>
      </c>
      <c r="B376" s="7" t="s">
        <v>507</v>
      </c>
      <c r="C376" s="8">
        <v>2</v>
      </c>
      <c r="D376" s="7" t="s">
        <v>1048</v>
      </c>
      <c r="E376" s="7" t="s">
        <v>1059</v>
      </c>
      <c r="F376">
        <v>1202</v>
      </c>
      <c r="G376" s="6">
        <v>24317</v>
      </c>
      <c r="H376" s="11" t="s">
        <v>1060</v>
      </c>
      <c r="I376" s="6">
        <v>62</v>
      </c>
      <c r="J376" s="6">
        <v>6</v>
      </c>
      <c r="K376" s="6">
        <v>20</v>
      </c>
      <c r="L376" s="6">
        <v>67</v>
      </c>
      <c r="M376" s="10">
        <f t="shared" si="15"/>
        <v>29.850746268656717</v>
      </c>
      <c r="N376" s="10">
        <f t="shared" si="16"/>
        <v>30</v>
      </c>
      <c r="O376" s="6" t="s">
        <v>37</v>
      </c>
      <c r="P376" s="6">
        <v>1</v>
      </c>
      <c r="Q376" s="6">
        <v>0</v>
      </c>
      <c r="R376" s="6">
        <v>2</v>
      </c>
      <c r="S376" s="6">
        <v>3</v>
      </c>
      <c r="T376" s="6" t="str">
        <f t="shared" si="17"/>
        <v>Quinta</v>
      </c>
    </row>
    <row r="377" spans="1:20">
      <c r="A377" s="7" t="s">
        <v>1016</v>
      </c>
      <c r="B377" s="7" t="s">
        <v>507</v>
      </c>
      <c r="C377" s="8">
        <v>2</v>
      </c>
      <c r="D377" s="7" t="s">
        <v>1048</v>
      </c>
      <c r="E377" s="7" t="s">
        <v>1061</v>
      </c>
      <c r="F377">
        <v>1203</v>
      </c>
      <c r="G377" s="6">
        <v>17085</v>
      </c>
      <c r="H377" s="11" t="s">
        <v>1062</v>
      </c>
      <c r="I377" s="6">
        <v>66</v>
      </c>
      <c r="J377" s="6">
        <v>169</v>
      </c>
      <c r="K377" s="6">
        <v>304</v>
      </c>
      <c r="L377" s="6">
        <v>44</v>
      </c>
      <c r="M377" s="10">
        <f t="shared" si="15"/>
        <v>690.90909090909088</v>
      </c>
      <c r="N377" s="10">
        <f t="shared" si="16"/>
        <v>691</v>
      </c>
      <c r="O377" s="6" t="s">
        <v>18</v>
      </c>
      <c r="P377" s="6">
        <v>4</v>
      </c>
      <c r="Q377" s="6">
        <v>7</v>
      </c>
      <c r="R377" s="6">
        <v>15</v>
      </c>
      <c r="S377" s="6">
        <v>26</v>
      </c>
      <c r="T377" s="6" t="str">
        <f t="shared" si="17"/>
        <v>Quinta</v>
      </c>
    </row>
    <row r="378" spans="1:20">
      <c r="A378" s="7" t="s">
        <v>1016</v>
      </c>
      <c r="B378" s="7" t="s">
        <v>507</v>
      </c>
      <c r="C378" s="8">
        <v>2</v>
      </c>
      <c r="D378" s="7" t="s">
        <v>1048</v>
      </c>
      <c r="E378" s="7" t="s">
        <v>1063</v>
      </c>
      <c r="F378">
        <v>1005</v>
      </c>
      <c r="G378" s="6">
        <v>19961</v>
      </c>
      <c r="H378" s="11" t="s">
        <v>1064</v>
      </c>
      <c r="I378" s="6">
        <v>65</v>
      </c>
      <c r="J378" s="6">
        <v>25</v>
      </c>
      <c r="K378" s="6">
        <v>35</v>
      </c>
      <c r="L378" s="6">
        <v>34</v>
      </c>
      <c r="M378" s="10">
        <f t="shared" si="15"/>
        <v>102.94117647058823</v>
      </c>
      <c r="N378" s="10">
        <f t="shared" si="16"/>
        <v>103</v>
      </c>
      <c r="O378" s="6" t="s">
        <v>37</v>
      </c>
      <c r="P378" s="6">
        <v>0</v>
      </c>
      <c r="Q378" s="6">
        <v>1</v>
      </c>
      <c r="R378" s="6">
        <v>0</v>
      </c>
      <c r="S378" s="6">
        <v>1</v>
      </c>
      <c r="T378" s="6" t="str">
        <f t="shared" si="17"/>
        <v>Septima</v>
      </c>
    </row>
    <row r="379" spans="1:20">
      <c r="A379" s="7" t="s">
        <v>1016</v>
      </c>
      <c r="B379" s="7" t="s">
        <v>526</v>
      </c>
      <c r="C379" s="8">
        <v>1</v>
      </c>
      <c r="D379" s="7" t="s">
        <v>1031</v>
      </c>
      <c r="E379" s="7" t="s">
        <v>1065</v>
      </c>
      <c r="F379">
        <v>1159</v>
      </c>
      <c r="G379" s="6">
        <v>29044</v>
      </c>
      <c r="H379" s="11" t="s">
        <v>1066</v>
      </c>
      <c r="I379" s="6">
        <v>40</v>
      </c>
      <c r="J379" s="6">
        <v>7</v>
      </c>
      <c r="K379" s="6">
        <v>22</v>
      </c>
      <c r="L379" s="6">
        <v>69</v>
      </c>
      <c r="M379" s="10">
        <f t="shared" si="15"/>
        <v>31.884057971014492</v>
      </c>
      <c r="N379" s="10">
        <f t="shared" si="16"/>
        <v>32</v>
      </c>
      <c r="O379" s="6" t="s">
        <v>37</v>
      </c>
      <c r="P379" s="6">
        <v>1</v>
      </c>
      <c r="Q379" s="6">
        <v>0</v>
      </c>
      <c r="R379" s="6">
        <v>1</v>
      </c>
      <c r="S379" s="6">
        <v>2</v>
      </c>
      <c r="T379" s="6" t="str">
        <f t="shared" si="17"/>
        <v>Sexta</v>
      </c>
    </row>
    <row r="380" spans="1:20" ht="24">
      <c r="A380" s="7" t="s">
        <v>1016</v>
      </c>
      <c r="B380" s="7" t="s">
        <v>526</v>
      </c>
      <c r="C380" s="8">
        <v>1</v>
      </c>
      <c r="D380" s="7" t="s">
        <v>1031</v>
      </c>
      <c r="E380" s="7" t="s">
        <v>1042</v>
      </c>
      <c r="F380">
        <v>1000</v>
      </c>
      <c r="G380" s="6">
        <v>18514</v>
      </c>
      <c r="H380" s="11" t="s">
        <v>1043</v>
      </c>
      <c r="I380" s="6">
        <v>46</v>
      </c>
      <c r="J380" s="6">
        <v>4</v>
      </c>
      <c r="K380" s="6">
        <v>8</v>
      </c>
      <c r="L380" s="6">
        <v>50</v>
      </c>
      <c r="M380" s="10">
        <f t="shared" si="15"/>
        <v>16</v>
      </c>
      <c r="N380" s="10">
        <f t="shared" si="16"/>
        <v>16</v>
      </c>
      <c r="O380" s="6" t="s">
        <v>119</v>
      </c>
      <c r="P380" s="6">
        <v>0</v>
      </c>
      <c r="Q380" s="6">
        <v>0</v>
      </c>
      <c r="R380" s="6">
        <v>0</v>
      </c>
      <c r="S380" s="6">
        <v>0</v>
      </c>
      <c r="T380" s="6" t="str">
        <f t="shared" si="17"/>
        <v>Septima</v>
      </c>
    </row>
    <row r="381" spans="1:20">
      <c r="A381" s="7" t="s">
        <v>1016</v>
      </c>
      <c r="B381" s="7" t="s">
        <v>526</v>
      </c>
      <c r="C381" s="8">
        <v>1</v>
      </c>
      <c r="D381" s="7" t="s">
        <v>1031</v>
      </c>
      <c r="E381" s="7" t="s">
        <v>1067</v>
      </c>
      <c r="F381">
        <v>1136</v>
      </c>
      <c r="G381" s="6">
        <v>24667</v>
      </c>
      <c r="H381" s="11" t="s">
        <v>1068</v>
      </c>
      <c r="I381" s="6">
        <v>37</v>
      </c>
      <c r="J381" s="6">
        <v>60</v>
      </c>
      <c r="K381" s="6">
        <v>120</v>
      </c>
      <c r="L381" s="6">
        <v>48</v>
      </c>
      <c r="M381" s="10">
        <f t="shared" si="15"/>
        <v>250</v>
      </c>
      <c r="N381" s="10">
        <f t="shared" si="16"/>
        <v>250</v>
      </c>
      <c r="O381" s="6" t="s">
        <v>120</v>
      </c>
      <c r="P381" s="6">
        <v>1</v>
      </c>
      <c r="Q381" s="6">
        <v>5</v>
      </c>
      <c r="R381" s="6">
        <v>7</v>
      </c>
      <c r="S381" s="6">
        <v>13</v>
      </c>
      <c r="T381" s="6" t="str">
        <f t="shared" si="17"/>
        <v>Sexta</v>
      </c>
    </row>
    <row r="382" spans="1:20">
      <c r="A382" s="7" t="s">
        <v>1016</v>
      </c>
      <c r="B382" s="7" t="s">
        <v>526</v>
      </c>
      <c r="C382" s="8">
        <v>1</v>
      </c>
      <c r="D382" s="7" t="s">
        <v>1031</v>
      </c>
      <c r="E382" s="7" t="s">
        <v>1069</v>
      </c>
      <c r="F382">
        <v>1173</v>
      </c>
      <c r="G382" s="6">
        <v>6541</v>
      </c>
      <c r="H382" s="11" t="s">
        <v>1070</v>
      </c>
      <c r="I382" s="6">
        <v>51</v>
      </c>
      <c r="J382" s="6">
        <v>20</v>
      </c>
      <c r="K382" s="6">
        <v>62</v>
      </c>
      <c r="L382" s="6">
        <v>65</v>
      </c>
      <c r="M382" s="10">
        <f t="shared" si="15"/>
        <v>95.384615384615387</v>
      </c>
      <c r="N382" s="10">
        <f t="shared" si="16"/>
        <v>96</v>
      </c>
      <c r="O382" s="6" t="s">
        <v>121</v>
      </c>
      <c r="P382" s="6">
        <v>3</v>
      </c>
      <c r="Q382" s="6">
        <v>0</v>
      </c>
      <c r="R382" s="6">
        <v>5</v>
      </c>
      <c r="S382" s="6">
        <v>8</v>
      </c>
      <c r="T382" s="6" t="str">
        <f t="shared" si="17"/>
        <v>Sexta</v>
      </c>
    </row>
    <row r="383" spans="1:20">
      <c r="A383" s="7" t="s">
        <v>1016</v>
      </c>
      <c r="B383" s="7" t="s">
        <v>526</v>
      </c>
      <c r="C383" s="8">
        <v>1</v>
      </c>
      <c r="D383" s="7" t="s">
        <v>1031</v>
      </c>
      <c r="E383" s="7" t="s">
        <v>1044</v>
      </c>
      <c r="F383">
        <v>1225</v>
      </c>
      <c r="G383" s="6">
        <v>12793</v>
      </c>
      <c r="H383" s="11" t="s">
        <v>1045</v>
      </c>
      <c r="I383" s="6">
        <v>30</v>
      </c>
      <c r="J383" s="6">
        <v>40</v>
      </c>
      <c r="K383" s="6">
        <v>80</v>
      </c>
      <c r="L383" s="6">
        <v>49</v>
      </c>
      <c r="M383" s="10">
        <f t="shared" si="15"/>
        <v>163.26530612244898</v>
      </c>
      <c r="N383" s="10">
        <f t="shared" si="16"/>
        <v>164</v>
      </c>
      <c r="O383" s="6" t="s">
        <v>37</v>
      </c>
      <c r="P383" s="6">
        <v>1</v>
      </c>
      <c r="Q383" s="6">
        <v>2</v>
      </c>
      <c r="R383" s="6">
        <v>4</v>
      </c>
      <c r="S383" s="6">
        <v>7</v>
      </c>
      <c r="T383" s="6" t="str">
        <f t="shared" si="17"/>
        <v>Quinta</v>
      </c>
    </row>
    <row r="384" spans="1:20">
      <c r="A384" s="7" t="s">
        <v>1016</v>
      </c>
      <c r="B384" s="7" t="s">
        <v>526</v>
      </c>
      <c r="C384" s="8">
        <v>1</v>
      </c>
      <c r="D384" s="7" t="s">
        <v>1031</v>
      </c>
      <c r="E384" s="7" t="s">
        <v>1071</v>
      </c>
      <c r="F384">
        <v>947</v>
      </c>
      <c r="G384" s="6">
        <v>26984</v>
      </c>
      <c r="H384" s="11" t="s">
        <v>1072</v>
      </c>
      <c r="I384" s="6">
        <v>17</v>
      </c>
      <c r="J384" s="6">
        <v>3</v>
      </c>
      <c r="K384" s="6">
        <v>3</v>
      </c>
      <c r="L384" s="6">
        <v>25</v>
      </c>
      <c r="M384" s="10">
        <f t="shared" si="15"/>
        <v>12</v>
      </c>
      <c r="N384" s="10">
        <f t="shared" si="16"/>
        <v>12</v>
      </c>
      <c r="O384" s="6" t="s">
        <v>37</v>
      </c>
      <c r="P384" s="6">
        <v>0</v>
      </c>
      <c r="Q384" s="6">
        <v>0</v>
      </c>
      <c r="R384" s="6">
        <v>1</v>
      </c>
      <c r="S384" s="6">
        <v>1</v>
      </c>
      <c r="T384" s="6" t="str">
        <f t="shared" si="17"/>
        <v>Octava</v>
      </c>
    </row>
    <row r="385" spans="1:20">
      <c r="A385" s="7" t="s">
        <v>1016</v>
      </c>
      <c r="B385" s="7" t="s">
        <v>526</v>
      </c>
      <c r="C385" s="8">
        <v>1</v>
      </c>
      <c r="D385" s="7" t="s">
        <v>1031</v>
      </c>
      <c r="E385" s="7" t="s">
        <v>1046</v>
      </c>
      <c r="F385">
        <v>1004</v>
      </c>
      <c r="G385" s="6">
        <v>26614</v>
      </c>
      <c r="H385" s="11" t="s">
        <v>1047</v>
      </c>
      <c r="I385" s="6">
        <v>36</v>
      </c>
      <c r="J385" s="6">
        <v>4</v>
      </c>
      <c r="K385" s="6">
        <v>7</v>
      </c>
      <c r="L385" s="6">
        <v>39</v>
      </c>
      <c r="M385" s="10">
        <f t="shared" si="15"/>
        <v>17.948717948717949</v>
      </c>
      <c r="N385" s="10">
        <f t="shared" si="16"/>
        <v>18</v>
      </c>
      <c r="O385" s="6" t="s">
        <v>30</v>
      </c>
      <c r="P385" s="6">
        <v>0</v>
      </c>
      <c r="Q385" s="6">
        <v>0</v>
      </c>
      <c r="R385" s="6">
        <v>0</v>
      </c>
      <c r="S385" s="6">
        <v>0</v>
      </c>
      <c r="T385" s="6" t="str">
        <f t="shared" si="17"/>
        <v>Septima</v>
      </c>
    </row>
    <row r="386" spans="1:20">
      <c r="A386" s="7" t="s">
        <v>1016</v>
      </c>
      <c r="B386" s="7" t="s">
        <v>526</v>
      </c>
      <c r="C386" s="8">
        <v>1</v>
      </c>
      <c r="D386" s="7" t="s">
        <v>1031</v>
      </c>
      <c r="E386" s="7" t="s">
        <v>1073</v>
      </c>
      <c r="F386">
        <v>964</v>
      </c>
      <c r="G386" s="6">
        <v>25094</v>
      </c>
      <c r="H386" s="11" t="s">
        <v>1074</v>
      </c>
      <c r="I386" s="6">
        <v>37</v>
      </c>
      <c r="J386" s="6">
        <v>9</v>
      </c>
      <c r="K386" s="6">
        <v>14</v>
      </c>
      <c r="L386" s="6">
        <v>37</v>
      </c>
      <c r="M386" s="10">
        <f t="shared" si="15"/>
        <v>37.837837837837839</v>
      </c>
      <c r="N386" s="10">
        <f t="shared" si="16"/>
        <v>38</v>
      </c>
      <c r="O386" s="6" t="s">
        <v>80</v>
      </c>
      <c r="P386" s="6">
        <v>0</v>
      </c>
      <c r="Q386" s="6">
        <v>1</v>
      </c>
      <c r="R386" s="6">
        <v>0</v>
      </c>
      <c r="S386" s="6">
        <v>1</v>
      </c>
      <c r="T386" s="6" t="str">
        <f t="shared" si="17"/>
        <v>Octava</v>
      </c>
    </row>
    <row r="387" spans="1:20">
      <c r="A387" s="7" t="s">
        <v>1016</v>
      </c>
      <c r="B387" s="7" t="s">
        <v>526</v>
      </c>
      <c r="C387" s="8">
        <v>2</v>
      </c>
      <c r="D387" s="7" t="s">
        <v>1048</v>
      </c>
      <c r="E387" s="7" t="s">
        <v>1059</v>
      </c>
      <c r="F387">
        <v>1202</v>
      </c>
      <c r="G387" s="6">
        <v>24317</v>
      </c>
      <c r="H387" s="11" t="s">
        <v>1060</v>
      </c>
      <c r="I387" s="6">
        <v>62</v>
      </c>
      <c r="J387" s="6">
        <v>6</v>
      </c>
      <c r="K387" s="6">
        <v>20</v>
      </c>
      <c r="L387" s="6">
        <v>67</v>
      </c>
      <c r="M387" s="10">
        <f t="shared" ref="M387:M450" si="18">IF(K387+L387=0,0,(100*K387/L387))</f>
        <v>29.850746268656717</v>
      </c>
      <c r="N387" s="10">
        <f t="shared" ref="N387:N450" si="19">ROUNDUP(M387,0)</f>
        <v>30</v>
      </c>
      <c r="O387" s="6" t="s">
        <v>37</v>
      </c>
      <c r="P387" s="6">
        <v>1</v>
      </c>
      <c r="Q387" s="6">
        <v>0</v>
      </c>
      <c r="R387" s="6">
        <v>2</v>
      </c>
      <c r="S387" s="6">
        <v>3</v>
      </c>
      <c r="T387" s="6" t="str">
        <f t="shared" ref="T387:T450" si="20">IF(F387&gt;2100,"Primera",
IF(F387&gt;=1800,"Segunda",
IF(F387&gt;=1600,"Tercera",
IF(F387&gt;=1400,"Cuarta",
IF(F387&gt;=1200,"Quinta",
IF(F387&gt;=1080,"Sexta",
IF(F387&gt;=980,"Septima",
"Octava")))))))</f>
        <v>Quinta</v>
      </c>
    </row>
    <row r="388" spans="1:20">
      <c r="A388" s="7" t="s">
        <v>1016</v>
      </c>
      <c r="B388" s="7" t="s">
        <v>526</v>
      </c>
      <c r="C388" s="8">
        <v>2</v>
      </c>
      <c r="D388" s="7" t="s">
        <v>1048</v>
      </c>
      <c r="E388" s="7" t="s">
        <v>1075</v>
      </c>
      <c r="F388">
        <v>1120</v>
      </c>
      <c r="G388" s="6">
        <v>28211</v>
      </c>
      <c r="H388" s="11" t="s">
        <v>1076</v>
      </c>
      <c r="I388" s="6">
        <v>40</v>
      </c>
      <c r="J388" s="6">
        <v>4</v>
      </c>
      <c r="K388" s="6">
        <v>12</v>
      </c>
      <c r="L388" s="6">
        <v>57</v>
      </c>
      <c r="M388" s="10">
        <f t="shared" si="18"/>
        <v>21.05263157894737</v>
      </c>
      <c r="N388" s="10">
        <f t="shared" si="19"/>
        <v>22</v>
      </c>
      <c r="O388" s="6" t="s">
        <v>37</v>
      </c>
      <c r="P388" s="6">
        <v>0</v>
      </c>
      <c r="Q388" s="6">
        <v>1</v>
      </c>
      <c r="R388" s="6">
        <v>0</v>
      </c>
      <c r="S388" s="6">
        <v>1</v>
      </c>
      <c r="T388" s="6" t="str">
        <f t="shared" si="20"/>
        <v>Sexta</v>
      </c>
    </row>
    <row r="389" spans="1:20">
      <c r="A389" s="7" t="s">
        <v>1016</v>
      </c>
      <c r="B389" s="7" t="s">
        <v>526</v>
      </c>
      <c r="C389" s="8">
        <v>2</v>
      </c>
      <c r="D389" s="7" t="s">
        <v>1048</v>
      </c>
      <c r="E389" s="7" t="s">
        <v>1061</v>
      </c>
      <c r="F389">
        <v>1203</v>
      </c>
      <c r="G389" s="6">
        <v>17085</v>
      </c>
      <c r="H389" s="11" t="s">
        <v>1062</v>
      </c>
      <c r="I389" s="6">
        <v>66</v>
      </c>
      <c r="J389" s="6">
        <v>169</v>
      </c>
      <c r="K389" s="6">
        <v>304</v>
      </c>
      <c r="L389" s="6">
        <v>44</v>
      </c>
      <c r="M389" s="10">
        <f t="shared" si="18"/>
        <v>690.90909090909088</v>
      </c>
      <c r="N389" s="10">
        <f t="shared" si="19"/>
        <v>691</v>
      </c>
      <c r="O389" s="6" t="s">
        <v>18</v>
      </c>
      <c r="P389" s="6">
        <v>4</v>
      </c>
      <c r="Q389" s="6">
        <v>7</v>
      </c>
      <c r="R389" s="6">
        <v>15</v>
      </c>
      <c r="S389" s="6">
        <v>26</v>
      </c>
      <c r="T389" s="6" t="str">
        <f t="shared" si="20"/>
        <v>Quinta</v>
      </c>
    </row>
    <row r="390" spans="1:20">
      <c r="A390" s="7" t="s">
        <v>1016</v>
      </c>
      <c r="B390" s="7" t="s">
        <v>526</v>
      </c>
      <c r="C390" s="8">
        <v>2</v>
      </c>
      <c r="D390" s="7" t="s">
        <v>1048</v>
      </c>
      <c r="E390" s="7" t="s">
        <v>1077</v>
      </c>
      <c r="F390">
        <v>984</v>
      </c>
      <c r="G390" s="6">
        <v>25191</v>
      </c>
      <c r="H390" s="11" t="s">
        <v>1078</v>
      </c>
      <c r="I390" s="6">
        <v>19</v>
      </c>
      <c r="J390" s="6">
        <v>9</v>
      </c>
      <c r="K390" s="6">
        <v>8</v>
      </c>
      <c r="L390" s="6">
        <v>24</v>
      </c>
      <c r="M390" s="10">
        <f t="shared" si="18"/>
        <v>33.333333333333336</v>
      </c>
      <c r="N390" s="10">
        <f t="shared" si="19"/>
        <v>34</v>
      </c>
      <c r="O390" s="6" t="s">
        <v>37</v>
      </c>
      <c r="P390" s="6">
        <v>0</v>
      </c>
      <c r="Q390" s="6">
        <v>0</v>
      </c>
      <c r="R390" s="6">
        <v>0</v>
      </c>
      <c r="S390" s="6">
        <v>0</v>
      </c>
      <c r="T390" s="6" t="str">
        <f t="shared" si="20"/>
        <v>Septima</v>
      </c>
    </row>
    <row r="391" spans="1:20">
      <c r="A391" s="7" t="s">
        <v>1016</v>
      </c>
      <c r="B391" s="7" t="s">
        <v>526</v>
      </c>
      <c r="C391" s="8">
        <v>2</v>
      </c>
      <c r="D391" s="7" t="s">
        <v>1048</v>
      </c>
      <c r="E391" s="7" t="s">
        <v>1063</v>
      </c>
      <c r="F391">
        <v>1005</v>
      </c>
      <c r="G391" s="6">
        <v>19961</v>
      </c>
      <c r="H391" s="11" t="s">
        <v>1064</v>
      </c>
      <c r="I391" s="6">
        <v>65</v>
      </c>
      <c r="J391" s="6">
        <v>25</v>
      </c>
      <c r="K391" s="6">
        <v>35</v>
      </c>
      <c r="L391" s="6">
        <v>34</v>
      </c>
      <c r="M391" s="10">
        <f t="shared" si="18"/>
        <v>102.94117647058823</v>
      </c>
      <c r="N391" s="10">
        <f t="shared" si="19"/>
        <v>103</v>
      </c>
      <c r="O391" s="6" t="s">
        <v>37</v>
      </c>
      <c r="P391" s="6">
        <v>0</v>
      </c>
      <c r="Q391" s="6">
        <v>1</v>
      </c>
      <c r="R391" s="6">
        <v>0</v>
      </c>
      <c r="S391" s="6">
        <v>1</v>
      </c>
      <c r="T391" s="6" t="str">
        <f t="shared" si="20"/>
        <v>Septima</v>
      </c>
    </row>
    <row r="392" spans="1:20">
      <c r="A392" s="7" t="s">
        <v>1016</v>
      </c>
      <c r="B392" s="7" t="s">
        <v>526</v>
      </c>
      <c r="C392" s="8">
        <v>2</v>
      </c>
      <c r="D392" s="7" t="s">
        <v>1048</v>
      </c>
      <c r="E392" s="7" t="s">
        <v>1079</v>
      </c>
      <c r="F392">
        <v>1011</v>
      </c>
      <c r="G392" s="6">
        <v>27105</v>
      </c>
      <c r="H392" s="11" t="s">
        <v>1080</v>
      </c>
      <c r="I392" s="6">
        <v>33</v>
      </c>
      <c r="J392" s="6">
        <v>7</v>
      </c>
      <c r="K392" s="6">
        <v>9</v>
      </c>
      <c r="L392" s="6">
        <v>38</v>
      </c>
      <c r="M392" s="10">
        <f t="shared" si="18"/>
        <v>23.684210526315791</v>
      </c>
      <c r="N392" s="10">
        <f t="shared" si="19"/>
        <v>24</v>
      </c>
      <c r="O392" s="6" t="s">
        <v>122</v>
      </c>
      <c r="P392" s="6">
        <v>0</v>
      </c>
      <c r="Q392" s="6">
        <v>0</v>
      </c>
      <c r="R392" s="6">
        <v>1</v>
      </c>
      <c r="S392" s="6">
        <v>1</v>
      </c>
      <c r="T392" s="6" t="str">
        <f t="shared" si="20"/>
        <v>Septima</v>
      </c>
    </row>
    <row r="393" spans="1:20">
      <c r="A393" s="7" t="s">
        <v>1016</v>
      </c>
      <c r="B393" s="7" t="s">
        <v>526</v>
      </c>
      <c r="C393" s="8">
        <v>2</v>
      </c>
      <c r="D393" s="7" t="s">
        <v>1048</v>
      </c>
      <c r="E393" s="7" t="s">
        <v>1081</v>
      </c>
      <c r="F393">
        <v>888</v>
      </c>
      <c r="G393" s="6">
        <v>26954</v>
      </c>
      <c r="H393" s="11" t="s">
        <v>1082</v>
      </c>
      <c r="I393" s="6">
        <v>63</v>
      </c>
      <c r="J393" s="6">
        <v>7</v>
      </c>
      <c r="K393" s="6">
        <v>4</v>
      </c>
      <c r="L393" s="6">
        <v>16</v>
      </c>
      <c r="M393" s="10">
        <f t="shared" si="18"/>
        <v>25</v>
      </c>
      <c r="N393" s="10">
        <f t="shared" si="19"/>
        <v>25</v>
      </c>
      <c r="O393" s="6" t="s">
        <v>37</v>
      </c>
      <c r="P393" s="6">
        <v>0</v>
      </c>
      <c r="Q393" s="6">
        <v>0</v>
      </c>
      <c r="R393" s="6">
        <v>0</v>
      </c>
      <c r="S393" s="6">
        <v>0</v>
      </c>
      <c r="T393" s="6" t="str">
        <f t="shared" si="20"/>
        <v>Octava</v>
      </c>
    </row>
    <row r="394" spans="1:20">
      <c r="A394" s="7" t="s">
        <v>1016</v>
      </c>
      <c r="B394" s="7" t="s">
        <v>526</v>
      </c>
      <c r="C394" s="8">
        <v>2</v>
      </c>
      <c r="D394" s="7" t="s">
        <v>1048</v>
      </c>
      <c r="E394" s="7" t="s">
        <v>1083</v>
      </c>
      <c r="F394">
        <v>968</v>
      </c>
      <c r="G394" s="6">
        <v>26582</v>
      </c>
      <c r="H394" s="11" t="s">
        <v>1084</v>
      </c>
      <c r="I394" s="6">
        <v>70</v>
      </c>
      <c r="J394" s="6">
        <v>1</v>
      </c>
      <c r="K394" s="6">
        <v>0</v>
      </c>
      <c r="L394" s="6">
        <v>0</v>
      </c>
      <c r="M394" s="10">
        <f t="shared" si="18"/>
        <v>0</v>
      </c>
      <c r="N394" s="10">
        <f t="shared" si="19"/>
        <v>0</v>
      </c>
      <c r="O394" s="6" t="s">
        <v>123</v>
      </c>
      <c r="P394" s="6">
        <v>0</v>
      </c>
      <c r="Q394" s="6">
        <v>0</v>
      </c>
      <c r="R394" s="6">
        <v>0</v>
      </c>
      <c r="S394" s="6">
        <v>0</v>
      </c>
      <c r="T394" s="6" t="str">
        <f t="shared" si="20"/>
        <v>Octava</v>
      </c>
    </row>
    <row r="395" spans="1:20">
      <c r="A395" s="7" t="s">
        <v>1085</v>
      </c>
      <c r="B395" s="7" t="s">
        <v>434</v>
      </c>
      <c r="C395" s="8">
        <v>1</v>
      </c>
      <c r="D395" s="7" t="s">
        <v>1085</v>
      </c>
      <c r="E395" s="7" t="s">
        <v>1086</v>
      </c>
      <c r="F395">
        <v>2019</v>
      </c>
      <c r="G395" s="6">
        <v>17013</v>
      </c>
      <c r="H395" s="11" t="s">
        <v>1087</v>
      </c>
      <c r="I395" s="6">
        <v>21</v>
      </c>
      <c r="J395" s="6">
        <v>56</v>
      </c>
      <c r="K395" s="6">
        <v>208</v>
      </c>
      <c r="L395" s="6">
        <v>44</v>
      </c>
      <c r="M395" s="10">
        <f t="shared" si="18"/>
        <v>472.72727272727275</v>
      </c>
      <c r="N395" s="10">
        <f t="shared" si="19"/>
        <v>473</v>
      </c>
      <c r="O395" s="6" t="s">
        <v>70</v>
      </c>
      <c r="P395" s="6">
        <v>7</v>
      </c>
      <c r="Q395" s="6">
        <v>9</v>
      </c>
      <c r="R395" s="6">
        <v>17</v>
      </c>
      <c r="S395" s="6">
        <v>33</v>
      </c>
      <c r="T395" s="6" t="str">
        <f t="shared" si="20"/>
        <v>Segunda</v>
      </c>
    </row>
    <row r="396" spans="1:20">
      <c r="A396" s="7" t="s">
        <v>1085</v>
      </c>
      <c r="B396" s="7" t="s">
        <v>434</v>
      </c>
      <c r="C396" s="8">
        <v>1</v>
      </c>
      <c r="D396" s="7" t="s">
        <v>1085</v>
      </c>
      <c r="E396" s="7" t="s">
        <v>1088</v>
      </c>
      <c r="F396">
        <v>1300</v>
      </c>
      <c r="G396" s="6">
        <v>16957</v>
      </c>
      <c r="H396" s="11" t="s">
        <v>1089</v>
      </c>
      <c r="I396" s="6">
        <v>30</v>
      </c>
      <c r="J396" s="6">
        <v>3</v>
      </c>
      <c r="K396" s="6">
        <v>8</v>
      </c>
      <c r="L396" s="6">
        <v>57</v>
      </c>
      <c r="M396" s="10">
        <f t="shared" si="18"/>
        <v>14.035087719298245</v>
      </c>
      <c r="N396" s="10">
        <f t="shared" si="19"/>
        <v>15</v>
      </c>
      <c r="O396" s="6" t="s">
        <v>124</v>
      </c>
      <c r="P396" s="6">
        <v>0</v>
      </c>
      <c r="Q396" s="6">
        <v>0</v>
      </c>
      <c r="R396" s="6">
        <v>1</v>
      </c>
      <c r="S396" s="6">
        <v>1</v>
      </c>
      <c r="T396" s="6" t="str">
        <f t="shared" si="20"/>
        <v>Quinta</v>
      </c>
    </row>
    <row r="397" spans="1:20">
      <c r="A397" s="7" t="s">
        <v>1085</v>
      </c>
      <c r="B397" s="7" t="s">
        <v>434</v>
      </c>
      <c r="C397" s="8">
        <v>1</v>
      </c>
      <c r="D397" s="7" t="s">
        <v>1085</v>
      </c>
      <c r="E397" s="7" t="s">
        <v>1090</v>
      </c>
      <c r="F397">
        <v>0</v>
      </c>
      <c r="G397" s="6">
        <v>29066</v>
      </c>
      <c r="H397" s="11" t="s">
        <v>1091</v>
      </c>
      <c r="I397" s="6">
        <v>23</v>
      </c>
      <c r="M397" s="10">
        <f t="shared" si="18"/>
        <v>0</v>
      </c>
      <c r="N397" s="10">
        <f t="shared" si="19"/>
        <v>0</v>
      </c>
      <c r="P397" s="6">
        <v>0</v>
      </c>
      <c r="Q397" s="6">
        <v>0</v>
      </c>
      <c r="R397" s="6">
        <v>0</v>
      </c>
      <c r="S397" s="6">
        <v>0</v>
      </c>
      <c r="T397" s="6" t="str">
        <f t="shared" si="20"/>
        <v>Octava</v>
      </c>
    </row>
    <row r="398" spans="1:20">
      <c r="A398" s="7" t="s">
        <v>1085</v>
      </c>
      <c r="B398" s="7" t="s">
        <v>781</v>
      </c>
      <c r="C398" s="8">
        <v>1</v>
      </c>
      <c r="D398" s="7" t="s">
        <v>1085</v>
      </c>
      <c r="E398" s="7" t="s">
        <v>1092</v>
      </c>
      <c r="F398">
        <v>1807</v>
      </c>
      <c r="G398" s="6">
        <v>21039</v>
      </c>
      <c r="H398" s="11" t="s">
        <v>1093</v>
      </c>
      <c r="I398" s="6">
        <v>37</v>
      </c>
      <c r="J398" s="6">
        <v>73</v>
      </c>
      <c r="K398" s="6">
        <v>201</v>
      </c>
      <c r="L398" s="6">
        <v>64</v>
      </c>
      <c r="M398" s="10">
        <f t="shared" si="18"/>
        <v>314.0625</v>
      </c>
      <c r="N398" s="10">
        <f t="shared" si="19"/>
        <v>315</v>
      </c>
      <c r="O398" s="6" t="s">
        <v>19</v>
      </c>
      <c r="P398" s="6">
        <v>4</v>
      </c>
      <c r="Q398" s="6">
        <v>7</v>
      </c>
      <c r="R398" s="6">
        <v>16</v>
      </c>
      <c r="S398" s="6">
        <v>27</v>
      </c>
      <c r="T398" s="6" t="str">
        <f t="shared" si="20"/>
        <v>Segunda</v>
      </c>
    </row>
    <row r="399" spans="1:20">
      <c r="A399" s="7" t="s">
        <v>1085</v>
      </c>
      <c r="B399" s="7" t="s">
        <v>781</v>
      </c>
      <c r="C399" s="8">
        <v>1</v>
      </c>
      <c r="D399" s="7" t="s">
        <v>1085</v>
      </c>
      <c r="E399" s="7" t="s">
        <v>1094</v>
      </c>
      <c r="F399">
        <v>1611</v>
      </c>
      <c r="G399" s="6">
        <v>13555</v>
      </c>
      <c r="H399" s="11" t="s">
        <v>1095</v>
      </c>
      <c r="I399" s="6">
        <v>50</v>
      </c>
      <c r="J399" s="6">
        <v>5</v>
      </c>
      <c r="K399" s="6">
        <v>14</v>
      </c>
      <c r="L399" s="6">
        <v>40</v>
      </c>
      <c r="M399" s="10">
        <f t="shared" si="18"/>
        <v>35</v>
      </c>
      <c r="N399" s="10">
        <f t="shared" si="19"/>
        <v>35</v>
      </c>
      <c r="O399" s="6" t="s">
        <v>125</v>
      </c>
      <c r="P399" s="6">
        <v>0</v>
      </c>
      <c r="Q399" s="6">
        <v>1</v>
      </c>
      <c r="R399" s="6">
        <v>1</v>
      </c>
      <c r="S399" s="6">
        <v>2</v>
      </c>
      <c r="T399" s="6" t="str">
        <f t="shared" si="20"/>
        <v>Tercera</v>
      </c>
    </row>
    <row r="400" spans="1:20">
      <c r="A400" s="7" t="s">
        <v>1085</v>
      </c>
      <c r="B400" s="7" t="s">
        <v>781</v>
      </c>
      <c r="C400" s="8">
        <v>1</v>
      </c>
      <c r="D400" s="7" t="s">
        <v>1085</v>
      </c>
      <c r="E400" s="7" t="s">
        <v>1096</v>
      </c>
      <c r="F400">
        <v>1964</v>
      </c>
      <c r="G400" s="6">
        <v>25709</v>
      </c>
      <c r="H400" s="11" t="s">
        <v>1097</v>
      </c>
      <c r="I400" s="6">
        <v>22</v>
      </c>
      <c r="J400" s="6">
        <v>65</v>
      </c>
      <c r="K400" s="6">
        <v>175</v>
      </c>
      <c r="L400" s="6">
        <v>56</v>
      </c>
      <c r="M400" s="10">
        <f t="shared" si="18"/>
        <v>312.5</v>
      </c>
      <c r="N400" s="10">
        <f t="shared" si="19"/>
        <v>313</v>
      </c>
      <c r="O400" s="6" t="s">
        <v>19</v>
      </c>
      <c r="P400" s="6">
        <v>6</v>
      </c>
      <c r="Q400" s="6">
        <v>5</v>
      </c>
      <c r="R400" s="6">
        <v>9</v>
      </c>
      <c r="S400" s="6">
        <v>20</v>
      </c>
      <c r="T400" s="6" t="str">
        <f t="shared" si="20"/>
        <v>Segunda</v>
      </c>
    </row>
    <row r="401" spans="1:20">
      <c r="A401" s="7" t="s">
        <v>1085</v>
      </c>
      <c r="B401" s="7" t="s">
        <v>781</v>
      </c>
      <c r="C401" s="8">
        <v>1</v>
      </c>
      <c r="D401" s="7" t="s">
        <v>1085</v>
      </c>
      <c r="E401" s="7" t="s">
        <v>1098</v>
      </c>
      <c r="F401">
        <v>1779</v>
      </c>
      <c r="G401" s="6">
        <v>23662</v>
      </c>
      <c r="H401" s="11" t="s">
        <v>1099</v>
      </c>
      <c r="I401" s="6">
        <v>42</v>
      </c>
      <c r="J401" s="6">
        <v>106</v>
      </c>
      <c r="K401" s="6">
        <v>194</v>
      </c>
      <c r="L401" s="6">
        <v>41</v>
      </c>
      <c r="M401" s="10">
        <f t="shared" si="18"/>
        <v>473.17073170731709</v>
      </c>
      <c r="N401" s="10">
        <f t="shared" si="19"/>
        <v>474</v>
      </c>
      <c r="O401" s="6" t="s">
        <v>37</v>
      </c>
      <c r="P401" s="6">
        <v>2</v>
      </c>
      <c r="Q401" s="6">
        <v>4</v>
      </c>
      <c r="R401" s="6">
        <v>12</v>
      </c>
      <c r="S401" s="6">
        <v>18</v>
      </c>
      <c r="T401" s="6" t="str">
        <f t="shared" si="20"/>
        <v>Tercera</v>
      </c>
    </row>
    <row r="402" spans="1:20">
      <c r="A402" s="7" t="s">
        <v>1085</v>
      </c>
      <c r="B402" s="7" t="s">
        <v>781</v>
      </c>
      <c r="C402" s="8">
        <v>1</v>
      </c>
      <c r="D402" s="7" t="s">
        <v>1085</v>
      </c>
      <c r="E402" s="7" t="s">
        <v>1100</v>
      </c>
      <c r="F402">
        <v>1834</v>
      </c>
      <c r="G402" s="6">
        <v>6196</v>
      </c>
      <c r="H402" s="11" t="s">
        <v>1101</v>
      </c>
      <c r="I402" s="6">
        <v>31</v>
      </c>
      <c r="J402" s="6">
        <v>44</v>
      </c>
      <c r="K402" s="6">
        <v>118</v>
      </c>
      <c r="L402" s="6">
        <v>62</v>
      </c>
      <c r="M402" s="10">
        <f t="shared" si="18"/>
        <v>190.32258064516128</v>
      </c>
      <c r="N402" s="10">
        <f t="shared" si="19"/>
        <v>191</v>
      </c>
      <c r="O402" s="6" t="s">
        <v>27</v>
      </c>
      <c r="P402" s="6">
        <v>2</v>
      </c>
      <c r="Q402" s="6">
        <v>2</v>
      </c>
      <c r="R402" s="6">
        <v>7</v>
      </c>
      <c r="S402" s="6">
        <v>11</v>
      </c>
      <c r="T402" s="6" t="str">
        <f t="shared" si="20"/>
        <v>Segunda</v>
      </c>
    </row>
    <row r="403" spans="1:20">
      <c r="A403" s="7" t="s">
        <v>1085</v>
      </c>
      <c r="B403" s="7" t="s">
        <v>483</v>
      </c>
      <c r="C403" s="8">
        <v>1</v>
      </c>
      <c r="D403" s="7" t="s">
        <v>1085</v>
      </c>
      <c r="E403" s="7" t="s">
        <v>1098</v>
      </c>
      <c r="F403">
        <v>1779</v>
      </c>
      <c r="G403" s="6">
        <v>23662</v>
      </c>
      <c r="H403" s="11" t="s">
        <v>1099</v>
      </c>
      <c r="I403" s="6">
        <v>42</v>
      </c>
      <c r="J403" s="6">
        <v>106</v>
      </c>
      <c r="K403" s="6">
        <v>194</v>
      </c>
      <c r="L403" s="6">
        <v>41</v>
      </c>
      <c r="M403" s="10">
        <f t="shared" si="18"/>
        <v>473.17073170731709</v>
      </c>
      <c r="N403" s="10">
        <f t="shared" si="19"/>
        <v>474</v>
      </c>
      <c r="O403" s="6" t="s">
        <v>37</v>
      </c>
      <c r="P403" s="6">
        <v>2</v>
      </c>
      <c r="Q403" s="6">
        <v>4</v>
      </c>
      <c r="R403" s="6">
        <v>12</v>
      </c>
      <c r="S403" s="6">
        <v>18</v>
      </c>
      <c r="T403" s="6" t="str">
        <f t="shared" si="20"/>
        <v>Tercera</v>
      </c>
    </row>
    <row r="404" spans="1:20">
      <c r="A404" s="7" t="s">
        <v>1085</v>
      </c>
      <c r="B404" s="7" t="s">
        <v>483</v>
      </c>
      <c r="C404" s="8">
        <v>1</v>
      </c>
      <c r="D404" s="7" t="s">
        <v>1085</v>
      </c>
      <c r="E404" s="7" t="s">
        <v>1100</v>
      </c>
      <c r="F404">
        <v>1834</v>
      </c>
      <c r="G404" s="6">
        <v>6196</v>
      </c>
      <c r="H404" s="11" t="s">
        <v>1101</v>
      </c>
      <c r="I404" s="6">
        <v>31</v>
      </c>
      <c r="J404" s="6">
        <v>44</v>
      </c>
      <c r="K404" s="6">
        <v>118</v>
      </c>
      <c r="L404" s="6">
        <v>62</v>
      </c>
      <c r="M404" s="10">
        <f t="shared" si="18"/>
        <v>190.32258064516128</v>
      </c>
      <c r="N404" s="10">
        <f t="shared" si="19"/>
        <v>191</v>
      </c>
      <c r="O404" s="6" t="s">
        <v>27</v>
      </c>
      <c r="P404" s="6">
        <v>2</v>
      </c>
      <c r="Q404" s="6">
        <v>2</v>
      </c>
      <c r="R404" s="6">
        <v>7</v>
      </c>
      <c r="S404" s="6">
        <v>11</v>
      </c>
      <c r="T404" s="6" t="str">
        <f t="shared" si="20"/>
        <v>Segunda</v>
      </c>
    </row>
    <row r="405" spans="1:20">
      <c r="A405" s="7" t="s">
        <v>1085</v>
      </c>
      <c r="B405" s="7" t="s">
        <v>483</v>
      </c>
      <c r="C405" s="8">
        <v>1</v>
      </c>
      <c r="D405" s="7" t="s">
        <v>1085</v>
      </c>
      <c r="E405" s="7" t="s">
        <v>1102</v>
      </c>
      <c r="F405">
        <v>1688</v>
      </c>
      <c r="G405" s="6">
        <v>15410</v>
      </c>
      <c r="H405" s="11" t="s">
        <v>1103</v>
      </c>
      <c r="I405" s="6">
        <v>69</v>
      </c>
      <c r="J405" s="6">
        <v>53</v>
      </c>
      <c r="K405" s="6">
        <v>143</v>
      </c>
      <c r="L405" s="6">
        <v>63</v>
      </c>
      <c r="M405" s="10">
        <f t="shared" si="18"/>
        <v>226.98412698412699</v>
      </c>
      <c r="N405" s="10">
        <f t="shared" si="19"/>
        <v>227</v>
      </c>
      <c r="O405" s="6" t="s">
        <v>126</v>
      </c>
      <c r="P405" s="6">
        <v>2</v>
      </c>
      <c r="Q405" s="6">
        <v>6</v>
      </c>
      <c r="R405" s="6">
        <v>11</v>
      </c>
      <c r="S405" s="6">
        <v>19</v>
      </c>
      <c r="T405" s="6" t="str">
        <f t="shared" si="20"/>
        <v>Tercera</v>
      </c>
    </row>
    <row r="406" spans="1:20">
      <c r="A406" s="7" t="s">
        <v>1085</v>
      </c>
      <c r="B406" s="7" t="s">
        <v>483</v>
      </c>
      <c r="C406" s="8">
        <v>1</v>
      </c>
      <c r="D406" s="7" t="s">
        <v>1085</v>
      </c>
      <c r="E406" s="7" t="s">
        <v>1104</v>
      </c>
      <c r="F406">
        <v>1000</v>
      </c>
      <c r="G406" s="6">
        <v>4003</v>
      </c>
      <c r="H406" s="11" t="s">
        <v>1105</v>
      </c>
      <c r="I406" s="6">
        <v>43</v>
      </c>
      <c r="J406" s="6">
        <v>0</v>
      </c>
      <c r="K406" s="6">
        <v>0</v>
      </c>
      <c r="L406" s="6">
        <v>0</v>
      </c>
      <c r="M406" s="10">
        <f t="shared" si="18"/>
        <v>0</v>
      </c>
      <c r="N406" s="10">
        <f t="shared" si="19"/>
        <v>0</v>
      </c>
      <c r="P406" s="6">
        <v>0</v>
      </c>
      <c r="Q406" s="6">
        <v>0</v>
      </c>
      <c r="R406" s="6">
        <v>0</v>
      </c>
      <c r="S406" s="6">
        <v>0</v>
      </c>
      <c r="T406" s="6" t="str">
        <f t="shared" si="20"/>
        <v>Septima</v>
      </c>
    </row>
    <row r="407" spans="1:20">
      <c r="A407" s="7" t="s">
        <v>1085</v>
      </c>
      <c r="B407" s="7" t="s">
        <v>483</v>
      </c>
      <c r="C407" s="8">
        <v>1</v>
      </c>
      <c r="D407" s="7" t="s">
        <v>1085</v>
      </c>
      <c r="E407" s="7" t="s">
        <v>1106</v>
      </c>
      <c r="F407">
        <v>1563</v>
      </c>
      <c r="G407" s="6">
        <v>2203</v>
      </c>
      <c r="H407" s="11" t="s">
        <v>1107</v>
      </c>
      <c r="I407" s="6">
        <v>33</v>
      </c>
      <c r="J407" s="6">
        <v>11</v>
      </c>
      <c r="K407" s="6">
        <v>40</v>
      </c>
      <c r="L407" s="6">
        <v>73</v>
      </c>
      <c r="M407" s="10">
        <f t="shared" si="18"/>
        <v>54.794520547945204</v>
      </c>
      <c r="N407" s="10">
        <f t="shared" si="19"/>
        <v>55</v>
      </c>
      <c r="O407" s="6" t="s">
        <v>127</v>
      </c>
      <c r="P407" s="6">
        <v>3</v>
      </c>
      <c r="Q407" s="6">
        <v>0</v>
      </c>
      <c r="R407" s="6">
        <v>2</v>
      </c>
      <c r="S407" s="6">
        <v>5</v>
      </c>
      <c r="T407" s="6" t="str">
        <f t="shared" si="20"/>
        <v>Cuarta</v>
      </c>
    </row>
    <row r="408" spans="1:20">
      <c r="A408" s="7" t="s">
        <v>1085</v>
      </c>
      <c r="B408" s="7" t="s">
        <v>483</v>
      </c>
      <c r="C408" s="8">
        <v>1</v>
      </c>
      <c r="D408" s="7" t="s">
        <v>1085</v>
      </c>
      <c r="E408" s="7" t="s">
        <v>1108</v>
      </c>
      <c r="F408">
        <v>1630</v>
      </c>
      <c r="G408" s="6">
        <v>23455</v>
      </c>
      <c r="H408" s="11" t="s">
        <v>1109</v>
      </c>
      <c r="I408" s="6">
        <v>19</v>
      </c>
      <c r="J408" s="6">
        <v>65</v>
      </c>
      <c r="K408" s="6">
        <v>174</v>
      </c>
      <c r="L408" s="6">
        <v>57</v>
      </c>
      <c r="M408" s="10">
        <f t="shared" si="18"/>
        <v>305.26315789473682</v>
      </c>
      <c r="N408" s="10">
        <f t="shared" si="19"/>
        <v>306</v>
      </c>
      <c r="O408" s="6" t="s">
        <v>20</v>
      </c>
      <c r="P408" s="6">
        <v>2</v>
      </c>
      <c r="Q408" s="6">
        <v>7</v>
      </c>
      <c r="R408" s="6">
        <v>13</v>
      </c>
      <c r="S408" s="6">
        <v>22</v>
      </c>
      <c r="T408" s="6" t="str">
        <f t="shared" si="20"/>
        <v>Tercera</v>
      </c>
    </row>
    <row r="409" spans="1:20">
      <c r="A409" s="7" t="s">
        <v>1085</v>
      </c>
      <c r="B409" s="7" t="s">
        <v>483</v>
      </c>
      <c r="C409" s="8">
        <v>1</v>
      </c>
      <c r="D409" s="7" t="s">
        <v>1085</v>
      </c>
      <c r="E409" s="7" t="s">
        <v>1110</v>
      </c>
      <c r="F409">
        <v>1742</v>
      </c>
      <c r="G409" s="6">
        <v>23386</v>
      </c>
      <c r="H409" s="11" t="s">
        <v>1111</v>
      </c>
      <c r="I409" s="6">
        <v>29</v>
      </c>
      <c r="J409" s="6">
        <v>58</v>
      </c>
      <c r="K409" s="6">
        <v>160</v>
      </c>
      <c r="L409" s="6">
        <v>55</v>
      </c>
      <c r="M409" s="10">
        <f t="shared" si="18"/>
        <v>290.90909090909093</v>
      </c>
      <c r="N409" s="10">
        <f t="shared" si="19"/>
        <v>291</v>
      </c>
      <c r="O409" s="6" t="s">
        <v>18</v>
      </c>
      <c r="P409" s="6">
        <v>7</v>
      </c>
      <c r="Q409" s="6">
        <v>1</v>
      </c>
      <c r="R409" s="6">
        <v>9</v>
      </c>
      <c r="S409" s="6">
        <v>17</v>
      </c>
      <c r="T409" s="6" t="str">
        <f t="shared" si="20"/>
        <v>Tercera</v>
      </c>
    </row>
    <row r="410" spans="1:20">
      <c r="A410" s="7" t="s">
        <v>1085</v>
      </c>
      <c r="B410" s="7" t="s">
        <v>496</v>
      </c>
      <c r="C410" s="8">
        <v>1</v>
      </c>
      <c r="D410" s="7" t="s">
        <v>1112</v>
      </c>
      <c r="E410" s="7" t="s">
        <v>1113</v>
      </c>
      <c r="F410">
        <v>1465</v>
      </c>
      <c r="G410" s="6">
        <v>943</v>
      </c>
      <c r="H410" s="11" t="s">
        <v>1114</v>
      </c>
      <c r="I410" s="6">
        <v>41</v>
      </c>
      <c r="J410" s="6">
        <v>102</v>
      </c>
      <c r="K410" s="6">
        <v>219</v>
      </c>
      <c r="L410" s="6">
        <v>46</v>
      </c>
      <c r="M410" s="10">
        <f t="shared" si="18"/>
        <v>476.08695652173913</v>
      </c>
      <c r="N410" s="10">
        <f t="shared" si="19"/>
        <v>477</v>
      </c>
      <c r="O410" s="6" t="s">
        <v>12</v>
      </c>
      <c r="P410" s="6">
        <v>1</v>
      </c>
      <c r="Q410" s="6">
        <v>3</v>
      </c>
      <c r="R410" s="6">
        <v>11</v>
      </c>
      <c r="S410" s="6">
        <v>15</v>
      </c>
      <c r="T410" s="6" t="str">
        <f t="shared" si="20"/>
        <v>Cuarta</v>
      </c>
    </row>
    <row r="411" spans="1:20">
      <c r="A411" s="7" t="s">
        <v>1085</v>
      </c>
      <c r="B411" s="7" t="s">
        <v>496</v>
      </c>
      <c r="C411" s="8">
        <v>1</v>
      </c>
      <c r="D411" s="7" t="s">
        <v>1112</v>
      </c>
      <c r="E411" s="7" t="s">
        <v>1115</v>
      </c>
      <c r="F411">
        <v>1418</v>
      </c>
      <c r="G411" s="6">
        <v>24857</v>
      </c>
      <c r="H411" s="11" t="s">
        <v>1116</v>
      </c>
      <c r="I411" s="6">
        <v>33</v>
      </c>
      <c r="J411" s="6">
        <v>192</v>
      </c>
      <c r="K411" s="6">
        <v>420</v>
      </c>
      <c r="L411" s="6">
        <v>47</v>
      </c>
      <c r="M411" s="10">
        <f t="shared" si="18"/>
        <v>893.61702127659578</v>
      </c>
      <c r="N411" s="10">
        <f t="shared" si="19"/>
        <v>894</v>
      </c>
      <c r="O411" s="6" t="s">
        <v>20</v>
      </c>
      <c r="P411" s="6">
        <v>11</v>
      </c>
      <c r="Q411" s="6">
        <v>13</v>
      </c>
      <c r="R411" s="6">
        <v>18</v>
      </c>
      <c r="S411" s="6">
        <v>42</v>
      </c>
      <c r="T411" s="6" t="str">
        <f t="shared" si="20"/>
        <v>Cuarta</v>
      </c>
    </row>
    <row r="412" spans="1:20">
      <c r="A412" s="7" t="s">
        <v>1085</v>
      </c>
      <c r="B412" s="7" t="s">
        <v>496</v>
      </c>
      <c r="C412" s="8">
        <v>1</v>
      </c>
      <c r="D412" s="7" t="s">
        <v>1112</v>
      </c>
      <c r="E412" s="7" t="s">
        <v>1117</v>
      </c>
      <c r="F412">
        <v>1000</v>
      </c>
      <c r="G412" s="6">
        <v>22432</v>
      </c>
      <c r="H412" s="11" t="s">
        <v>1118</v>
      </c>
      <c r="I412" s="6">
        <v>21</v>
      </c>
      <c r="J412" s="6">
        <v>0</v>
      </c>
      <c r="K412" s="6">
        <v>0</v>
      </c>
      <c r="L412" s="6">
        <v>0</v>
      </c>
      <c r="M412" s="10">
        <f t="shared" si="18"/>
        <v>0</v>
      </c>
      <c r="N412" s="10">
        <f t="shared" si="19"/>
        <v>0</v>
      </c>
      <c r="P412" s="6">
        <v>0</v>
      </c>
      <c r="Q412" s="6">
        <v>0</v>
      </c>
      <c r="R412" s="6">
        <v>0</v>
      </c>
      <c r="S412" s="6">
        <v>0</v>
      </c>
      <c r="T412" s="6" t="str">
        <f t="shared" si="20"/>
        <v>Septima</v>
      </c>
    </row>
    <row r="413" spans="1:20">
      <c r="A413" s="7" t="s">
        <v>1085</v>
      </c>
      <c r="B413" s="7" t="s">
        <v>496</v>
      </c>
      <c r="C413" s="8">
        <v>1</v>
      </c>
      <c r="D413" s="7" t="s">
        <v>1112</v>
      </c>
      <c r="E413" s="7" t="s">
        <v>1119</v>
      </c>
      <c r="F413">
        <v>1705</v>
      </c>
      <c r="G413" s="6">
        <v>7829</v>
      </c>
      <c r="H413" s="11" t="s">
        <v>1120</v>
      </c>
      <c r="I413" s="6">
        <v>59</v>
      </c>
      <c r="J413" s="6">
        <v>66</v>
      </c>
      <c r="K413" s="6">
        <v>168</v>
      </c>
      <c r="L413" s="6">
        <v>58</v>
      </c>
      <c r="M413" s="10">
        <f t="shared" si="18"/>
        <v>289.65517241379308</v>
      </c>
      <c r="N413" s="10">
        <f t="shared" si="19"/>
        <v>290</v>
      </c>
      <c r="O413" s="6" t="s">
        <v>128</v>
      </c>
      <c r="P413" s="6">
        <v>2</v>
      </c>
      <c r="Q413" s="6">
        <v>4</v>
      </c>
      <c r="R413" s="6">
        <v>8</v>
      </c>
      <c r="S413" s="6">
        <v>14</v>
      </c>
      <c r="T413" s="6" t="str">
        <f t="shared" si="20"/>
        <v>Tercera</v>
      </c>
    </row>
    <row r="414" spans="1:20">
      <c r="A414" s="7" t="s">
        <v>1085</v>
      </c>
      <c r="B414" s="7" t="s">
        <v>496</v>
      </c>
      <c r="C414" s="8">
        <v>1</v>
      </c>
      <c r="D414" s="7" t="s">
        <v>1112</v>
      </c>
      <c r="E414" s="7" t="s">
        <v>1121</v>
      </c>
      <c r="F414">
        <v>1395</v>
      </c>
      <c r="G414" s="6">
        <v>23773</v>
      </c>
      <c r="H414" s="11" t="s">
        <v>1122</v>
      </c>
      <c r="I414" s="6">
        <v>40</v>
      </c>
      <c r="J414" s="6">
        <v>22</v>
      </c>
      <c r="K414" s="6">
        <v>57</v>
      </c>
      <c r="L414" s="6">
        <v>58</v>
      </c>
      <c r="M414" s="10">
        <f t="shared" si="18"/>
        <v>98.275862068965523</v>
      </c>
      <c r="N414" s="10">
        <f t="shared" si="19"/>
        <v>99</v>
      </c>
      <c r="O414" s="6" t="s">
        <v>29</v>
      </c>
      <c r="P414" s="6">
        <v>1</v>
      </c>
      <c r="Q414" s="6">
        <v>2</v>
      </c>
      <c r="R414" s="6">
        <v>3</v>
      </c>
      <c r="S414" s="6">
        <v>6</v>
      </c>
      <c r="T414" s="6" t="str">
        <f t="shared" si="20"/>
        <v>Quinta</v>
      </c>
    </row>
    <row r="415" spans="1:20">
      <c r="A415" s="7" t="s">
        <v>1085</v>
      </c>
      <c r="B415" s="7" t="s">
        <v>496</v>
      </c>
      <c r="C415" s="8">
        <v>1</v>
      </c>
      <c r="D415" s="7" t="s">
        <v>1112</v>
      </c>
      <c r="E415" s="7" t="s">
        <v>1123</v>
      </c>
      <c r="F415">
        <v>1197</v>
      </c>
      <c r="G415" s="6">
        <v>26335</v>
      </c>
      <c r="H415" s="11" t="s">
        <v>1124</v>
      </c>
      <c r="I415" s="6">
        <v>41</v>
      </c>
      <c r="J415" s="6">
        <v>37</v>
      </c>
      <c r="K415" s="6">
        <v>84</v>
      </c>
      <c r="L415" s="6">
        <v>51</v>
      </c>
      <c r="M415" s="10">
        <f t="shared" si="18"/>
        <v>164.70588235294119</v>
      </c>
      <c r="N415" s="10">
        <f t="shared" si="19"/>
        <v>165</v>
      </c>
      <c r="O415" s="6" t="s">
        <v>31</v>
      </c>
      <c r="P415" s="6">
        <v>2</v>
      </c>
      <c r="Q415" s="6">
        <v>1</v>
      </c>
      <c r="R415" s="6">
        <v>10</v>
      </c>
      <c r="S415" s="6">
        <v>13</v>
      </c>
      <c r="T415" s="6" t="str">
        <f t="shared" si="20"/>
        <v>Sexta</v>
      </c>
    </row>
    <row r="416" spans="1:20">
      <c r="A416" s="7" t="s">
        <v>1085</v>
      </c>
      <c r="B416" s="7" t="s">
        <v>496</v>
      </c>
      <c r="C416" s="8">
        <v>2</v>
      </c>
      <c r="D416" s="7" t="s">
        <v>1125</v>
      </c>
      <c r="E416" s="7" t="s">
        <v>1126</v>
      </c>
      <c r="F416">
        <v>1548</v>
      </c>
      <c r="G416" s="6">
        <v>9435</v>
      </c>
      <c r="H416" s="11" t="s">
        <v>1127</v>
      </c>
      <c r="I416" s="6">
        <v>55</v>
      </c>
      <c r="J416" s="6">
        <v>158</v>
      </c>
      <c r="K416" s="6">
        <v>375</v>
      </c>
      <c r="L416" s="6">
        <v>55</v>
      </c>
      <c r="M416" s="10">
        <f t="shared" si="18"/>
        <v>681.81818181818187</v>
      </c>
      <c r="N416" s="10">
        <f t="shared" si="19"/>
        <v>682</v>
      </c>
      <c r="O416" s="6" t="s">
        <v>37</v>
      </c>
      <c r="P416" s="6">
        <v>14</v>
      </c>
      <c r="Q416" s="6">
        <v>11</v>
      </c>
      <c r="R416" s="6">
        <v>27</v>
      </c>
      <c r="S416" s="6">
        <v>52</v>
      </c>
      <c r="T416" s="6" t="str">
        <f t="shared" si="20"/>
        <v>Cuarta</v>
      </c>
    </row>
    <row r="417" spans="1:20">
      <c r="A417" s="7" t="s">
        <v>1085</v>
      </c>
      <c r="B417" s="7" t="s">
        <v>496</v>
      </c>
      <c r="C417" s="8">
        <v>2</v>
      </c>
      <c r="D417" s="7" t="s">
        <v>1125</v>
      </c>
      <c r="E417" s="7" t="s">
        <v>1128</v>
      </c>
      <c r="F417">
        <v>1553</v>
      </c>
      <c r="G417" s="6">
        <v>15325</v>
      </c>
      <c r="H417" s="11" t="s">
        <v>1129</v>
      </c>
      <c r="I417" s="6">
        <v>32</v>
      </c>
      <c r="J417" s="6">
        <v>12</v>
      </c>
      <c r="K417" s="6">
        <v>41</v>
      </c>
      <c r="L417" s="6">
        <v>59</v>
      </c>
      <c r="M417" s="10">
        <f t="shared" si="18"/>
        <v>69.491525423728817</v>
      </c>
      <c r="N417" s="10">
        <f t="shared" si="19"/>
        <v>70</v>
      </c>
      <c r="O417" s="6" t="s">
        <v>129</v>
      </c>
      <c r="P417" s="6">
        <v>2</v>
      </c>
      <c r="Q417" s="6">
        <v>2</v>
      </c>
      <c r="R417" s="6">
        <v>3</v>
      </c>
      <c r="S417" s="6">
        <v>7</v>
      </c>
      <c r="T417" s="6" t="str">
        <f t="shared" si="20"/>
        <v>Cuarta</v>
      </c>
    </row>
    <row r="418" spans="1:20">
      <c r="A418" s="7" t="s">
        <v>1085</v>
      </c>
      <c r="B418" s="7" t="s">
        <v>496</v>
      </c>
      <c r="C418" s="8">
        <v>2</v>
      </c>
      <c r="D418" s="7" t="s">
        <v>1125</v>
      </c>
      <c r="E418" s="7" t="s">
        <v>1130</v>
      </c>
      <c r="F418">
        <v>1499</v>
      </c>
      <c r="G418" s="6">
        <v>466</v>
      </c>
      <c r="H418" s="11" t="s">
        <v>1131</v>
      </c>
      <c r="I418" s="6">
        <v>49</v>
      </c>
      <c r="J418" s="6">
        <v>34</v>
      </c>
      <c r="K418" s="6">
        <v>63</v>
      </c>
      <c r="L418" s="6">
        <v>49</v>
      </c>
      <c r="M418" s="10">
        <f t="shared" si="18"/>
        <v>128.57142857142858</v>
      </c>
      <c r="N418" s="10">
        <f t="shared" si="19"/>
        <v>129</v>
      </c>
      <c r="O418" s="6" t="s">
        <v>130</v>
      </c>
      <c r="P418" s="6">
        <v>2</v>
      </c>
      <c r="Q418" s="6">
        <v>1</v>
      </c>
      <c r="R418" s="6">
        <v>6</v>
      </c>
      <c r="S418" s="6">
        <v>9</v>
      </c>
      <c r="T418" s="6" t="str">
        <f t="shared" si="20"/>
        <v>Cuarta</v>
      </c>
    </row>
    <row r="419" spans="1:20">
      <c r="A419" s="7" t="s">
        <v>1085</v>
      </c>
      <c r="B419" s="7" t="s">
        <v>496</v>
      </c>
      <c r="C419" s="8">
        <v>2</v>
      </c>
      <c r="D419" s="7" t="s">
        <v>1125</v>
      </c>
      <c r="E419" s="7" t="s">
        <v>1132</v>
      </c>
      <c r="F419">
        <v>1216</v>
      </c>
      <c r="G419" s="6">
        <v>20635</v>
      </c>
      <c r="H419" s="11" t="s">
        <v>1133</v>
      </c>
      <c r="I419" s="6">
        <v>65</v>
      </c>
      <c r="J419" s="6">
        <v>66</v>
      </c>
      <c r="K419" s="6">
        <v>148</v>
      </c>
      <c r="L419" s="6">
        <v>54</v>
      </c>
      <c r="M419" s="10">
        <f t="shared" si="18"/>
        <v>274.07407407407408</v>
      </c>
      <c r="N419" s="10">
        <f t="shared" si="19"/>
        <v>275</v>
      </c>
      <c r="O419" s="6" t="s">
        <v>19</v>
      </c>
      <c r="P419" s="6">
        <v>6</v>
      </c>
      <c r="Q419" s="6">
        <v>8</v>
      </c>
      <c r="R419" s="6">
        <v>10</v>
      </c>
      <c r="S419" s="6">
        <v>24</v>
      </c>
      <c r="T419" s="6" t="str">
        <f t="shared" si="20"/>
        <v>Quinta</v>
      </c>
    </row>
    <row r="420" spans="1:20">
      <c r="A420" s="7" t="s">
        <v>1085</v>
      </c>
      <c r="B420" s="7" t="s">
        <v>496</v>
      </c>
      <c r="C420" s="8">
        <v>2</v>
      </c>
      <c r="D420" s="7" t="s">
        <v>1125</v>
      </c>
      <c r="E420" s="7" t="s">
        <v>1134</v>
      </c>
      <c r="F420">
        <v>1343</v>
      </c>
      <c r="G420" s="6">
        <v>27841</v>
      </c>
      <c r="H420" s="11" t="s">
        <v>1135</v>
      </c>
      <c r="I420" s="6">
        <v>63</v>
      </c>
      <c r="J420" s="6">
        <v>39</v>
      </c>
      <c r="K420" s="6">
        <v>124</v>
      </c>
      <c r="L420" s="6">
        <v>59</v>
      </c>
      <c r="M420" s="10">
        <f t="shared" si="18"/>
        <v>210.16949152542372</v>
      </c>
      <c r="N420" s="10">
        <f t="shared" si="19"/>
        <v>211</v>
      </c>
      <c r="O420" s="6" t="s">
        <v>12</v>
      </c>
      <c r="P420" s="6">
        <v>3</v>
      </c>
      <c r="Q420" s="6">
        <v>6</v>
      </c>
      <c r="R420" s="6">
        <v>7</v>
      </c>
      <c r="S420" s="6">
        <v>16</v>
      </c>
      <c r="T420" s="6" t="str">
        <f t="shared" si="20"/>
        <v>Quinta</v>
      </c>
    </row>
    <row r="421" spans="1:20">
      <c r="A421" s="7" t="s">
        <v>1085</v>
      </c>
      <c r="B421" s="7" t="s">
        <v>496</v>
      </c>
      <c r="C421" s="8">
        <v>2</v>
      </c>
      <c r="D421" s="7" t="s">
        <v>1125</v>
      </c>
      <c r="E421" s="7" t="s">
        <v>1136</v>
      </c>
      <c r="F421">
        <v>1224</v>
      </c>
      <c r="G421" s="6">
        <v>24256</v>
      </c>
      <c r="H421" s="11" t="s">
        <v>1137</v>
      </c>
      <c r="I421" s="6">
        <v>35</v>
      </c>
      <c r="J421" s="6">
        <v>166</v>
      </c>
      <c r="K421" s="6">
        <v>368</v>
      </c>
      <c r="L421" s="6">
        <v>46</v>
      </c>
      <c r="M421" s="10">
        <f t="shared" si="18"/>
        <v>800</v>
      </c>
      <c r="N421" s="10">
        <f t="shared" si="19"/>
        <v>800</v>
      </c>
      <c r="O421" s="6" t="s">
        <v>37</v>
      </c>
      <c r="P421" s="6">
        <v>10</v>
      </c>
      <c r="Q421" s="6">
        <v>18</v>
      </c>
      <c r="R421" s="6">
        <v>22</v>
      </c>
      <c r="S421" s="6">
        <v>50</v>
      </c>
      <c r="T421" s="6" t="str">
        <f t="shared" si="20"/>
        <v>Quinta</v>
      </c>
    </row>
    <row r="422" spans="1:20">
      <c r="A422" s="7" t="s">
        <v>1085</v>
      </c>
      <c r="B422" s="7" t="s">
        <v>507</v>
      </c>
      <c r="C422" s="8">
        <v>1</v>
      </c>
      <c r="D422" s="7" t="s">
        <v>1085</v>
      </c>
      <c r="E422" s="7" t="s">
        <v>1138</v>
      </c>
      <c r="F422">
        <v>1395</v>
      </c>
      <c r="G422" s="6">
        <v>16142</v>
      </c>
      <c r="H422" s="11" t="s">
        <v>1139</v>
      </c>
      <c r="I422" s="6">
        <v>32</v>
      </c>
      <c r="J422" s="6">
        <v>55</v>
      </c>
      <c r="K422" s="6">
        <v>101</v>
      </c>
      <c r="L422" s="6">
        <v>40</v>
      </c>
      <c r="M422" s="10">
        <f t="shared" si="18"/>
        <v>252.5</v>
      </c>
      <c r="N422" s="10">
        <f t="shared" si="19"/>
        <v>253</v>
      </c>
      <c r="O422" s="6" t="s">
        <v>131</v>
      </c>
      <c r="P422" s="6">
        <v>4</v>
      </c>
      <c r="Q422" s="6">
        <v>1</v>
      </c>
      <c r="R422" s="6">
        <v>4</v>
      </c>
      <c r="S422" s="6">
        <v>9</v>
      </c>
      <c r="T422" s="6" t="str">
        <f t="shared" si="20"/>
        <v>Quinta</v>
      </c>
    </row>
    <row r="423" spans="1:20">
      <c r="A423" s="7" t="s">
        <v>1085</v>
      </c>
      <c r="B423" s="7" t="s">
        <v>507</v>
      </c>
      <c r="C423" s="8">
        <v>1</v>
      </c>
      <c r="D423" s="7" t="s">
        <v>1085</v>
      </c>
      <c r="E423" s="7" t="s">
        <v>1140</v>
      </c>
      <c r="F423">
        <v>1391</v>
      </c>
      <c r="G423" s="6">
        <v>27894</v>
      </c>
      <c r="H423" s="11" t="s">
        <v>1141</v>
      </c>
      <c r="I423" s="6">
        <v>12</v>
      </c>
      <c r="J423" s="6">
        <v>18</v>
      </c>
      <c r="K423" s="6">
        <v>48</v>
      </c>
      <c r="L423" s="6">
        <v>56</v>
      </c>
      <c r="M423" s="10">
        <f t="shared" si="18"/>
        <v>85.714285714285708</v>
      </c>
      <c r="N423" s="10">
        <f t="shared" si="19"/>
        <v>86</v>
      </c>
      <c r="O423" s="6" t="s">
        <v>18</v>
      </c>
      <c r="P423" s="6">
        <v>2</v>
      </c>
      <c r="Q423" s="6">
        <v>0</v>
      </c>
      <c r="R423" s="6">
        <v>2</v>
      </c>
      <c r="S423" s="6">
        <v>4</v>
      </c>
      <c r="T423" s="6" t="str">
        <f t="shared" si="20"/>
        <v>Quinta</v>
      </c>
    </row>
    <row r="424" spans="1:20">
      <c r="A424" s="7" t="s">
        <v>1085</v>
      </c>
      <c r="B424" s="7" t="s">
        <v>507</v>
      </c>
      <c r="C424" s="8">
        <v>1</v>
      </c>
      <c r="D424" s="7" t="s">
        <v>1085</v>
      </c>
      <c r="E424" s="7" t="s">
        <v>1142</v>
      </c>
      <c r="F424">
        <v>1410</v>
      </c>
      <c r="G424" s="6">
        <v>26396</v>
      </c>
      <c r="H424" s="11" t="s">
        <v>1143</v>
      </c>
      <c r="I424" s="6">
        <v>13</v>
      </c>
      <c r="J424" s="6">
        <v>15</v>
      </c>
      <c r="K424" s="6">
        <v>44</v>
      </c>
      <c r="L424" s="6">
        <v>63</v>
      </c>
      <c r="M424" s="10">
        <f t="shared" si="18"/>
        <v>69.841269841269835</v>
      </c>
      <c r="N424" s="10">
        <f t="shared" si="19"/>
        <v>70</v>
      </c>
      <c r="O424" s="6" t="s">
        <v>19</v>
      </c>
      <c r="P424" s="6">
        <v>4</v>
      </c>
      <c r="Q424" s="6">
        <v>1</v>
      </c>
      <c r="R424" s="6">
        <v>1</v>
      </c>
      <c r="S424" s="6">
        <v>6</v>
      </c>
      <c r="T424" s="6" t="str">
        <f t="shared" si="20"/>
        <v>Cuarta</v>
      </c>
    </row>
    <row r="425" spans="1:20">
      <c r="A425" s="7" t="s">
        <v>1085</v>
      </c>
      <c r="B425" s="7" t="s">
        <v>507</v>
      </c>
      <c r="C425" s="8">
        <v>1</v>
      </c>
      <c r="D425" s="7" t="s">
        <v>1085</v>
      </c>
      <c r="E425" s="7" t="s">
        <v>1144</v>
      </c>
      <c r="F425">
        <v>1300</v>
      </c>
      <c r="G425" s="6">
        <v>25113</v>
      </c>
      <c r="H425" s="11" t="s">
        <v>1145</v>
      </c>
      <c r="I425" s="6">
        <v>37</v>
      </c>
      <c r="J425" s="6">
        <v>52</v>
      </c>
      <c r="K425" s="6">
        <v>105</v>
      </c>
      <c r="L425" s="6">
        <v>45</v>
      </c>
      <c r="M425" s="10">
        <f t="shared" si="18"/>
        <v>233.33333333333334</v>
      </c>
      <c r="N425" s="10">
        <f t="shared" si="19"/>
        <v>234</v>
      </c>
      <c r="O425" s="6" t="s">
        <v>18</v>
      </c>
      <c r="P425" s="6">
        <v>2</v>
      </c>
      <c r="Q425" s="6">
        <v>3</v>
      </c>
      <c r="R425" s="6">
        <v>10</v>
      </c>
      <c r="S425" s="6">
        <v>15</v>
      </c>
      <c r="T425" s="6" t="str">
        <f t="shared" si="20"/>
        <v>Quinta</v>
      </c>
    </row>
    <row r="426" spans="1:20">
      <c r="A426" s="7" t="s">
        <v>1085</v>
      </c>
      <c r="B426" s="7" t="s">
        <v>507</v>
      </c>
      <c r="C426" s="8">
        <v>1</v>
      </c>
      <c r="D426" s="7" t="s">
        <v>1085</v>
      </c>
      <c r="E426" s="7" t="s">
        <v>1146</v>
      </c>
      <c r="F426">
        <v>1212</v>
      </c>
      <c r="G426" s="6">
        <v>27895</v>
      </c>
      <c r="H426" s="11" t="s">
        <v>1147</v>
      </c>
      <c r="I426" s="6">
        <v>10</v>
      </c>
      <c r="J426" s="6">
        <v>17</v>
      </c>
      <c r="K426" s="6">
        <v>35</v>
      </c>
      <c r="L426" s="6">
        <v>51</v>
      </c>
      <c r="M426" s="10">
        <f t="shared" si="18"/>
        <v>68.627450980392155</v>
      </c>
      <c r="N426" s="10">
        <f t="shared" si="19"/>
        <v>69</v>
      </c>
      <c r="O426" s="6" t="s">
        <v>18</v>
      </c>
      <c r="P426" s="6">
        <v>3</v>
      </c>
      <c r="Q426" s="6">
        <v>0</v>
      </c>
      <c r="R426" s="6">
        <v>1</v>
      </c>
      <c r="S426" s="6">
        <v>4</v>
      </c>
      <c r="T426" s="6" t="str">
        <f t="shared" si="20"/>
        <v>Quinta</v>
      </c>
    </row>
    <row r="427" spans="1:20">
      <c r="A427" s="7" t="s">
        <v>1085</v>
      </c>
      <c r="B427" s="7" t="s">
        <v>507</v>
      </c>
      <c r="C427" s="8">
        <v>1</v>
      </c>
      <c r="D427" s="7" t="s">
        <v>1085</v>
      </c>
      <c r="E427" s="7" t="s">
        <v>1148</v>
      </c>
      <c r="F427">
        <v>1072</v>
      </c>
      <c r="G427" s="6">
        <v>20987</v>
      </c>
      <c r="H427" s="11" t="s">
        <v>1149</v>
      </c>
      <c r="I427" s="6">
        <v>21</v>
      </c>
      <c r="J427" s="6">
        <v>1</v>
      </c>
      <c r="K427" s="6">
        <v>1</v>
      </c>
      <c r="L427" s="6">
        <v>14</v>
      </c>
      <c r="M427" s="10">
        <f t="shared" si="18"/>
        <v>7.1428571428571432</v>
      </c>
      <c r="N427" s="10">
        <f t="shared" si="19"/>
        <v>8</v>
      </c>
      <c r="O427" s="6" t="s">
        <v>132</v>
      </c>
      <c r="P427" s="6">
        <v>0</v>
      </c>
      <c r="Q427" s="6">
        <v>0</v>
      </c>
      <c r="R427" s="6">
        <v>0</v>
      </c>
      <c r="S427" s="6">
        <v>0</v>
      </c>
      <c r="T427" s="6" t="str">
        <f t="shared" si="20"/>
        <v>Septima</v>
      </c>
    </row>
    <row r="428" spans="1:20">
      <c r="A428" s="7" t="s">
        <v>1085</v>
      </c>
      <c r="B428" s="7" t="s">
        <v>526</v>
      </c>
      <c r="C428" s="8">
        <v>1</v>
      </c>
      <c r="D428" s="7" t="s">
        <v>1112</v>
      </c>
      <c r="E428" s="7" t="s">
        <v>1150</v>
      </c>
      <c r="F428">
        <v>1038</v>
      </c>
      <c r="G428" s="6">
        <v>20713</v>
      </c>
      <c r="H428" s="11" t="s">
        <v>1151</v>
      </c>
      <c r="I428" s="6">
        <v>44</v>
      </c>
      <c r="J428" s="6">
        <v>10</v>
      </c>
      <c r="K428" s="6">
        <v>16</v>
      </c>
      <c r="L428" s="6">
        <v>41</v>
      </c>
      <c r="M428" s="10">
        <f t="shared" si="18"/>
        <v>39.024390243902438</v>
      </c>
      <c r="N428" s="10">
        <f t="shared" si="19"/>
        <v>40</v>
      </c>
      <c r="O428" s="6" t="s">
        <v>18</v>
      </c>
      <c r="P428" s="6">
        <v>1</v>
      </c>
      <c r="Q428" s="6">
        <v>0</v>
      </c>
      <c r="R428" s="6">
        <v>0</v>
      </c>
      <c r="S428" s="6">
        <v>1</v>
      </c>
      <c r="T428" s="6" t="str">
        <f t="shared" si="20"/>
        <v>Septima</v>
      </c>
    </row>
    <row r="429" spans="1:20">
      <c r="A429" s="7" t="s">
        <v>1085</v>
      </c>
      <c r="B429" s="7" t="s">
        <v>526</v>
      </c>
      <c r="C429" s="8">
        <v>1</v>
      </c>
      <c r="D429" s="7" t="s">
        <v>1112</v>
      </c>
      <c r="E429" s="7" t="s">
        <v>1152</v>
      </c>
      <c r="F429">
        <v>1669</v>
      </c>
      <c r="G429" s="6">
        <v>5773</v>
      </c>
      <c r="H429" s="11" t="s">
        <v>1153</v>
      </c>
      <c r="I429" s="6">
        <v>38</v>
      </c>
      <c r="J429" s="6">
        <v>7</v>
      </c>
      <c r="K429" s="6">
        <v>18</v>
      </c>
      <c r="L429" s="6">
        <v>46</v>
      </c>
      <c r="M429" s="10">
        <f t="shared" si="18"/>
        <v>39.130434782608695</v>
      </c>
      <c r="N429" s="10">
        <f t="shared" si="19"/>
        <v>40</v>
      </c>
      <c r="O429" s="6" t="s">
        <v>133</v>
      </c>
      <c r="P429" s="6">
        <v>0</v>
      </c>
      <c r="Q429" s="6">
        <v>1</v>
      </c>
      <c r="R429" s="6">
        <v>0</v>
      </c>
      <c r="S429" s="6">
        <v>1</v>
      </c>
      <c r="T429" s="6" t="str">
        <f t="shared" si="20"/>
        <v>Tercera</v>
      </c>
    </row>
    <row r="430" spans="1:20">
      <c r="A430" s="7" t="s">
        <v>1085</v>
      </c>
      <c r="B430" s="7" t="s">
        <v>526</v>
      </c>
      <c r="C430" s="8">
        <v>1</v>
      </c>
      <c r="D430" s="7" t="s">
        <v>1112</v>
      </c>
      <c r="E430" s="7" t="s">
        <v>1154</v>
      </c>
      <c r="F430">
        <v>1000</v>
      </c>
      <c r="G430" s="6">
        <v>9386</v>
      </c>
      <c r="H430" s="11" t="s">
        <v>1155</v>
      </c>
      <c r="I430" s="6">
        <v>33</v>
      </c>
      <c r="J430" s="6">
        <v>0</v>
      </c>
      <c r="K430" s="6">
        <v>0</v>
      </c>
      <c r="L430" s="6">
        <v>0</v>
      </c>
      <c r="M430" s="10">
        <f t="shared" si="18"/>
        <v>0</v>
      </c>
      <c r="N430" s="10">
        <f t="shared" si="19"/>
        <v>0</v>
      </c>
      <c r="P430" s="6">
        <v>0</v>
      </c>
      <c r="Q430" s="6">
        <v>0</v>
      </c>
      <c r="R430" s="6">
        <v>0</v>
      </c>
      <c r="S430" s="6">
        <v>0</v>
      </c>
      <c r="T430" s="6" t="str">
        <f t="shared" si="20"/>
        <v>Septima</v>
      </c>
    </row>
    <row r="431" spans="1:20">
      <c r="A431" s="7" t="s">
        <v>1085</v>
      </c>
      <c r="B431" s="7" t="s">
        <v>526</v>
      </c>
      <c r="C431" s="8">
        <v>1</v>
      </c>
      <c r="D431" s="7" t="s">
        <v>1112</v>
      </c>
      <c r="E431" s="7" t="s">
        <v>1156</v>
      </c>
      <c r="F431">
        <v>1102</v>
      </c>
      <c r="G431" s="6">
        <v>21941</v>
      </c>
      <c r="H431" s="11" t="s">
        <v>1157</v>
      </c>
      <c r="I431" s="6">
        <v>36</v>
      </c>
      <c r="J431" s="6">
        <v>6</v>
      </c>
      <c r="K431" s="6">
        <v>13</v>
      </c>
      <c r="L431" s="6">
        <v>52</v>
      </c>
      <c r="M431" s="10">
        <f t="shared" si="18"/>
        <v>25</v>
      </c>
      <c r="N431" s="10">
        <f t="shared" si="19"/>
        <v>25</v>
      </c>
      <c r="O431" s="6" t="s">
        <v>134</v>
      </c>
      <c r="P431" s="6">
        <v>0</v>
      </c>
      <c r="Q431" s="6">
        <v>1</v>
      </c>
      <c r="R431" s="6">
        <v>2</v>
      </c>
      <c r="S431" s="6">
        <v>3</v>
      </c>
      <c r="T431" s="6" t="str">
        <f t="shared" si="20"/>
        <v>Sexta</v>
      </c>
    </row>
    <row r="432" spans="1:20">
      <c r="A432" s="7" t="s">
        <v>1085</v>
      </c>
      <c r="B432" s="7" t="s">
        <v>526</v>
      </c>
      <c r="C432" s="8">
        <v>1</v>
      </c>
      <c r="D432" s="7" t="s">
        <v>1112</v>
      </c>
      <c r="E432" s="7" t="s">
        <v>1158</v>
      </c>
      <c r="F432">
        <v>1066</v>
      </c>
      <c r="G432" s="6">
        <v>29463</v>
      </c>
      <c r="H432" s="11" t="s">
        <v>1159</v>
      </c>
      <c r="I432" s="6">
        <v>54</v>
      </c>
      <c r="J432" s="6">
        <v>5</v>
      </c>
      <c r="K432" s="6">
        <v>15</v>
      </c>
      <c r="L432" s="6">
        <v>71</v>
      </c>
      <c r="M432" s="10">
        <f t="shared" si="18"/>
        <v>21.12676056338028</v>
      </c>
      <c r="N432" s="10">
        <f t="shared" si="19"/>
        <v>22</v>
      </c>
      <c r="O432" s="6" t="s">
        <v>12</v>
      </c>
      <c r="P432" s="6">
        <v>2</v>
      </c>
      <c r="Q432" s="6">
        <v>0</v>
      </c>
      <c r="R432" s="6">
        <v>0</v>
      </c>
      <c r="S432" s="6">
        <v>2</v>
      </c>
      <c r="T432" s="6" t="str">
        <f t="shared" si="20"/>
        <v>Septima</v>
      </c>
    </row>
    <row r="433" spans="1:20">
      <c r="A433" s="7" t="s">
        <v>1085</v>
      </c>
      <c r="B433" s="7" t="s">
        <v>526</v>
      </c>
      <c r="C433" s="8">
        <v>1</v>
      </c>
      <c r="D433" s="7" t="s">
        <v>1112</v>
      </c>
      <c r="E433" s="7" t="s">
        <v>1160</v>
      </c>
      <c r="F433">
        <v>1098</v>
      </c>
      <c r="G433" s="6">
        <v>23777</v>
      </c>
      <c r="H433" s="11" t="s">
        <v>1161</v>
      </c>
      <c r="I433" s="6">
        <v>38</v>
      </c>
      <c r="J433" s="6">
        <v>33</v>
      </c>
      <c r="K433" s="6">
        <v>61</v>
      </c>
      <c r="L433" s="6">
        <v>45</v>
      </c>
      <c r="M433" s="10">
        <f t="shared" si="18"/>
        <v>135.55555555555554</v>
      </c>
      <c r="N433" s="10">
        <f t="shared" si="19"/>
        <v>136</v>
      </c>
      <c r="O433" s="6" t="s">
        <v>135</v>
      </c>
      <c r="P433" s="6">
        <v>0</v>
      </c>
      <c r="Q433" s="6">
        <v>0</v>
      </c>
      <c r="R433" s="6">
        <v>7</v>
      </c>
      <c r="S433" s="6">
        <v>7</v>
      </c>
      <c r="T433" s="6" t="str">
        <f t="shared" si="20"/>
        <v>Sexta</v>
      </c>
    </row>
    <row r="434" spans="1:20">
      <c r="A434" s="7" t="s">
        <v>1085</v>
      </c>
      <c r="B434" s="7" t="s">
        <v>526</v>
      </c>
      <c r="C434" s="8">
        <v>2</v>
      </c>
      <c r="D434" s="7" t="s">
        <v>1125</v>
      </c>
      <c r="E434" s="7" t="s">
        <v>1162</v>
      </c>
      <c r="F434">
        <v>1033</v>
      </c>
      <c r="G434" s="6">
        <v>22871</v>
      </c>
      <c r="H434" s="11" t="s">
        <v>1163</v>
      </c>
      <c r="I434" s="6">
        <v>67</v>
      </c>
      <c r="J434" s="6">
        <v>20</v>
      </c>
      <c r="K434" s="6">
        <v>40</v>
      </c>
      <c r="L434" s="6">
        <v>52</v>
      </c>
      <c r="M434" s="10">
        <f t="shared" si="18"/>
        <v>76.92307692307692</v>
      </c>
      <c r="N434" s="10">
        <f t="shared" si="19"/>
        <v>77</v>
      </c>
      <c r="O434" s="6" t="s">
        <v>136</v>
      </c>
      <c r="P434" s="6">
        <v>1</v>
      </c>
      <c r="Q434" s="6">
        <v>3</v>
      </c>
      <c r="R434" s="6">
        <v>1</v>
      </c>
      <c r="S434" s="6">
        <v>5</v>
      </c>
      <c r="T434" s="6" t="str">
        <f t="shared" si="20"/>
        <v>Septima</v>
      </c>
    </row>
    <row r="435" spans="1:20">
      <c r="A435" s="7" t="s">
        <v>1085</v>
      </c>
      <c r="B435" s="7" t="s">
        <v>526</v>
      </c>
      <c r="C435" s="8">
        <v>2</v>
      </c>
      <c r="D435" s="7" t="s">
        <v>1125</v>
      </c>
      <c r="E435" s="7" t="s">
        <v>1164</v>
      </c>
      <c r="F435">
        <v>1169</v>
      </c>
      <c r="G435" s="6">
        <v>23589</v>
      </c>
      <c r="H435" s="11" t="s">
        <v>1165</v>
      </c>
      <c r="I435" s="6">
        <v>20</v>
      </c>
      <c r="J435" s="6">
        <v>11</v>
      </c>
      <c r="K435" s="6">
        <v>28</v>
      </c>
      <c r="L435" s="6">
        <v>57</v>
      </c>
      <c r="M435" s="10">
        <f t="shared" si="18"/>
        <v>49.122807017543863</v>
      </c>
      <c r="N435" s="10">
        <f t="shared" si="19"/>
        <v>50</v>
      </c>
      <c r="O435" s="6" t="s">
        <v>137</v>
      </c>
      <c r="P435" s="6">
        <v>1</v>
      </c>
      <c r="Q435" s="6">
        <v>0</v>
      </c>
      <c r="R435" s="6">
        <v>2</v>
      </c>
      <c r="S435" s="6">
        <v>3</v>
      </c>
      <c r="T435" s="6" t="str">
        <f t="shared" si="20"/>
        <v>Sexta</v>
      </c>
    </row>
    <row r="436" spans="1:20">
      <c r="A436" s="7" t="s">
        <v>1085</v>
      </c>
      <c r="B436" s="7" t="s">
        <v>526</v>
      </c>
      <c r="C436" s="8">
        <v>2</v>
      </c>
      <c r="D436" s="7" t="s">
        <v>1125</v>
      </c>
      <c r="E436" s="7" t="s">
        <v>1166</v>
      </c>
      <c r="F436">
        <v>1035</v>
      </c>
      <c r="G436" s="6">
        <v>18102</v>
      </c>
      <c r="H436" s="11" t="s">
        <v>1167</v>
      </c>
      <c r="I436" s="6">
        <v>27</v>
      </c>
      <c r="J436" s="6">
        <v>27</v>
      </c>
      <c r="K436" s="6">
        <v>44</v>
      </c>
      <c r="L436" s="6">
        <v>36</v>
      </c>
      <c r="M436" s="10">
        <f t="shared" si="18"/>
        <v>122.22222222222223</v>
      </c>
      <c r="N436" s="10">
        <f t="shared" si="19"/>
        <v>123</v>
      </c>
      <c r="O436" s="6" t="s">
        <v>138</v>
      </c>
      <c r="P436" s="6">
        <v>1</v>
      </c>
      <c r="Q436" s="6">
        <v>3</v>
      </c>
      <c r="R436" s="6">
        <v>7</v>
      </c>
      <c r="S436" s="6">
        <v>11</v>
      </c>
      <c r="T436" s="6" t="str">
        <f t="shared" si="20"/>
        <v>Septima</v>
      </c>
    </row>
    <row r="437" spans="1:20">
      <c r="A437" s="7" t="s">
        <v>1085</v>
      </c>
      <c r="B437" s="7" t="s">
        <v>526</v>
      </c>
      <c r="C437" s="8">
        <v>2</v>
      </c>
      <c r="D437" s="7" t="s">
        <v>1125</v>
      </c>
      <c r="E437" s="7" t="s">
        <v>1168</v>
      </c>
      <c r="F437">
        <v>1004</v>
      </c>
      <c r="G437" s="6">
        <v>23905</v>
      </c>
      <c r="H437" s="11" t="s">
        <v>1169</v>
      </c>
      <c r="I437" s="6">
        <v>64</v>
      </c>
      <c r="J437" s="6">
        <v>29</v>
      </c>
      <c r="K437" s="6">
        <v>42</v>
      </c>
      <c r="L437" s="6">
        <v>33</v>
      </c>
      <c r="M437" s="10">
        <f t="shared" si="18"/>
        <v>127.27272727272727</v>
      </c>
      <c r="N437" s="10">
        <f t="shared" si="19"/>
        <v>128</v>
      </c>
      <c r="O437" s="6" t="s">
        <v>138</v>
      </c>
      <c r="P437" s="6">
        <v>0</v>
      </c>
      <c r="Q437" s="6">
        <v>0</v>
      </c>
      <c r="R437" s="6">
        <v>3</v>
      </c>
      <c r="S437" s="6">
        <v>3</v>
      </c>
      <c r="T437" s="6" t="str">
        <f t="shared" si="20"/>
        <v>Septima</v>
      </c>
    </row>
    <row r="438" spans="1:20">
      <c r="A438" s="7" t="s">
        <v>1085</v>
      </c>
      <c r="B438" s="7" t="s">
        <v>526</v>
      </c>
      <c r="C438" s="8">
        <v>2</v>
      </c>
      <c r="D438" s="7" t="s">
        <v>1125</v>
      </c>
      <c r="E438" s="7" t="s">
        <v>1170</v>
      </c>
      <c r="F438">
        <v>1131</v>
      </c>
      <c r="G438" s="6">
        <v>27765</v>
      </c>
      <c r="H438" s="11" t="s">
        <v>1171</v>
      </c>
      <c r="I438" s="6">
        <v>16</v>
      </c>
      <c r="J438" s="6">
        <v>5</v>
      </c>
      <c r="K438" s="6">
        <v>17</v>
      </c>
      <c r="L438" s="6">
        <v>68</v>
      </c>
      <c r="M438" s="10">
        <f t="shared" si="18"/>
        <v>25</v>
      </c>
      <c r="N438" s="10">
        <f t="shared" si="19"/>
        <v>25</v>
      </c>
      <c r="O438" s="6" t="s">
        <v>45</v>
      </c>
      <c r="P438" s="6">
        <v>2</v>
      </c>
      <c r="Q438" s="6">
        <v>0</v>
      </c>
      <c r="R438" s="6">
        <v>1</v>
      </c>
      <c r="S438" s="6">
        <v>3</v>
      </c>
      <c r="T438" s="6" t="str">
        <f t="shared" si="20"/>
        <v>Sexta</v>
      </c>
    </row>
    <row r="439" spans="1:20">
      <c r="A439" s="7" t="s">
        <v>1085</v>
      </c>
      <c r="B439" s="7" t="s">
        <v>526</v>
      </c>
      <c r="C439" s="8">
        <v>2</v>
      </c>
      <c r="D439" s="7" t="s">
        <v>1125</v>
      </c>
      <c r="E439" s="7" t="s">
        <v>1172</v>
      </c>
      <c r="F439">
        <v>1072</v>
      </c>
      <c r="G439" s="6">
        <v>22568</v>
      </c>
      <c r="H439" s="11" t="s">
        <v>1173</v>
      </c>
      <c r="I439" s="6">
        <v>21</v>
      </c>
      <c r="J439" s="6">
        <v>8</v>
      </c>
      <c r="K439" s="6">
        <v>15</v>
      </c>
      <c r="L439" s="6">
        <v>45</v>
      </c>
      <c r="M439" s="10">
        <f t="shared" si="18"/>
        <v>33.333333333333336</v>
      </c>
      <c r="N439" s="10">
        <f t="shared" si="19"/>
        <v>34</v>
      </c>
      <c r="O439" s="6" t="s">
        <v>139</v>
      </c>
      <c r="P439" s="6">
        <v>1</v>
      </c>
      <c r="Q439" s="6">
        <v>0</v>
      </c>
      <c r="R439" s="6">
        <v>2</v>
      </c>
      <c r="S439" s="6">
        <v>3</v>
      </c>
      <c r="T439" s="6" t="str">
        <f t="shared" si="20"/>
        <v>Septima</v>
      </c>
    </row>
    <row r="440" spans="1:20">
      <c r="A440" s="7" t="s">
        <v>1085</v>
      </c>
      <c r="B440" s="7" t="s">
        <v>526</v>
      </c>
      <c r="C440" s="8">
        <v>3</v>
      </c>
      <c r="D440" s="7" t="s">
        <v>1174</v>
      </c>
      <c r="E440" s="7" t="s">
        <v>1175</v>
      </c>
      <c r="F440">
        <v>1046</v>
      </c>
      <c r="G440" s="6">
        <v>26504</v>
      </c>
      <c r="H440" s="11" t="s">
        <v>1176</v>
      </c>
      <c r="I440" s="6">
        <v>47</v>
      </c>
      <c r="J440" s="6">
        <v>25</v>
      </c>
      <c r="K440" s="6">
        <v>61</v>
      </c>
      <c r="L440" s="6">
        <v>56</v>
      </c>
      <c r="M440" s="10">
        <f t="shared" si="18"/>
        <v>108.92857142857143</v>
      </c>
      <c r="N440" s="10">
        <f t="shared" si="19"/>
        <v>109</v>
      </c>
      <c r="O440" s="6" t="s">
        <v>51</v>
      </c>
      <c r="P440" s="6">
        <v>1</v>
      </c>
      <c r="Q440" s="6">
        <v>3</v>
      </c>
      <c r="R440" s="6">
        <v>8</v>
      </c>
      <c r="S440" s="6">
        <v>12</v>
      </c>
      <c r="T440" s="6" t="str">
        <f t="shared" si="20"/>
        <v>Septima</v>
      </c>
    </row>
    <row r="441" spans="1:20">
      <c r="A441" s="7" t="s">
        <v>1085</v>
      </c>
      <c r="B441" s="7" t="s">
        <v>526</v>
      </c>
      <c r="C441" s="8">
        <v>3</v>
      </c>
      <c r="D441" s="7" t="s">
        <v>1174</v>
      </c>
      <c r="E441" s="7" t="s">
        <v>1177</v>
      </c>
      <c r="F441">
        <v>1204</v>
      </c>
      <c r="G441" s="6">
        <v>27212</v>
      </c>
      <c r="H441" s="11" t="s">
        <v>1178</v>
      </c>
      <c r="I441" s="6">
        <v>45</v>
      </c>
      <c r="J441" s="6">
        <v>4</v>
      </c>
      <c r="K441" s="6">
        <v>16</v>
      </c>
      <c r="L441" s="6">
        <v>76</v>
      </c>
      <c r="M441" s="10">
        <f t="shared" si="18"/>
        <v>21.05263157894737</v>
      </c>
      <c r="N441" s="10">
        <f t="shared" si="19"/>
        <v>22</v>
      </c>
      <c r="O441" s="6" t="s">
        <v>19</v>
      </c>
      <c r="P441" s="6">
        <v>0</v>
      </c>
      <c r="Q441" s="6">
        <v>0</v>
      </c>
      <c r="R441" s="6">
        <v>2</v>
      </c>
      <c r="S441" s="6">
        <v>2</v>
      </c>
      <c r="T441" s="6" t="str">
        <f t="shared" si="20"/>
        <v>Quinta</v>
      </c>
    </row>
    <row r="442" spans="1:20">
      <c r="A442" s="7" t="s">
        <v>1085</v>
      </c>
      <c r="B442" s="7" t="s">
        <v>526</v>
      </c>
      <c r="C442" s="8">
        <v>3</v>
      </c>
      <c r="D442" s="7" t="s">
        <v>1174</v>
      </c>
      <c r="E442" s="7" t="s">
        <v>1179</v>
      </c>
      <c r="F442">
        <v>998</v>
      </c>
      <c r="G442" s="6">
        <v>26518</v>
      </c>
      <c r="H442" s="11" t="s">
        <v>1180</v>
      </c>
      <c r="I442" s="6">
        <v>62</v>
      </c>
      <c r="J442" s="6">
        <v>1</v>
      </c>
      <c r="K442" s="6">
        <v>3</v>
      </c>
      <c r="L442" s="6">
        <v>50</v>
      </c>
      <c r="M442" s="10">
        <f t="shared" si="18"/>
        <v>6</v>
      </c>
      <c r="N442" s="10">
        <f t="shared" si="19"/>
        <v>6</v>
      </c>
      <c r="O442" s="6" t="s">
        <v>92</v>
      </c>
      <c r="P442" s="6">
        <v>0</v>
      </c>
      <c r="Q442" s="6">
        <v>0</v>
      </c>
      <c r="R442" s="6">
        <v>0</v>
      </c>
      <c r="S442" s="6">
        <v>0</v>
      </c>
      <c r="T442" s="6" t="str">
        <f t="shared" si="20"/>
        <v>Septima</v>
      </c>
    </row>
    <row r="443" spans="1:20">
      <c r="A443" s="7" t="s">
        <v>1085</v>
      </c>
      <c r="B443" s="7" t="s">
        <v>526</v>
      </c>
      <c r="C443" s="8">
        <v>3</v>
      </c>
      <c r="D443" s="7" t="s">
        <v>1174</v>
      </c>
      <c r="E443" s="7" t="s">
        <v>1181</v>
      </c>
      <c r="F443">
        <v>967</v>
      </c>
      <c r="G443" s="6">
        <v>25568</v>
      </c>
      <c r="H443" s="11" t="s">
        <v>1182</v>
      </c>
      <c r="I443" s="6">
        <v>69</v>
      </c>
      <c r="J443" s="6">
        <v>3</v>
      </c>
      <c r="K443" s="6">
        <v>5</v>
      </c>
      <c r="L443" s="6">
        <v>45</v>
      </c>
      <c r="M443" s="10">
        <f t="shared" si="18"/>
        <v>11.111111111111111</v>
      </c>
      <c r="N443" s="10">
        <f t="shared" si="19"/>
        <v>12</v>
      </c>
      <c r="O443" s="6" t="s">
        <v>140</v>
      </c>
      <c r="P443" s="6">
        <v>0</v>
      </c>
      <c r="Q443" s="6">
        <v>0</v>
      </c>
      <c r="R443" s="6">
        <v>1</v>
      </c>
      <c r="S443" s="6">
        <v>1</v>
      </c>
      <c r="T443" s="6" t="str">
        <f t="shared" si="20"/>
        <v>Octava</v>
      </c>
    </row>
    <row r="444" spans="1:20">
      <c r="A444" s="7" t="s">
        <v>1085</v>
      </c>
      <c r="B444" s="7" t="s">
        <v>526</v>
      </c>
      <c r="C444" s="8">
        <v>3</v>
      </c>
      <c r="D444" s="7" t="s">
        <v>1174</v>
      </c>
      <c r="E444" s="7" t="s">
        <v>1183</v>
      </c>
      <c r="F444">
        <v>1016</v>
      </c>
      <c r="G444" s="6">
        <v>29464</v>
      </c>
      <c r="H444" s="11" t="s">
        <v>1184</v>
      </c>
      <c r="I444" s="6">
        <v>13</v>
      </c>
      <c r="J444" s="6">
        <v>3</v>
      </c>
      <c r="K444" s="6">
        <v>8</v>
      </c>
      <c r="L444" s="6">
        <v>67</v>
      </c>
      <c r="M444" s="10">
        <f t="shared" si="18"/>
        <v>11.940298507462687</v>
      </c>
      <c r="N444" s="10">
        <f t="shared" si="19"/>
        <v>12</v>
      </c>
      <c r="O444" s="6" t="s">
        <v>12</v>
      </c>
      <c r="P444" s="6">
        <v>1</v>
      </c>
      <c r="Q444" s="6">
        <v>0</v>
      </c>
      <c r="R444" s="6">
        <v>0</v>
      </c>
      <c r="S444" s="6">
        <v>1</v>
      </c>
      <c r="T444" s="6" t="str">
        <f t="shared" si="20"/>
        <v>Septima</v>
      </c>
    </row>
    <row r="445" spans="1:20">
      <c r="A445" s="7" t="s">
        <v>1085</v>
      </c>
      <c r="B445" s="7" t="s">
        <v>526</v>
      </c>
      <c r="C445" s="8">
        <v>3</v>
      </c>
      <c r="D445" s="7" t="s">
        <v>1174</v>
      </c>
      <c r="E445" s="7" t="s">
        <v>1185</v>
      </c>
      <c r="F445">
        <v>966</v>
      </c>
      <c r="G445" s="6">
        <v>28645</v>
      </c>
      <c r="H445" s="11" t="s">
        <v>1186</v>
      </c>
      <c r="I445" s="6">
        <v>11</v>
      </c>
      <c r="J445" s="6">
        <v>3</v>
      </c>
      <c r="K445" s="6">
        <v>4</v>
      </c>
      <c r="L445" s="6">
        <v>36</v>
      </c>
      <c r="M445" s="10">
        <f t="shared" si="18"/>
        <v>11.111111111111111</v>
      </c>
      <c r="N445" s="10">
        <f t="shared" si="19"/>
        <v>12</v>
      </c>
      <c r="O445" s="6" t="s">
        <v>141</v>
      </c>
      <c r="P445" s="6">
        <v>0</v>
      </c>
      <c r="Q445" s="6">
        <v>0</v>
      </c>
      <c r="R445" s="6">
        <v>1</v>
      </c>
      <c r="S445" s="6">
        <v>1</v>
      </c>
      <c r="T445" s="6" t="str">
        <f t="shared" si="20"/>
        <v>Octava</v>
      </c>
    </row>
    <row r="446" spans="1:20">
      <c r="A446" s="7" t="s">
        <v>1187</v>
      </c>
      <c r="B446" s="7" t="s">
        <v>421</v>
      </c>
      <c r="C446" s="8">
        <v>1</v>
      </c>
      <c r="D446" s="7" t="s">
        <v>1187</v>
      </c>
      <c r="E446" s="7" t="s">
        <v>1188</v>
      </c>
      <c r="F446">
        <v>2930</v>
      </c>
      <c r="G446" s="6">
        <v>4263</v>
      </c>
      <c r="H446" s="11" t="s">
        <v>1189</v>
      </c>
      <c r="I446" s="6">
        <v>27</v>
      </c>
      <c r="J446" s="6">
        <v>112</v>
      </c>
      <c r="K446" s="6">
        <v>522</v>
      </c>
      <c r="L446" s="6">
        <v>85</v>
      </c>
      <c r="M446" s="10">
        <f t="shared" si="18"/>
        <v>614.11764705882354</v>
      </c>
      <c r="N446" s="10">
        <f t="shared" si="19"/>
        <v>615</v>
      </c>
      <c r="O446" s="6" t="s">
        <v>26</v>
      </c>
      <c r="P446" s="6">
        <v>53</v>
      </c>
      <c r="Q446" s="6">
        <v>23</v>
      </c>
      <c r="R446" s="6">
        <v>25</v>
      </c>
      <c r="S446" s="6">
        <v>101</v>
      </c>
      <c r="T446" s="6" t="str">
        <f t="shared" si="20"/>
        <v>Primera</v>
      </c>
    </row>
    <row r="447" spans="1:20">
      <c r="A447" s="7" t="s">
        <v>1187</v>
      </c>
      <c r="B447" s="7" t="s">
        <v>421</v>
      </c>
      <c r="C447" s="8">
        <v>1</v>
      </c>
      <c r="D447" s="7" t="s">
        <v>1187</v>
      </c>
      <c r="E447" s="7" t="s">
        <v>1190</v>
      </c>
      <c r="F447">
        <v>2457</v>
      </c>
      <c r="G447" s="6">
        <v>24674</v>
      </c>
      <c r="H447" s="11" t="s">
        <v>1191</v>
      </c>
      <c r="I447" s="6">
        <v>16</v>
      </c>
      <c r="J447" s="6">
        <v>4</v>
      </c>
      <c r="K447" s="6">
        <v>28</v>
      </c>
      <c r="L447" s="6">
        <v>76</v>
      </c>
      <c r="M447" s="10">
        <f t="shared" si="18"/>
        <v>36.842105263157897</v>
      </c>
      <c r="N447" s="10">
        <f t="shared" si="19"/>
        <v>37</v>
      </c>
      <c r="O447" s="6" t="s">
        <v>105</v>
      </c>
      <c r="P447" s="6">
        <v>2</v>
      </c>
      <c r="Q447" s="6">
        <v>2</v>
      </c>
      <c r="R447" s="6">
        <v>1</v>
      </c>
      <c r="S447" s="6">
        <v>5</v>
      </c>
      <c r="T447" s="6" t="str">
        <f t="shared" si="20"/>
        <v>Primera</v>
      </c>
    </row>
    <row r="448" spans="1:20">
      <c r="A448" s="7" t="s">
        <v>1187</v>
      </c>
      <c r="B448" s="7" t="s">
        <v>421</v>
      </c>
      <c r="C448" s="8">
        <v>1</v>
      </c>
      <c r="D448" s="7" t="s">
        <v>1187</v>
      </c>
      <c r="E448" s="7" t="s">
        <v>1192</v>
      </c>
      <c r="F448">
        <v>2300</v>
      </c>
      <c r="G448" s="6">
        <v>19197</v>
      </c>
      <c r="H448" s="11" t="s">
        <v>1193</v>
      </c>
      <c r="I448" s="6">
        <v>20</v>
      </c>
      <c r="J448" s="6">
        <v>47</v>
      </c>
      <c r="K448" s="6">
        <v>179</v>
      </c>
      <c r="L448" s="6">
        <v>67</v>
      </c>
      <c r="M448" s="10">
        <f t="shared" si="18"/>
        <v>267.16417910447763</v>
      </c>
      <c r="N448" s="10">
        <f t="shared" si="19"/>
        <v>268</v>
      </c>
      <c r="O448" s="6" t="s">
        <v>19</v>
      </c>
      <c r="P448" s="6">
        <v>6</v>
      </c>
      <c r="Q448" s="6">
        <v>7</v>
      </c>
      <c r="R448" s="6">
        <v>8</v>
      </c>
      <c r="S448" s="6">
        <v>21</v>
      </c>
      <c r="T448" s="6" t="str">
        <f t="shared" si="20"/>
        <v>Primera</v>
      </c>
    </row>
    <row r="449" spans="1:20">
      <c r="A449" s="7" t="s">
        <v>1187</v>
      </c>
      <c r="B449" s="7" t="s">
        <v>421</v>
      </c>
      <c r="C449" s="8">
        <v>1</v>
      </c>
      <c r="D449" s="7" t="s">
        <v>1187</v>
      </c>
      <c r="E449" s="7" t="s">
        <v>1194</v>
      </c>
      <c r="F449">
        <v>2029</v>
      </c>
      <c r="G449" s="6">
        <v>18116</v>
      </c>
      <c r="H449" s="11" t="s">
        <v>1195</v>
      </c>
      <c r="I449" s="6">
        <v>19</v>
      </c>
      <c r="J449" s="6">
        <v>23</v>
      </c>
      <c r="K449" s="6">
        <v>95</v>
      </c>
      <c r="L449" s="6">
        <v>66</v>
      </c>
      <c r="M449" s="10">
        <f t="shared" si="18"/>
        <v>143.93939393939394</v>
      </c>
      <c r="N449" s="10">
        <f t="shared" si="19"/>
        <v>144</v>
      </c>
      <c r="O449" s="6" t="s">
        <v>11</v>
      </c>
      <c r="P449" s="6">
        <v>4</v>
      </c>
      <c r="Q449" s="6">
        <v>4</v>
      </c>
      <c r="R449" s="6">
        <v>4</v>
      </c>
      <c r="S449" s="6">
        <v>12</v>
      </c>
      <c r="T449" s="6" t="str">
        <f t="shared" si="20"/>
        <v>Segunda</v>
      </c>
    </row>
    <row r="450" spans="1:20">
      <c r="A450" s="7" t="s">
        <v>1187</v>
      </c>
      <c r="B450" s="7" t="s">
        <v>421</v>
      </c>
      <c r="C450" s="8">
        <v>1</v>
      </c>
      <c r="D450" s="7" t="s">
        <v>1187</v>
      </c>
      <c r="E450" s="7" t="s">
        <v>1196</v>
      </c>
      <c r="F450">
        <v>2069</v>
      </c>
      <c r="G450" s="6">
        <v>20523</v>
      </c>
      <c r="H450" s="11" t="s">
        <v>1197</v>
      </c>
      <c r="I450" s="6">
        <v>12</v>
      </c>
      <c r="J450" s="6">
        <v>35</v>
      </c>
      <c r="K450" s="6">
        <v>127</v>
      </c>
      <c r="L450" s="6">
        <v>62</v>
      </c>
      <c r="M450" s="10">
        <f t="shared" si="18"/>
        <v>204.83870967741936</v>
      </c>
      <c r="N450" s="10">
        <f t="shared" si="19"/>
        <v>205</v>
      </c>
      <c r="O450" s="6" t="s">
        <v>142</v>
      </c>
      <c r="P450" s="6">
        <v>9</v>
      </c>
      <c r="Q450" s="6">
        <v>3</v>
      </c>
      <c r="R450" s="6">
        <v>3</v>
      </c>
      <c r="S450" s="6">
        <v>15</v>
      </c>
      <c r="T450" s="6" t="str">
        <f t="shared" si="20"/>
        <v>Segunda</v>
      </c>
    </row>
    <row r="451" spans="1:20">
      <c r="A451" s="7" t="s">
        <v>1187</v>
      </c>
      <c r="B451" s="7" t="s">
        <v>421</v>
      </c>
      <c r="C451" s="8">
        <v>1</v>
      </c>
      <c r="D451" s="7" t="s">
        <v>1187</v>
      </c>
      <c r="E451" s="7" t="s">
        <v>1198</v>
      </c>
      <c r="F451">
        <v>2041</v>
      </c>
      <c r="G451" s="6">
        <v>18024</v>
      </c>
      <c r="H451" s="11" t="s">
        <v>1199</v>
      </c>
      <c r="I451" s="6">
        <v>19</v>
      </c>
      <c r="J451" s="6">
        <v>42</v>
      </c>
      <c r="K451" s="6">
        <v>177</v>
      </c>
      <c r="L451" s="6">
        <v>68</v>
      </c>
      <c r="M451" s="10">
        <f t="shared" ref="M451:M514" si="21">IF(K451+L451=0,0,(100*K451/L451))</f>
        <v>260.29411764705884</v>
      </c>
      <c r="N451" s="10">
        <f t="shared" ref="N451:N514" si="22">ROUNDUP(M451,0)</f>
        <v>261</v>
      </c>
      <c r="O451" s="6" t="s">
        <v>56</v>
      </c>
      <c r="P451" s="6">
        <v>12</v>
      </c>
      <c r="Q451" s="6">
        <v>2</v>
      </c>
      <c r="R451" s="6">
        <v>8</v>
      </c>
      <c r="S451" s="6">
        <v>22</v>
      </c>
      <c r="T451" s="6" t="str">
        <f t="shared" ref="T451:T514" si="23">IF(F451&gt;2100,"Primera",
IF(F451&gt;=1800,"Segunda",
IF(F451&gt;=1600,"Tercera",
IF(F451&gt;=1400,"Cuarta",
IF(F451&gt;=1200,"Quinta",
IF(F451&gt;=1080,"Sexta",
IF(F451&gt;=980,"Septima",
"Octava")))))))</f>
        <v>Segunda</v>
      </c>
    </row>
    <row r="452" spans="1:20">
      <c r="A452" s="7" t="s">
        <v>1187</v>
      </c>
      <c r="B452" s="7" t="s">
        <v>434</v>
      </c>
      <c r="C452" s="8">
        <v>1</v>
      </c>
      <c r="D452" s="7" t="s">
        <v>1187</v>
      </c>
      <c r="E452" s="7" t="s">
        <v>1198</v>
      </c>
      <c r="F452">
        <v>2041</v>
      </c>
      <c r="G452" s="6">
        <v>18024</v>
      </c>
      <c r="H452" s="11" t="s">
        <v>1199</v>
      </c>
      <c r="I452" s="6">
        <v>19</v>
      </c>
      <c r="J452" s="6">
        <v>42</v>
      </c>
      <c r="K452" s="6">
        <v>177</v>
      </c>
      <c r="L452" s="6">
        <v>68</v>
      </c>
      <c r="M452" s="10">
        <f t="shared" si="21"/>
        <v>260.29411764705884</v>
      </c>
      <c r="N452" s="10">
        <f t="shared" si="22"/>
        <v>261</v>
      </c>
      <c r="O452" s="6" t="s">
        <v>56</v>
      </c>
      <c r="P452" s="6">
        <v>12</v>
      </c>
      <c r="Q452" s="6">
        <v>2</v>
      </c>
      <c r="R452" s="6">
        <v>8</v>
      </c>
      <c r="S452" s="6">
        <v>22</v>
      </c>
      <c r="T452" s="6" t="str">
        <f t="shared" si="23"/>
        <v>Segunda</v>
      </c>
    </row>
    <row r="453" spans="1:20">
      <c r="A453" s="7" t="s">
        <v>1187</v>
      </c>
      <c r="B453" s="7" t="s">
        <v>434</v>
      </c>
      <c r="C453" s="8">
        <v>1</v>
      </c>
      <c r="D453" s="7" t="s">
        <v>1187</v>
      </c>
      <c r="E453" s="7" t="s">
        <v>1200</v>
      </c>
      <c r="F453">
        <v>1536</v>
      </c>
      <c r="G453" s="6">
        <v>21512</v>
      </c>
      <c r="H453" s="11" t="s">
        <v>721</v>
      </c>
      <c r="I453" s="6">
        <v>29</v>
      </c>
      <c r="J453" s="6">
        <v>28</v>
      </c>
      <c r="K453" s="6">
        <v>80</v>
      </c>
      <c r="L453" s="6">
        <v>43</v>
      </c>
      <c r="M453" s="10">
        <f t="shared" si="21"/>
        <v>186.04651162790697</v>
      </c>
      <c r="N453" s="10">
        <f t="shared" si="22"/>
        <v>187</v>
      </c>
      <c r="O453" s="6" t="s">
        <v>64</v>
      </c>
      <c r="P453" s="6">
        <v>2</v>
      </c>
      <c r="Q453" s="6">
        <v>1</v>
      </c>
      <c r="R453" s="6">
        <v>5</v>
      </c>
      <c r="S453" s="6">
        <v>8</v>
      </c>
      <c r="T453" s="6" t="str">
        <f t="shared" si="23"/>
        <v>Cuarta</v>
      </c>
    </row>
    <row r="454" spans="1:20">
      <c r="A454" s="7" t="s">
        <v>1187</v>
      </c>
      <c r="B454" s="7" t="s">
        <v>434</v>
      </c>
      <c r="C454" s="8">
        <v>1</v>
      </c>
      <c r="D454" s="7" t="s">
        <v>1187</v>
      </c>
      <c r="E454" s="7" t="s">
        <v>1201</v>
      </c>
      <c r="F454">
        <v>2066</v>
      </c>
      <c r="G454" s="6">
        <v>16485</v>
      </c>
      <c r="H454" s="11" t="s">
        <v>1202</v>
      </c>
      <c r="I454" s="6">
        <v>21</v>
      </c>
      <c r="J454" s="6">
        <v>5</v>
      </c>
      <c r="K454" s="6">
        <v>14</v>
      </c>
      <c r="L454" s="6">
        <v>61</v>
      </c>
      <c r="M454" s="10">
        <f t="shared" si="21"/>
        <v>22.950819672131146</v>
      </c>
      <c r="N454" s="10">
        <f t="shared" si="22"/>
        <v>23</v>
      </c>
      <c r="O454" s="6" t="s">
        <v>109</v>
      </c>
      <c r="P454" s="6">
        <v>1</v>
      </c>
      <c r="Q454" s="6">
        <v>0</v>
      </c>
      <c r="R454" s="6">
        <v>0</v>
      </c>
      <c r="S454" s="6">
        <v>1</v>
      </c>
      <c r="T454" s="6" t="str">
        <f t="shared" si="23"/>
        <v>Segunda</v>
      </c>
    </row>
    <row r="455" spans="1:20">
      <c r="A455" s="7" t="s">
        <v>1187</v>
      </c>
      <c r="B455" s="7" t="s">
        <v>434</v>
      </c>
      <c r="C455" s="8">
        <v>1</v>
      </c>
      <c r="D455" s="7" t="s">
        <v>1187</v>
      </c>
      <c r="E455" s="7" t="s">
        <v>1203</v>
      </c>
      <c r="F455">
        <v>1589</v>
      </c>
      <c r="G455" s="6">
        <v>1856</v>
      </c>
      <c r="H455" s="11" t="s">
        <v>1204</v>
      </c>
      <c r="I455" s="6">
        <v>35</v>
      </c>
      <c r="J455" s="6">
        <v>1</v>
      </c>
      <c r="K455" s="6">
        <v>1</v>
      </c>
      <c r="L455" s="6">
        <v>33</v>
      </c>
      <c r="M455" s="10">
        <f t="shared" si="21"/>
        <v>3.0303030303030303</v>
      </c>
      <c r="N455" s="10">
        <f t="shared" si="22"/>
        <v>4</v>
      </c>
      <c r="O455" s="6" t="s">
        <v>143</v>
      </c>
      <c r="P455" s="6">
        <v>0</v>
      </c>
      <c r="Q455" s="6">
        <v>0</v>
      </c>
      <c r="R455" s="6">
        <v>0</v>
      </c>
      <c r="S455" s="6">
        <v>0</v>
      </c>
      <c r="T455" s="6" t="str">
        <f t="shared" si="23"/>
        <v>Cuarta</v>
      </c>
    </row>
    <row r="456" spans="1:20">
      <c r="A456" s="7" t="s">
        <v>1187</v>
      </c>
      <c r="B456" s="7" t="s">
        <v>434</v>
      </c>
      <c r="C456" s="8">
        <v>1</v>
      </c>
      <c r="D456" s="7" t="s">
        <v>1187</v>
      </c>
      <c r="E456" s="7" t="s">
        <v>1205</v>
      </c>
      <c r="F456">
        <v>997</v>
      </c>
      <c r="G456" s="6">
        <v>24663</v>
      </c>
      <c r="H456" s="11" t="s">
        <v>1206</v>
      </c>
      <c r="I456" s="6">
        <v>42</v>
      </c>
      <c r="J456" s="6">
        <v>12</v>
      </c>
      <c r="K456" s="6">
        <v>16</v>
      </c>
      <c r="L456" s="6">
        <v>36</v>
      </c>
      <c r="M456" s="10">
        <f t="shared" si="21"/>
        <v>44.444444444444443</v>
      </c>
      <c r="N456" s="10">
        <f t="shared" si="22"/>
        <v>45</v>
      </c>
      <c r="O456" s="6" t="s">
        <v>144</v>
      </c>
      <c r="P456" s="6">
        <v>0</v>
      </c>
      <c r="Q456" s="6">
        <v>0</v>
      </c>
      <c r="R456" s="6">
        <v>1</v>
      </c>
      <c r="S456" s="6">
        <v>1</v>
      </c>
      <c r="T456" s="6" t="str">
        <f t="shared" si="23"/>
        <v>Septima</v>
      </c>
    </row>
    <row r="457" spans="1:20">
      <c r="A457" s="7" t="s">
        <v>1187</v>
      </c>
      <c r="B457" s="7" t="s">
        <v>434</v>
      </c>
      <c r="C457" s="8">
        <v>1</v>
      </c>
      <c r="D457" s="7" t="s">
        <v>1187</v>
      </c>
      <c r="E457" s="7" t="s">
        <v>1207</v>
      </c>
      <c r="F457">
        <v>1455</v>
      </c>
      <c r="G457" s="6">
        <v>26685</v>
      </c>
      <c r="H457" s="11" t="s">
        <v>1208</v>
      </c>
      <c r="I457" s="6">
        <v>14</v>
      </c>
      <c r="J457" s="6">
        <v>4</v>
      </c>
      <c r="K457" s="6">
        <v>25</v>
      </c>
      <c r="L457" s="6">
        <v>76</v>
      </c>
      <c r="M457" s="10">
        <f t="shared" si="21"/>
        <v>32.89473684210526</v>
      </c>
      <c r="N457" s="10">
        <f t="shared" si="22"/>
        <v>33</v>
      </c>
      <c r="O457" s="6" t="s">
        <v>145</v>
      </c>
      <c r="P457" s="6">
        <v>2</v>
      </c>
      <c r="Q457" s="6">
        <v>0</v>
      </c>
      <c r="R457" s="6">
        <v>2</v>
      </c>
      <c r="S457" s="6">
        <v>4</v>
      </c>
      <c r="T457" s="6" t="str">
        <f t="shared" si="23"/>
        <v>Cuarta</v>
      </c>
    </row>
    <row r="458" spans="1:20">
      <c r="A458" s="7" t="s">
        <v>1187</v>
      </c>
      <c r="B458" s="7" t="s">
        <v>781</v>
      </c>
      <c r="C458" s="8">
        <v>1</v>
      </c>
      <c r="D458" s="7" t="s">
        <v>1187</v>
      </c>
      <c r="E458" s="7" t="s">
        <v>1209</v>
      </c>
      <c r="F458">
        <v>1676</v>
      </c>
      <c r="G458" s="6">
        <v>25172</v>
      </c>
      <c r="H458" s="11" t="s">
        <v>1210</v>
      </c>
      <c r="I458" s="6">
        <v>16</v>
      </c>
      <c r="J458" s="6">
        <v>46</v>
      </c>
      <c r="K458" s="6">
        <v>142</v>
      </c>
      <c r="L458" s="6">
        <v>60</v>
      </c>
      <c r="M458" s="10">
        <f t="shared" si="21"/>
        <v>236.66666666666666</v>
      </c>
      <c r="N458" s="10">
        <f t="shared" si="22"/>
        <v>237</v>
      </c>
      <c r="O458" s="6" t="s">
        <v>146</v>
      </c>
      <c r="P458" s="6">
        <v>5</v>
      </c>
      <c r="Q458" s="6">
        <v>4</v>
      </c>
      <c r="R458" s="6">
        <v>6</v>
      </c>
      <c r="S458" s="6">
        <v>15</v>
      </c>
      <c r="T458" s="6" t="str">
        <f t="shared" si="23"/>
        <v>Tercera</v>
      </c>
    </row>
    <row r="459" spans="1:20">
      <c r="A459" s="7" t="s">
        <v>1187</v>
      </c>
      <c r="B459" s="7" t="s">
        <v>781</v>
      </c>
      <c r="C459" s="8">
        <v>1</v>
      </c>
      <c r="D459" s="7" t="s">
        <v>1187</v>
      </c>
      <c r="E459" s="7" t="s">
        <v>1211</v>
      </c>
      <c r="F459">
        <v>1000</v>
      </c>
      <c r="G459" s="6">
        <v>4219</v>
      </c>
      <c r="H459" s="11" t="s">
        <v>1212</v>
      </c>
      <c r="I459" s="6">
        <v>31</v>
      </c>
      <c r="J459" s="6">
        <v>0</v>
      </c>
      <c r="K459" s="6">
        <v>0</v>
      </c>
      <c r="L459" s="6">
        <v>0</v>
      </c>
      <c r="M459" s="10">
        <f t="shared" si="21"/>
        <v>0</v>
      </c>
      <c r="N459" s="10">
        <f t="shared" si="22"/>
        <v>0</v>
      </c>
      <c r="P459" s="6">
        <v>0</v>
      </c>
      <c r="Q459" s="6">
        <v>0</v>
      </c>
      <c r="R459" s="6">
        <v>0</v>
      </c>
      <c r="S459" s="6">
        <v>0</v>
      </c>
      <c r="T459" s="6" t="str">
        <f t="shared" si="23"/>
        <v>Septima</v>
      </c>
    </row>
    <row r="460" spans="1:20">
      <c r="A460" s="7" t="s">
        <v>1187</v>
      </c>
      <c r="B460" s="7" t="s">
        <v>781</v>
      </c>
      <c r="C460" s="8">
        <v>1</v>
      </c>
      <c r="D460" s="7" t="s">
        <v>1187</v>
      </c>
      <c r="E460" s="7" t="s">
        <v>1213</v>
      </c>
      <c r="F460">
        <v>1860</v>
      </c>
      <c r="G460" s="6">
        <v>3005</v>
      </c>
      <c r="H460" s="11" t="s">
        <v>1214</v>
      </c>
      <c r="I460" s="6">
        <v>28</v>
      </c>
      <c r="J460" s="6">
        <v>217</v>
      </c>
      <c r="K460" s="6">
        <v>523</v>
      </c>
      <c r="L460" s="6">
        <v>48</v>
      </c>
      <c r="M460" s="10">
        <f t="shared" si="21"/>
        <v>1089.5833333333333</v>
      </c>
      <c r="N460" s="10">
        <f t="shared" si="22"/>
        <v>1090</v>
      </c>
      <c r="O460" s="6" t="s">
        <v>147</v>
      </c>
      <c r="P460" s="6">
        <v>10</v>
      </c>
      <c r="Q460" s="6">
        <v>15</v>
      </c>
      <c r="R460" s="6">
        <v>27</v>
      </c>
      <c r="S460" s="6">
        <v>52</v>
      </c>
      <c r="T460" s="6" t="str">
        <f t="shared" si="23"/>
        <v>Segunda</v>
      </c>
    </row>
    <row r="461" spans="1:20">
      <c r="A461" s="7" t="s">
        <v>1187</v>
      </c>
      <c r="B461" s="7" t="s">
        <v>781</v>
      </c>
      <c r="C461" s="8">
        <v>1</v>
      </c>
      <c r="D461" s="7" t="s">
        <v>1187</v>
      </c>
      <c r="E461" s="7" t="s">
        <v>1215</v>
      </c>
      <c r="F461">
        <v>1462</v>
      </c>
      <c r="G461" s="6">
        <v>24869</v>
      </c>
      <c r="H461" s="11" t="s">
        <v>1216</v>
      </c>
      <c r="I461" s="6">
        <v>17</v>
      </c>
      <c r="J461" s="6">
        <v>29</v>
      </c>
      <c r="K461" s="6">
        <v>62</v>
      </c>
      <c r="L461" s="6">
        <v>43</v>
      </c>
      <c r="M461" s="10">
        <f t="shared" si="21"/>
        <v>144.18604651162789</v>
      </c>
      <c r="N461" s="10">
        <f t="shared" si="22"/>
        <v>145</v>
      </c>
      <c r="O461" s="6" t="s">
        <v>82</v>
      </c>
      <c r="P461" s="6">
        <v>1</v>
      </c>
      <c r="Q461" s="6">
        <v>1</v>
      </c>
      <c r="R461" s="6">
        <v>1</v>
      </c>
      <c r="S461" s="6">
        <v>3</v>
      </c>
      <c r="T461" s="6" t="str">
        <f t="shared" si="23"/>
        <v>Cuarta</v>
      </c>
    </row>
    <row r="462" spans="1:20">
      <c r="A462" s="7" t="s">
        <v>1187</v>
      </c>
      <c r="B462" s="7" t="s">
        <v>781</v>
      </c>
      <c r="C462" s="8">
        <v>1</v>
      </c>
      <c r="D462" s="7" t="s">
        <v>1187</v>
      </c>
      <c r="E462" s="7" t="s">
        <v>1217</v>
      </c>
      <c r="F462">
        <v>2015</v>
      </c>
      <c r="G462" s="6">
        <v>773</v>
      </c>
      <c r="H462" s="11" t="s">
        <v>1218</v>
      </c>
      <c r="I462" s="6">
        <v>40</v>
      </c>
      <c r="J462" s="6">
        <v>2</v>
      </c>
      <c r="K462" s="6">
        <v>3</v>
      </c>
      <c r="L462" s="6">
        <v>33</v>
      </c>
      <c r="M462" s="10">
        <f t="shared" si="21"/>
        <v>9.0909090909090917</v>
      </c>
      <c r="N462" s="10">
        <f t="shared" si="22"/>
        <v>10</v>
      </c>
      <c r="O462" s="6" t="s">
        <v>148</v>
      </c>
      <c r="P462" s="6">
        <v>0</v>
      </c>
      <c r="Q462" s="6">
        <v>0</v>
      </c>
      <c r="R462" s="6">
        <v>0</v>
      </c>
      <c r="S462" s="6">
        <v>0</v>
      </c>
      <c r="T462" s="6" t="str">
        <f t="shared" si="23"/>
        <v>Segunda</v>
      </c>
    </row>
    <row r="463" spans="1:20">
      <c r="A463" s="7" t="s">
        <v>1187</v>
      </c>
      <c r="B463" s="7" t="s">
        <v>781</v>
      </c>
      <c r="C463" s="8">
        <v>1</v>
      </c>
      <c r="D463" s="7" t="s">
        <v>1187</v>
      </c>
      <c r="E463" s="7" t="s">
        <v>1219</v>
      </c>
      <c r="F463">
        <v>1311</v>
      </c>
      <c r="G463" s="6">
        <v>8529</v>
      </c>
      <c r="H463" s="11" t="s">
        <v>1220</v>
      </c>
      <c r="I463" s="6">
        <v>28</v>
      </c>
      <c r="J463" s="6">
        <v>12</v>
      </c>
      <c r="K463" s="6">
        <v>46</v>
      </c>
      <c r="L463" s="6">
        <v>72</v>
      </c>
      <c r="M463" s="10">
        <f t="shared" si="21"/>
        <v>63.888888888888886</v>
      </c>
      <c r="N463" s="10">
        <f t="shared" si="22"/>
        <v>64</v>
      </c>
      <c r="O463" s="6" t="s">
        <v>149</v>
      </c>
      <c r="P463" s="6">
        <v>2</v>
      </c>
      <c r="Q463" s="6">
        <v>1</v>
      </c>
      <c r="R463" s="6">
        <v>4</v>
      </c>
      <c r="S463" s="6">
        <v>7</v>
      </c>
      <c r="T463" s="6" t="str">
        <f t="shared" si="23"/>
        <v>Quinta</v>
      </c>
    </row>
    <row r="464" spans="1:20">
      <c r="A464" s="7" t="s">
        <v>1187</v>
      </c>
      <c r="B464" s="7" t="s">
        <v>781</v>
      </c>
      <c r="C464" s="8">
        <v>1</v>
      </c>
      <c r="D464" s="7" t="s">
        <v>1187</v>
      </c>
      <c r="E464" s="7" t="s">
        <v>1221</v>
      </c>
      <c r="F464">
        <v>1669</v>
      </c>
      <c r="G464" s="6">
        <v>18187</v>
      </c>
      <c r="H464" s="11" t="s">
        <v>1222</v>
      </c>
      <c r="I464" s="6">
        <v>39</v>
      </c>
      <c r="J464" s="6">
        <v>82</v>
      </c>
      <c r="K464" s="6">
        <v>171</v>
      </c>
      <c r="L464" s="6">
        <v>49</v>
      </c>
      <c r="M464" s="10">
        <f t="shared" si="21"/>
        <v>348.9795918367347</v>
      </c>
      <c r="N464" s="10">
        <f t="shared" si="22"/>
        <v>349</v>
      </c>
      <c r="O464" s="6" t="s">
        <v>81</v>
      </c>
      <c r="P464" s="6">
        <v>8</v>
      </c>
      <c r="Q464" s="6">
        <v>3</v>
      </c>
      <c r="R464" s="6">
        <v>10</v>
      </c>
      <c r="S464" s="6">
        <v>21</v>
      </c>
      <c r="T464" s="6" t="str">
        <f t="shared" si="23"/>
        <v>Tercera</v>
      </c>
    </row>
    <row r="465" spans="1:20">
      <c r="A465" s="7" t="s">
        <v>1187</v>
      </c>
      <c r="B465" s="7" t="s">
        <v>507</v>
      </c>
      <c r="C465" s="8">
        <v>1</v>
      </c>
      <c r="D465" s="7" t="s">
        <v>1187</v>
      </c>
      <c r="E465" s="7" t="s">
        <v>1223</v>
      </c>
      <c r="F465">
        <v>1266</v>
      </c>
      <c r="G465" s="6">
        <v>8641</v>
      </c>
      <c r="H465" s="11" t="s">
        <v>1224</v>
      </c>
      <c r="I465" s="6">
        <v>27</v>
      </c>
      <c r="J465" s="6">
        <v>9</v>
      </c>
      <c r="K465" s="6">
        <v>8</v>
      </c>
      <c r="L465" s="6">
        <v>22</v>
      </c>
      <c r="M465" s="10">
        <f t="shared" si="21"/>
        <v>36.363636363636367</v>
      </c>
      <c r="N465" s="10">
        <f t="shared" si="22"/>
        <v>37</v>
      </c>
      <c r="O465" s="6" t="s">
        <v>19</v>
      </c>
      <c r="P465" s="6">
        <v>0</v>
      </c>
      <c r="Q465" s="6">
        <v>0</v>
      </c>
      <c r="R465" s="6">
        <v>0</v>
      </c>
      <c r="S465" s="6">
        <v>0</v>
      </c>
      <c r="T465" s="6" t="str">
        <f t="shared" si="23"/>
        <v>Quinta</v>
      </c>
    </row>
    <row r="466" spans="1:20">
      <c r="A466" s="7" t="s">
        <v>1187</v>
      </c>
      <c r="B466" s="7" t="s">
        <v>507</v>
      </c>
      <c r="C466" s="8">
        <v>1</v>
      </c>
      <c r="D466" s="7" t="s">
        <v>1187</v>
      </c>
      <c r="E466" s="7" t="s">
        <v>1225</v>
      </c>
      <c r="F466">
        <v>1205</v>
      </c>
      <c r="G466" s="6">
        <v>29088</v>
      </c>
      <c r="H466" s="11" t="s">
        <v>1226</v>
      </c>
      <c r="I466" s="6">
        <v>26</v>
      </c>
      <c r="J466" s="6">
        <v>6</v>
      </c>
      <c r="K466" s="6">
        <v>21</v>
      </c>
      <c r="L466" s="6">
        <v>60</v>
      </c>
      <c r="M466" s="10">
        <f t="shared" si="21"/>
        <v>35</v>
      </c>
      <c r="N466" s="10">
        <f t="shared" si="22"/>
        <v>35</v>
      </c>
      <c r="O466" s="6" t="s">
        <v>19</v>
      </c>
      <c r="P466" s="6">
        <v>1</v>
      </c>
      <c r="Q466" s="6">
        <v>2</v>
      </c>
      <c r="R466" s="6">
        <v>0</v>
      </c>
      <c r="S466" s="6">
        <v>3</v>
      </c>
      <c r="T466" s="6" t="str">
        <f t="shared" si="23"/>
        <v>Quinta</v>
      </c>
    </row>
    <row r="467" spans="1:20">
      <c r="A467" s="7" t="s">
        <v>1187</v>
      </c>
      <c r="B467" s="7" t="s">
        <v>507</v>
      </c>
      <c r="C467" s="8">
        <v>1</v>
      </c>
      <c r="D467" s="7" t="s">
        <v>1187</v>
      </c>
      <c r="E467" s="7" t="s">
        <v>1227</v>
      </c>
      <c r="F467">
        <v>1195</v>
      </c>
      <c r="G467" s="6">
        <v>23648</v>
      </c>
      <c r="H467" s="11" t="s">
        <v>1228</v>
      </c>
      <c r="I467" s="6">
        <v>33</v>
      </c>
      <c r="J467" s="6">
        <v>33</v>
      </c>
      <c r="K467" s="6">
        <v>70</v>
      </c>
      <c r="L467" s="6">
        <v>47</v>
      </c>
      <c r="M467" s="10">
        <f t="shared" si="21"/>
        <v>148.93617021276594</v>
      </c>
      <c r="N467" s="10">
        <f t="shared" si="22"/>
        <v>149</v>
      </c>
      <c r="O467" s="6" t="s">
        <v>70</v>
      </c>
      <c r="P467" s="6">
        <v>4</v>
      </c>
      <c r="Q467" s="6">
        <v>2</v>
      </c>
      <c r="R467" s="6">
        <v>3</v>
      </c>
      <c r="S467" s="6">
        <v>9</v>
      </c>
      <c r="T467" s="6" t="str">
        <f t="shared" si="23"/>
        <v>Sexta</v>
      </c>
    </row>
    <row r="468" spans="1:20">
      <c r="A468" s="7" t="s">
        <v>1187</v>
      </c>
      <c r="B468" s="7" t="s">
        <v>507</v>
      </c>
      <c r="C468" s="8">
        <v>1</v>
      </c>
      <c r="D468" s="7" t="s">
        <v>1187</v>
      </c>
      <c r="E468" s="7" t="s">
        <v>1229</v>
      </c>
      <c r="F468">
        <v>1166</v>
      </c>
      <c r="G468" s="6">
        <v>29513</v>
      </c>
      <c r="H468" s="11" t="s">
        <v>1230</v>
      </c>
      <c r="I468" s="6">
        <v>11</v>
      </c>
      <c r="J468" s="6">
        <v>4</v>
      </c>
      <c r="K468" s="6">
        <v>19</v>
      </c>
      <c r="L468" s="6">
        <v>73</v>
      </c>
      <c r="M468" s="10">
        <f t="shared" si="21"/>
        <v>26.027397260273972</v>
      </c>
      <c r="N468" s="10">
        <f t="shared" si="22"/>
        <v>27</v>
      </c>
      <c r="O468" s="6" t="s">
        <v>70</v>
      </c>
      <c r="P468" s="6">
        <v>2</v>
      </c>
      <c r="Q468" s="6">
        <v>0</v>
      </c>
      <c r="R468" s="6">
        <v>1</v>
      </c>
      <c r="S468" s="6">
        <v>3</v>
      </c>
      <c r="T468" s="6" t="str">
        <f t="shared" si="23"/>
        <v>Sexta</v>
      </c>
    </row>
    <row r="469" spans="1:20">
      <c r="A469" s="7" t="s">
        <v>1187</v>
      </c>
      <c r="B469" s="7" t="s">
        <v>507</v>
      </c>
      <c r="C469" s="8">
        <v>1</v>
      </c>
      <c r="D469" s="7" t="s">
        <v>1187</v>
      </c>
      <c r="E469" s="7" t="s">
        <v>1231</v>
      </c>
      <c r="F469">
        <v>980</v>
      </c>
      <c r="G469" s="6">
        <v>24820</v>
      </c>
      <c r="H469" s="11" t="s">
        <v>1232</v>
      </c>
      <c r="I469" s="6">
        <v>35</v>
      </c>
      <c r="J469" s="6">
        <v>1</v>
      </c>
      <c r="K469" s="6">
        <v>1</v>
      </c>
      <c r="L469" s="6">
        <v>25</v>
      </c>
      <c r="M469" s="10">
        <f t="shared" si="21"/>
        <v>4</v>
      </c>
      <c r="N469" s="10">
        <f t="shared" si="22"/>
        <v>4</v>
      </c>
      <c r="O469" s="6" t="s">
        <v>58</v>
      </c>
      <c r="P469" s="6">
        <v>0</v>
      </c>
      <c r="Q469" s="6">
        <v>0</v>
      </c>
      <c r="R469" s="6">
        <v>0</v>
      </c>
      <c r="S469" s="6">
        <v>0</v>
      </c>
      <c r="T469" s="6" t="str">
        <f t="shared" si="23"/>
        <v>Septima</v>
      </c>
    </row>
    <row r="470" spans="1:20">
      <c r="A470" s="7" t="s">
        <v>1187</v>
      </c>
      <c r="B470" s="7" t="s">
        <v>507</v>
      </c>
      <c r="C470" s="8">
        <v>1</v>
      </c>
      <c r="D470" s="7" t="s">
        <v>1187</v>
      </c>
      <c r="E470" s="7" t="s">
        <v>1233</v>
      </c>
      <c r="F470">
        <v>1363</v>
      </c>
      <c r="G470" s="6">
        <v>504</v>
      </c>
      <c r="H470" s="11" t="s">
        <v>1234</v>
      </c>
      <c r="I470" s="6">
        <v>33</v>
      </c>
      <c r="J470" s="6">
        <v>10</v>
      </c>
      <c r="K470" s="6">
        <v>18</v>
      </c>
      <c r="L470" s="6">
        <v>45</v>
      </c>
      <c r="M470" s="10">
        <f t="shared" si="21"/>
        <v>40</v>
      </c>
      <c r="N470" s="10">
        <f t="shared" si="22"/>
        <v>40</v>
      </c>
      <c r="O470" s="6" t="s">
        <v>150</v>
      </c>
      <c r="P470" s="6">
        <v>0</v>
      </c>
      <c r="Q470" s="6">
        <v>0</v>
      </c>
      <c r="R470" s="6">
        <v>1</v>
      </c>
      <c r="S470" s="6">
        <v>1</v>
      </c>
      <c r="T470" s="6" t="str">
        <f t="shared" si="23"/>
        <v>Quinta</v>
      </c>
    </row>
    <row r="471" spans="1:20">
      <c r="A471" s="7" t="s">
        <v>1187</v>
      </c>
      <c r="B471" s="7" t="s">
        <v>507</v>
      </c>
      <c r="C471" s="8">
        <v>1</v>
      </c>
      <c r="D471" s="7" t="s">
        <v>1187</v>
      </c>
      <c r="E471" s="7" t="s">
        <v>1235</v>
      </c>
      <c r="F471">
        <v>982</v>
      </c>
      <c r="G471" s="6">
        <v>25691</v>
      </c>
      <c r="H471" s="11" t="s">
        <v>1236</v>
      </c>
      <c r="I471" s="6">
        <v>31</v>
      </c>
      <c r="J471" s="6">
        <v>20</v>
      </c>
      <c r="K471" s="6">
        <v>27</v>
      </c>
      <c r="L471" s="6">
        <v>30</v>
      </c>
      <c r="M471" s="10">
        <f t="shared" si="21"/>
        <v>90</v>
      </c>
      <c r="N471" s="10">
        <f t="shared" si="22"/>
        <v>90</v>
      </c>
      <c r="O471" s="6" t="s">
        <v>18</v>
      </c>
      <c r="P471" s="6">
        <v>0</v>
      </c>
      <c r="Q471" s="6">
        <v>0</v>
      </c>
      <c r="R471" s="6">
        <v>2</v>
      </c>
      <c r="S471" s="6">
        <v>2</v>
      </c>
      <c r="T471" s="6" t="str">
        <f t="shared" si="23"/>
        <v>Septima</v>
      </c>
    </row>
    <row r="472" spans="1:20">
      <c r="A472" s="7" t="s">
        <v>1187</v>
      </c>
      <c r="B472" s="7" t="s">
        <v>526</v>
      </c>
      <c r="C472" s="8">
        <v>1</v>
      </c>
      <c r="D472" s="7" t="s">
        <v>1237</v>
      </c>
      <c r="E472" s="7" t="s">
        <v>1238</v>
      </c>
      <c r="F472">
        <v>1000</v>
      </c>
      <c r="G472" s="6">
        <v>11298</v>
      </c>
      <c r="H472" s="11" t="s">
        <v>1239</v>
      </c>
      <c r="I472" s="6">
        <v>59</v>
      </c>
      <c r="J472" s="6">
        <v>0</v>
      </c>
      <c r="K472" s="6">
        <v>0</v>
      </c>
      <c r="L472" s="6">
        <v>0</v>
      </c>
      <c r="M472" s="10">
        <f t="shared" si="21"/>
        <v>0</v>
      </c>
      <c r="N472" s="10">
        <f t="shared" si="22"/>
        <v>0</v>
      </c>
      <c r="P472" s="6">
        <v>0</v>
      </c>
      <c r="Q472" s="6">
        <v>0</v>
      </c>
      <c r="R472" s="6">
        <v>0</v>
      </c>
      <c r="S472" s="6">
        <v>0</v>
      </c>
      <c r="T472" s="6" t="str">
        <f t="shared" si="23"/>
        <v>Septima</v>
      </c>
    </row>
    <row r="473" spans="1:20">
      <c r="A473" s="7" t="s">
        <v>1187</v>
      </c>
      <c r="B473" s="7" t="s">
        <v>526</v>
      </c>
      <c r="C473" s="8">
        <v>1</v>
      </c>
      <c r="D473" s="7" t="s">
        <v>1237</v>
      </c>
      <c r="E473" s="7" t="s">
        <v>1240</v>
      </c>
      <c r="F473">
        <v>1000</v>
      </c>
      <c r="G473" s="6">
        <v>7804</v>
      </c>
      <c r="H473" s="11" t="s">
        <v>1241</v>
      </c>
      <c r="I473" s="6">
        <v>29</v>
      </c>
      <c r="J473" s="6">
        <v>0</v>
      </c>
      <c r="K473" s="6">
        <v>0</v>
      </c>
      <c r="L473" s="6">
        <v>0</v>
      </c>
      <c r="M473" s="10">
        <f t="shared" si="21"/>
        <v>0</v>
      </c>
      <c r="N473" s="10">
        <f t="shared" si="22"/>
        <v>0</v>
      </c>
      <c r="P473" s="6">
        <v>0</v>
      </c>
      <c r="Q473" s="6">
        <v>0</v>
      </c>
      <c r="R473" s="6">
        <v>0</v>
      </c>
      <c r="S473" s="6">
        <v>0</v>
      </c>
      <c r="T473" s="6" t="str">
        <f t="shared" si="23"/>
        <v>Septima</v>
      </c>
    </row>
    <row r="474" spans="1:20">
      <c r="A474" s="7" t="s">
        <v>1187</v>
      </c>
      <c r="B474" s="7" t="s">
        <v>526</v>
      </c>
      <c r="C474" s="8">
        <v>1</v>
      </c>
      <c r="D474" s="7" t="s">
        <v>1237</v>
      </c>
      <c r="E474" s="7" t="s">
        <v>1227</v>
      </c>
      <c r="F474">
        <v>1195</v>
      </c>
      <c r="G474" s="6">
        <v>23648</v>
      </c>
      <c r="H474" s="11" t="s">
        <v>1228</v>
      </c>
      <c r="I474" s="6">
        <v>33</v>
      </c>
      <c r="J474" s="6">
        <v>33</v>
      </c>
      <c r="K474" s="6">
        <v>70</v>
      </c>
      <c r="L474" s="6">
        <v>47</v>
      </c>
      <c r="M474" s="10">
        <f t="shared" si="21"/>
        <v>148.93617021276594</v>
      </c>
      <c r="N474" s="10">
        <f t="shared" si="22"/>
        <v>149</v>
      </c>
      <c r="O474" s="6" t="s">
        <v>70</v>
      </c>
      <c r="P474" s="6">
        <v>4</v>
      </c>
      <c r="Q474" s="6">
        <v>2</v>
      </c>
      <c r="R474" s="6">
        <v>3</v>
      </c>
      <c r="S474" s="6">
        <v>9</v>
      </c>
      <c r="T474" s="6" t="str">
        <f t="shared" si="23"/>
        <v>Sexta</v>
      </c>
    </row>
    <row r="475" spans="1:20">
      <c r="A475" s="7" t="s">
        <v>1187</v>
      </c>
      <c r="B475" s="7" t="s">
        <v>526</v>
      </c>
      <c r="C475" s="8">
        <v>1</v>
      </c>
      <c r="D475" s="7" t="s">
        <v>1237</v>
      </c>
      <c r="E475" s="7" t="s">
        <v>1242</v>
      </c>
      <c r="F475">
        <v>1029</v>
      </c>
      <c r="G475" s="6">
        <v>7944</v>
      </c>
      <c r="H475" s="11" t="s">
        <v>1243</v>
      </c>
      <c r="I475" s="6">
        <v>43</v>
      </c>
      <c r="J475" s="6">
        <v>21</v>
      </c>
      <c r="K475" s="6">
        <v>31</v>
      </c>
      <c r="L475" s="6">
        <v>36</v>
      </c>
      <c r="M475" s="10">
        <f t="shared" si="21"/>
        <v>86.111111111111114</v>
      </c>
      <c r="N475" s="10">
        <f t="shared" si="22"/>
        <v>87</v>
      </c>
      <c r="O475" s="6" t="s">
        <v>12</v>
      </c>
      <c r="P475" s="6">
        <v>1</v>
      </c>
      <c r="Q475" s="6">
        <v>1</v>
      </c>
      <c r="R475" s="6">
        <v>2</v>
      </c>
      <c r="S475" s="6">
        <v>4</v>
      </c>
      <c r="T475" s="6" t="str">
        <f t="shared" si="23"/>
        <v>Septima</v>
      </c>
    </row>
    <row r="476" spans="1:20">
      <c r="A476" s="7" t="s">
        <v>1187</v>
      </c>
      <c r="B476" s="7" t="s">
        <v>526</v>
      </c>
      <c r="C476" s="8">
        <v>1</v>
      </c>
      <c r="D476" s="7" t="s">
        <v>1237</v>
      </c>
      <c r="E476" s="7" t="s">
        <v>1233</v>
      </c>
      <c r="F476">
        <v>1363</v>
      </c>
      <c r="G476" s="6">
        <v>504</v>
      </c>
      <c r="H476" s="11" t="s">
        <v>1234</v>
      </c>
      <c r="I476" s="6">
        <v>33</v>
      </c>
      <c r="J476" s="6">
        <v>10</v>
      </c>
      <c r="K476" s="6">
        <v>18</v>
      </c>
      <c r="L476" s="6">
        <v>45</v>
      </c>
      <c r="M476" s="10">
        <f t="shared" si="21"/>
        <v>40</v>
      </c>
      <c r="N476" s="10">
        <f t="shared" si="22"/>
        <v>40</v>
      </c>
      <c r="O476" s="6" t="s">
        <v>150</v>
      </c>
      <c r="P476" s="6">
        <v>0</v>
      </c>
      <c r="Q476" s="6">
        <v>0</v>
      </c>
      <c r="R476" s="6">
        <v>1</v>
      </c>
      <c r="S476" s="6">
        <v>1</v>
      </c>
      <c r="T476" s="6" t="str">
        <f t="shared" si="23"/>
        <v>Quinta</v>
      </c>
    </row>
    <row r="477" spans="1:20">
      <c r="A477" s="7" t="s">
        <v>1187</v>
      </c>
      <c r="B477" s="7" t="s">
        <v>526</v>
      </c>
      <c r="C477" s="8">
        <v>1</v>
      </c>
      <c r="D477" s="7" t="s">
        <v>1237</v>
      </c>
      <c r="E477" s="7" t="s">
        <v>1235</v>
      </c>
      <c r="F477">
        <v>982</v>
      </c>
      <c r="G477" s="6">
        <v>25691</v>
      </c>
      <c r="H477" s="11" t="s">
        <v>1236</v>
      </c>
      <c r="I477" s="6">
        <v>31</v>
      </c>
      <c r="J477" s="6">
        <v>20</v>
      </c>
      <c r="K477" s="6">
        <v>27</v>
      </c>
      <c r="L477" s="6">
        <v>30</v>
      </c>
      <c r="M477" s="10">
        <f t="shared" si="21"/>
        <v>90</v>
      </c>
      <c r="N477" s="10">
        <f t="shared" si="22"/>
        <v>90</v>
      </c>
      <c r="O477" s="6" t="s">
        <v>18</v>
      </c>
      <c r="P477" s="6">
        <v>0</v>
      </c>
      <c r="Q477" s="6">
        <v>0</v>
      </c>
      <c r="R477" s="6">
        <v>2</v>
      </c>
      <c r="S477" s="6">
        <v>2</v>
      </c>
      <c r="T477" s="6" t="str">
        <f t="shared" si="23"/>
        <v>Septima</v>
      </c>
    </row>
    <row r="478" spans="1:20">
      <c r="A478" s="7" t="s">
        <v>1187</v>
      </c>
      <c r="B478" s="7" t="s">
        <v>526</v>
      </c>
      <c r="C478" s="8">
        <v>2</v>
      </c>
      <c r="D478" s="7" t="s">
        <v>1244</v>
      </c>
      <c r="E478" s="7" t="s">
        <v>1245</v>
      </c>
      <c r="F478">
        <v>1082</v>
      </c>
      <c r="G478" s="6">
        <v>20941</v>
      </c>
      <c r="H478" s="11" t="s">
        <v>1246</v>
      </c>
      <c r="I478" s="6">
        <v>16</v>
      </c>
      <c r="J478" s="6">
        <v>1</v>
      </c>
      <c r="K478" s="6">
        <v>1</v>
      </c>
      <c r="L478" s="6">
        <v>25</v>
      </c>
      <c r="M478" s="10">
        <f t="shared" si="21"/>
        <v>4</v>
      </c>
      <c r="N478" s="10">
        <f t="shared" si="22"/>
        <v>4</v>
      </c>
      <c r="O478" s="6" t="s">
        <v>151</v>
      </c>
      <c r="P478" s="6">
        <v>0</v>
      </c>
      <c r="Q478" s="6">
        <v>0</v>
      </c>
      <c r="R478" s="6">
        <v>0</v>
      </c>
      <c r="S478" s="6">
        <v>0</v>
      </c>
      <c r="T478" s="6" t="str">
        <f t="shared" si="23"/>
        <v>Sexta</v>
      </c>
    </row>
    <row r="479" spans="1:20">
      <c r="A479" s="7" t="s">
        <v>1187</v>
      </c>
      <c r="B479" s="7" t="s">
        <v>526</v>
      </c>
      <c r="C479" s="8">
        <v>2</v>
      </c>
      <c r="D479" s="7" t="s">
        <v>1244</v>
      </c>
      <c r="E479" s="7" t="s">
        <v>1247</v>
      </c>
      <c r="F479">
        <v>1074</v>
      </c>
      <c r="G479" s="6">
        <v>24858</v>
      </c>
      <c r="H479" s="11" t="s">
        <v>1248</v>
      </c>
      <c r="I479" s="6">
        <v>33</v>
      </c>
      <c r="J479" s="6">
        <v>3</v>
      </c>
      <c r="K479" s="6">
        <v>11</v>
      </c>
      <c r="L479" s="6">
        <v>79</v>
      </c>
      <c r="M479" s="10">
        <f t="shared" si="21"/>
        <v>13.924050632911392</v>
      </c>
      <c r="N479" s="10">
        <f t="shared" si="22"/>
        <v>14</v>
      </c>
      <c r="O479" s="6" t="s">
        <v>57</v>
      </c>
      <c r="P479" s="6">
        <v>0</v>
      </c>
      <c r="Q479" s="6">
        <v>0</v>
      </c>
      <c r="R479" s="6">
        <v>1</v>
      </c>
      <c r="S479" s="6">
        <v>1</v>
      </c>
      <c r="T479" s="6" t="str">
        <f t="shared" si="23"/>
        <v>Septima</v>
      </c>
    </row>
    <row r="480" spans="1:20">
      <c r="A480" s="7" t="s">
        <v>1187</v>
      </c>
      <c r="B480" s="7" t="s">
        <v>526</v>
      </c>
      <c r="C480" s="8">
        <v>2</v>
      </c>
      <c r="D480" s="7" t="s">
        <v>1244</v>
      </c>
      <c r="E480" s="7" t="s">
        <v>1249</v>
      </c>
      <c r="F480">
        <v>1245</v>
      </c>
      <c r="G480" s="6">
        <v>18382</v>
      </c>
      <c r="H480" s="11" t="s">
        <v>1250</v>
      </c>
      <c r="I480" s="6">
        <v>17</v>
      </c>
      <c r="J480" s="6">
        <v>2</v>
      </c>
      <c r="K480" s="6">
        <v>3</v>
      </c>
      <c r="L480" s="6">
        <v>43</v>
      </c>
      <c r="M480" s="10">
        <f t="shared" si="21"/>
        <v>6.9767441860465116</v>
      </c>
      <c r="N480" s="10">
        <f t="shared" si="22"/>
        <v>7</v>
      </c>
      <c r="O480" s="6" t="s">
        <v>152</v>
      </c>
      <c r="P480" s="6">
        <v>0</v>
      </c>
      <c r="Q480" s="6">
        <v>0</v>
      </c>
      <c r="R480" s="6">
        <v>0</v>
      </c>
      <c r="S480" s="6">
        <v>0</v>
      </c>
      <c r="T480" s="6" t="str">
        <f t="shared" si="23"/>
        <v>Quinta</v>
      </c>
    </row>
    <row r="481" spans="1:20">
      <c r="A481" s="7" t="s">
        <v>1187</v>
      </c>
      <c r="B481" s="7" t="s">
        <v>526</v>
      </c>
      <c r="C481" s="8">
        <v>2</v>
      </c>
      <c r="D481" s="7" t="s">
        <v>1244</v>
      </c>
      <c r="E481" s="7" t="s">
        <v>1251</v>
      </c>
      <c r="F481">
        <v>1131</v>
      </c>
      <c r="G481" s="6">
        <v>14673</v>
      </c>
      <c r="H481" s="11" t="s">
        <v>1252</v>
      </c>
      <c r="I481" s="6">
        <v>21</v>
      </c>
      <c r="J481" s="6">
        <v>5</v>
      </c>
      <c r="K481" s="6">
        <v>7</v>
      </c>
      <c r="L481" s="6">
        <v>39</v>
      </c>
      <c r="M481" s="10">
        <f t="shared" si="21"/>
        <v>17.948717948717949</v>
      </c>
      <c r="N481" s="10">
        <f t="shared" si="22"/>
        <v>18</v>
      </c>
      <c r="O481" s="6" t="s">
        <v>153</v>
      </c>
      <c r="P481" s="6">
        <v>0</v>
      </c>
      <c r="Q481" s="6">
        <v>0</v>
      </c>
      <c r="R481" s="6">
        <v>0</v>
      </c>
      <c r="S481" s="6">
        <v>0</v>
      </c>
      <c r="T481" s="6" t="str">
        <f t="shared" si="23"/>
        <v>Sexta</v>
      </c>
    </row>
    <row r="482" spans="1:20">
      <c r="A482" s="7" t="s">
        <v>1187</v>
      </c>
      <c r="B482" s="7" t="s">
        <v>526</v>
      </c>
      <c r="C482" s="8">
        <v>2</v>
      </c>
      <c r="D482" s="7" t="s">
        <v>1244</v>
      </c>
      <c r="E482" s="7" t="s">
        <v>1229</v>
      </c>
      <c r="F482">
        <v>1166</v>
      </c>
      <c r="G482" s="6">
        <v>29513</v>
      </c>
      <c r="H482" s="11" t="s">
        <v>1230</v>
      </c>
      <c r="I482" s="6">
        <v>11</v>
      </c>
      <c r="J482" s="6">
        <v>4</v>
      </c>
      <c r="K482" s="6">
        <v>19</v>
      </c>
      <c r="L482" s="6">
        <v>73</v>
      </c>
      <c r="M482" s="10">
        <f t="shared" si="21"/>
        <v>26.027397260273972</v>
      </c>
      <c r="N482" s="10">
        <f t="shared" si="22"/>
        <v>27</v>
      </c>
      <c r="O482" s="6" t="s">
        <v>70</v>
      </c>
      <c r="P482" s="6">
        <v>2</v>
      </c>
      <c r="Q482" s="6">
        <v>0</v>
      </c>
      <c r="R482" s="6">
        <v>1</v>
      </c>
      <c r="S482" s="6">
        <v>3</v>
      </c>
      <c r="T482" s="6" t="str">
        <f t="shared" si="23"/>
        <v>Sexta</v>
      </c>
    </row>
    <row r="483" spans="1:20">
      <c r="A483" s="7" t="s">
        <v>1187</v>
      </c>
      <c r="B483" s="7" t="s">
        <v>526</v>
      </c>
      <c r="C483" s="8">
        <v>2</v>
      </c>
      <c r="D483" s="7" t="s">
        <v>1244</v>
      </c>
      <c r="E483" s="7" t="s">
        <v>1231</v>
      </c>
      <c r="F483">
        <v>980</v>
      </c>
      <c r="G483" s="6">
        <v>24820</v>
      </c>
      <c r="H483" s="11" t="s">
        <v>1232</v>
      </c>
      <c r="I483" s="6">
        <v>35</v>
      </c>
      <c r="J483" s="6">
        <v>1</v>
      </c>
      <c r="K483" s="6">
        <v>1</v>
      </c>
      <c r="L483" s="6">
        <v>25</v>
      </c>
      <c r="M483" s="10">
        <f t="shared" si="21"/>
        <v>4</v>
      </c>
      <c r="N483" s="10">
        <f t="shared" si="22"/>
        <v>4</v>
      </c>
      <c r="O483" s="6" t="s">
        <v>58</v>
      </c>
      <c r="P483" s="6">
        <v>0</v>
      </c>
      <c r="Q483" s="6">
        <v>0</v>
      </c>
      <c r="R483" s="6">
        <v>0</v>
      </c>
      <c r="S483" s="6">
        <v>0</v>
      </c>
      <c r="T483" s="6" t="str">
        <f t="shared" si="23"/>
        <v>Septima</v>
      </c>
    </row>
    <row r="484" spans="1:20">
      <c r="A484" s="7" t="s">
        <v>1187</v>
      </c>
      <c r="B484" s="7" t="s">
        <v>526</v>
      </c>
      <c r="C484" s="8">
        <v>2</v>
      </c>
      <c r="D484" s="7" t="s">
        <v>1244</v>
      </c>
      <c r="E484" s="7" t="s">
        <v>1253</v>
      </c>
      <c r="F484">
        <v>979</v>
      </c>
      <c r="G484" s="6">
        <v>29099</v>
      </c>
      <c r="H484" s="11" t="s">
        <v>1254</v>
      </c>
      <c r="I484" s="6">
        <v>13</v>
      </c>
      <c r="J484" s="6">
        <v>4</v>
      </c>
      <c r="K484" s="6">
        <v>8</v>
      </c>
      <c r="L484" s="6">
        <v>42</v>
      </c>
      <c r="M484" s="10">
        <f t="shared" si="21"/>
        <v>19.047619047619047</v>
      </c>
      <c r="N484" s="10">
        <f t="shared" si="22"/>
        <v>20</v>
      </c>
      <c r="O484" s="6" t="s">
        <v>20</v>
      </c>
      <c r="P484" s="6">
        <v>1</v>
      </c>
      <c r="Q484" s="6">
        <v>0</v>
      </c>
      <c r="R484" s="6">
        <v>0</v>
      </c>
      <c r="S484" s="6">
        <v>1</v>
      </c>
      <c r="T484" s="6" t="str">
        <f t="shared" si="23"/>
        <v>Octava</v>
      </c>
    </row>
    <row r="485" spans="1:20">
      <c r="A485" s="7" t="s">
        <v>1255</v>
      </c>
      <c r="B485" s="7" t="s">
        <v>507</v>
      </c>
      <c r="C485" s="8">
        <v>1</v>
      </c>
      <c r="D485" s="7" t="s">
        <v>1255</v>
      </c>
      <c r="E485" s="7" t="s">
        <v>1256</v>
      </c>
      <c r="F485">
        <v>1314</v>
      </c>
      <c r="G485" s="6">
        <v>27026</v>
      </c>
      <c r="H485" s="11" t="s">
        <v>1257</v>
      </c>
      <c r="I485" s="6">
        <v>16</v>
      </c>
      <c r="J485" s="6">
        <v>10</v>
      </c>
      <c r="K485" s="6">
        <v>35</v>
      </c>
      <c r="L485" s="6">
        <v>66</v>
      </c>
      <c r="M485" s="10">
        <f t="shared" si="21"/>
        <v>53.030303030303031</v>
      </c>
      <c r="N485" s="10">
        <f t="shared" si="22"/>
        <v>54</v>
      </c>
      <c r="O485" s="6" t="s">
        <v>70</v>
      </c>
      <c r="P485" s="6">
        <v>3</v>
      </c>
      <c r="Q485" s="6">
        <v>3</v>
      </c>
      <c r="R485" s="6">
        <v>2</v>
      </c>
      <c r="S485" s="6">
        <v>8</v>
      </c>
      <c r="T485" s="6" t="str">
        <f t="shared" si="23"/>
        <v>Quinta</v>
      </c>
    </row>
    <row r="486" spans="1:20">
      <c r="A486" s="7" t="s">
        <v>1255</v>
      </c>
      <c r="B486" s="7" t="s">
        <v>507</v>
      </c>
      <c r="C486" s="8">
        <v>1</v>
      </c>
      <c r="D486" s="7" t="s">
        <v>1255</v>
      </c>
      <c r="E486" s="7" t="s">
        <v>1258</v>
      </c>
      <c r="F486">
        <v>1291</v>
      </c>
      <c r="G486" s="6">
        <v>21444</v>
      </c>
      <c r="H486" s="11" t="s">
        <v>1259</v>
      </c>
      <c r="I486" s="6">
        <v>53</v>
      </c>
      <c r="J486" s="6">
        <v>63</v>
      </c>
      <c r="K486" s="6">
        <v>166</v>
      </c>
      <c r="L486" s="6">
        <v>46</v>
      </c>
      <c r="M486" s="10">
        <f t="shared" si="21"/>
        <v>360.86956521739131</v>
      </c>
      <c r="N486" s="10">
        <f t="shared" si="22"/>
        <v>361</v>
      </c>
      <c r="O486" s="6" t="s">
        <v>19</v>
      </c>
      <c r="P486" s="6">
        <v>4</v>
      </c>
      <c r="Q486" s="6">
        <v>5</v>
      </c>
      <c r="R486" s="6">
        <v>9</v>
      </c>
      <c r="S486" s="6">
        <v>18</v>
      </c>
      <c r="T486" s="6" t="str">
        <f t="shared" si="23"/>
        <v>Quinta</v>
      </c>
    </row>
    <row r="487" spans="1:20">
      <c r="A487" s="7" t="s">
        <v>1255</v>
      </c>
      <c r="B487" s="7" t="s">
        <v>507</v>
      </c>
      <c r="C487" s="8">
        <v>1</v>
      </c>
      <c r="D487" s="7" t="s">
        <v>1255</v>
      </c>
      <c r="E487" s="7" t="s">
        <v>1260</v>
      </c>
      <c r="F487">
        <v>1584</v>
      </c>
      <c r="G487" s="6">
        <v>196</v>
      </c>
      <c r="H487" s="11" t="s">
        <v>1261</v>
      </c>
      <c r="I487" s="6">
        <v>90</v>
      </c>
      <c r="J487" s="6">
        <v>51</v>
      </c>
      <c r="K487" s="6">
        <v>113</v>
      </c>
      <c r="L487" s="6">
        <v>43</v>
      </c>
      <c r="M487" s="10">
        <f t="shared" si="21"/>
        <v>262.7906976744186</v>
      </c>
      <c r="N487" s="10">
        <f t="shared" si="22"/>
        <v>263</v>
      </c>
      <c r="O487" s="6" t="s">
        <v>154</v>
      </c>
      <c r="P487" s="6">
        <v>0</v>
      </c>
      <c r="Q487" s="6">
        <v>5</v>
      </c>
      <c r="R487" s="6">
        <v>4</v>
      </c>
      <c r="S487" s="6">
        <v>9</v>
      </c>
      <c r="T487" s="6" t="str">
        <f t="shared" si="23"/>
        <v>Cuarta</v>
      </c>
    </row>
    <row r="488" spans="1:20">
      <c r="A488" s="7" t="s">
        <v>1255</v>
      </c>
      <c r="B488" s="7" t="s">
        <v>507</v>
      </c>
      <c r="C488" s="8">
        <v>1</v>
      </c>
      <c r="D488" s="7" t="s">
        <v>1255</v>
      </c>
      <c r="E488" s="7" t="s">
        <v>1262</v>
      </c>
      <c r="F488">
        <v>1237</v>
      </c>
      <c r="G488" s="6">
        <v>26393</v>
      </c>
      <c r="H488" s="11" t="s">
        <v>1263</v>
      </c>
      <c r="I488" s="6">
        <v>40</v>
      </c>
      <c r="J488" s="6">
        <v>41</v>
      </c>
      <c r="K488" s="6">
        <v>104</v>
      </c>
      <c r="L488" s="6">
        <v>48</v>
      </c>
      <c r="M488" s="10">
        <f t="shared" si="21"/>
        <v>216.66666666666666</v>
      </c>
      <c r="N488" s="10">
        <f t="shared" si="22"/>
        <v>217</v>
      </c>
      <c r="O488" s="6" t="s">
        <v>19</v>
      </c>
      <c r="P488" s="6">
        <v>2</v>
      </c>
      <c r="Q488" s="6">
        <v>6</v>
      </c>
      <c r="R488" s="6">
        <v>9</v>
      </c>
      <c r="S488" s="6">
        <v>17</v>
      </c>
      <c r="T488" s="6" t="str">
        <f t="shared" si="23"/>
        <v>Quinta</v>
      </c>
    </row>
    <row r="489" spans="1:20">
      <c r="A489" s="7" t="s">
        <v>1255</v>
      </c>
      <c r="B489" s="7" t="s">
        <v>507</v>
      </c>
      <c r="C489" s="8">
        <v>1</v>
      </c>
      <c r="D489" s="7" t="s">
        <v>1255</v>
      </c>
      <c r="E489" s="7" t="s">
        <v>1264</v>
      </c>
      <c r="F489">
        <v>1053</v>
      </c>
      <c r="G489" s="6">
        <v>22667</v>
      </c>
      <c r="H489" s="11" t="s">
        <v>1265</v>
      </c>
      <c r="I489" s="6">
        <v>18</v>
      </c>
      <c r="J489" s="6">
        <v>5</v>
      </c>
      <c r="K489" s="6">
        <v>10</v>
      </c>
      <c r="L489" s="6">
        <v>43</v>
      </c>
      <c r="M489" s="10">
        <f t="shared" si="21"/>
        <v>23.255813953488371</v>
      </c>
      <c r="N489" s="10">
        <f t="shared" si="22"/>
        <v>24</v>
      </c>
      <c r="O489" s="6" t="s">
        <v>155</v>
      </c>
      <c r="P489" s="6">
        <v>0</v>
      </c>
      <c r="Q489" s="6">
        <v>1</v>
      </c>
      <c r="R489" s="6">
        <v>0</v>
      </c>
      <c r="S489" s="6">
        <v>1</v>
      </c>
      <c r="T489" s="6" t="str">
        <f t="shared" si="23"/>
        <v>Septima</v>
      </c>
    </row>
    <row r="490" spans="1:20">
      <c r="A490" s="7" t="s">
        <v>1255</v>
      </c>
      <c r="B490" s="7" t="s">
        <v>507</v>
      </c>
      <c r="C490" s="8">
        <v>1</v>
      </c>
      <c r="D490" s="7" t="s">
        <v>1255</v>
      </c>
      <c r="E490" s="7" t="s">
        <v>1266</v>
      </c>
      <c r="F490">
        <v>1062</v>
      </c>
      <c r="G490" s="6">
        <v>27025</v>
      </c>
      <c r="H490" s="11" t="s">
        <v>1267</v>
      </c>
      <c r="I490" s="6">
        <v>55</v>
      </c>
      <c r="J490" s="6">
        <v>8</v>
      </c>
      <c r="K490" s="6">
        <v>15</v>
      </c>
      <c r="L490" s="6">
        <v>48</v>
      </c>
      <c r="M490" s="10">
        <f t="shared" si="21"/>
        <v>31.25</v>
      </c>
      <c r="N490" s="10">
        <f t="shared" si="22"/>
        <v>32</v>
      </c>
      <c r="O490" s="6" t="s">
        <v>70</v>
      </c>
      <c r="P490" s="6">
        <v>1</v>
      </c>
      <c r="Q490" s="6">
        <v>0</v>
      </c>
      <c r="R490" s="6">
        <v>2</v>
      </c>
      <c r="S490" s="6">
        <v>3</v>
      </c>
      <c r="T490" s="6" t="str">
        <f t="shared" si="23"/>
        <v>Septima</v>
      </c>
    </row>
    <row r="491" spans="1:20">
      <c r="A491" s="7" t="s">
        <v>1255</v>
      </c>
      <c r="B491" s="7" t="s">
        <v>507</v>
      </c>
      <c r="C491" s="8">
        <v>1</v>
      </c>
      <c r="D491" s="7" t="s">
        <v>1255</v>
      </c>
      <c r="E491" s="7" t="s">
        <v>1268</v>
      </c>
      <c r="F491">
        <v>1193</v>
      </c>
      <c r="G491" s="6">
        <v>22337</v>
      </c>
      <c r="H491" s="11" t="s">
        <v>1269</v>
      </c>
      <c r="I491" s="6">
        <v>36</v>
      </c>
      <c r="J491" s="6">
        <v>5</v>
      </c>
      <c r="K491" s="6">
        <v>14</v>
      </c>
      <c r="L491" s="6">
        <v>56</v>
      </c>
      <c r="M491" s="10">
        <f t="shared" si="21"/>
        <v>25</v>
      </c>
      <c r="N491" s="10">
        <f t="shared" si="22"/>
        <v>25</v>
      </c>
      <c r="O491" s="6" t="s">
        <v>156</v>
      </c>
      <c r="P491" s="6">
        <v>1</v>
      </c>
      <c r="Q491" s="6">
        <v>1</v>
      </c>
      <c r="R491" s="6">
        <v>1</v>
      </c>
      <c r="S491" s="6">
        <v>3</v>
      </c>
      <c r="T491" s="6" t="str">
        <f t="shared" si="23"/>
        <v>Sexta</v>
      </c>
    </row>
    <row r="492" spans="1:20">
      <c r="A492" s="7" t="s">
        <v>1255</v>
      </c>
      <c r="B492" s="7" t="s">
        <v>507</v>
      </c>
      <c r="C492" s="8">
        <v>1</v>
      </c>
      <c r="D492" s="7" t="s">
        <v>1255</v>
      </c>
      <c r="E492" s="7" t="s">
        <v>1270</v>
      </c>
      <c r="F492">
        <v>1060</v>
      </c>
      <c r="G492" s="6">
        <v>25805</v>
      </c>
      <c r="H492" s="11" t="s">
        <v>1271</v>
      </c>
      <c r="I492" s="6">
        <v>43</v>
      </c>
      <c r="J492" s="6">
        <v>6</v>
      </c>
      <c r="K492" s="6">
        <v>24</v>
      </c>
      <c r="L492" s="6">
        <v>52</v>
      </c>
      <c r="M492" s="10">
        <f t="shared" si="21"/>
        <v>46.153846153846153</v>
      </c>
      <c r="N492" s="10">
        <f t="shared" si="22"/>
        <v>47</v>
      </c>
      <c r="O492" s="6" t="s">
        <v>157</v>
      </c>
      <c r="P492" s="6">
        <v>0</v>
      </c>
      <c r="Q492" s="6">
        <v>3</v>
      </c>
      <c r="R492" s="6">
        <v>3</v>
      </c>
      <c r="S492" s="6">
        <v>6</v>
      </c>
      <c r="T492" s="6" t="str">
        <f t="shared" si="23"/>
        <v>Septima</v>
      </c>
    </row>
    <row r="493" spans="1:20">
      <c r="A493" s="7" t="s">
        <v>1272</v>
      </c>
      <c r="B493" s="7" t="s">
        <v>434</v>
      </c>
      <c r="C493" s="8">
        <v>1</v>
      </c>
      <c r="D493" s="7" t="s">
        <v>1272</v>
      </c>
      <c r="E493" s="7" t="s">
        <v>1273</v>
      </c>
      <c r="F493">
        <v>971</v>
      </c>
      <c r="G493" s="6">
        <v>25575</v>
      </c>
      <c r="H493" s="11" t="s">
        <v>1274</v>
      </c>
      <c r="I493" s="6">
        <v>32</v>
      </c>
      <c r="J493" s="6">
        <v>1</v>
      </c>
      <c r="K493" s="6">
        <v>0</v>
      </c>
      <c r="L493" s="6">
        <v>0</v>
      </c>
      <c r="M493" s="10">
        <f t="shared" si="21"/>
        <v>0</v>
      </c>
      <c r="N493" s="10">
        <f t="shared" si="22"/>
        <v>0</v>
      </c>
      <c r="O493" s="6" t="s">
        <v>158</v>
      </c>
      <c r="P493" s="6">
        <v>0</v>
      </c>
      <c r="Q493" s="6">
        <v>0</v>
      </c>
      <c r="R493" s="6">
        <v>0</v>
      </c>
      <c r="S493" s="6">
        <v>0</v>
      </c>
      <c r="T493" s="6" t="str">
        <f t="shared" si="23"/>
        <v>Octava</v>
      </c>
    </row>
    <row r="494" spans="1:20">
      <c r="A494" s="7" t="s">
        <v>1272</v>
      </c>
      <c r="B494" s="7" t="s">
        <v>434</v>
      </c>
      <c r="C494" s="8">
        <v>1</v>
      </c>
      <c r="D494" s="7" t="s">
        <v>1272</v>
      </c>
      <c r="E494" s="7" t="s">
        <v>1275</v>
      </c>
      <c r="F494">
        <v>1950</v>
      </c>
      <c r="G494" s="6">
        <v>18894</v>
      </c>
      <c r="H494" s="11" t="s">
        <v>1276</v>
      </c>
      <c r="J494" s="6">
        <v>0</v>
      </c>
      <c r="K494" s="6">
        <v>0</v>
      </c>
      <c r="L494" s="6">
        <v>0</v>
      </c>
      <c r="M494" s="10">
        <f t="shared" si="21"/>
        <v>0</v>
      </c>
      <c r="N494" s="10">
        <f t="shared" si="22"/>
        <v>0</v>
      </c>
      <c r="P494" s="6">
        <v>0</v>
      </c>
      <c r="Q494" s="6">
        <v>0</v>
      </c>
      <c r="R494" s="6">
        <v>0</v>
      </c>
      <c r="S494" s="6">
        <v>0</v>
      </c>
      <c r="T494" s="6" t="str">
        <f t="shared" si="23"/>
        <v>Segunda</v>
      </c>
    </row>
    <row r="495" spans="1:20">
      <c r="A495" s="7" t="s">
        <v>1272</v>
      </c>
      <c r="B495" s="7" t="s">
        <v>434</v>
      </c>
      <c r="C495" s="8">
        <v>1</v>
      </c>
      <c r="D495" s="7" t="s">
        <v>1272</v>
      </c>
      <c r="E495" s="7" t="s">
        <v>1277</v>
      </c>
      <c r="F495">
        <v>1413</v>
      </c>
      <c r="G495" s="6">
        <v>15489</v>
      </c>
      <c r="H495" s="11" t="s">
        <v>1278</v>
      </c>
      <c r="I495" s="6">
        <v>20</v>
      </c>
      <c r="J495" s="6">
        <v>3</v>
      </c>
      <c r="K495" s="6">
        <v>3</v>
      </c>
      <c r="L495" s="6">
        <v>19</v>
      </c>
      <c r="M495" s="10">
        <f t="shared" si="21"/>
        <v>15.789473684210526</v>
      </c>
      <c r="N495" s="10">
        <f t="shared" si="22"/>
        <v>16</v>
      </c>
      <c r="O495" s="6" t="s">
        <v>159</v>
      </c>
      <c r="P495" s="6">
        <v>0</v>
      </c>
      <c r="Q495" s="6">
        <v>0</v>
      </c>
      <c r="R495" s="6">
        <v>0</v>
      </c>
      <c r="S495" s="6">
        <v>0</v>
      </c>
      <c r="T495" s="6" t="str">
        <f t="shared" si="23"/>
        <v>Cuarta</v>
      </c>
    </row>
    <row r="496" spans="1:20">
      <c r="A496" s="7" t="s">
        <v>1272</v>
      </c>
      <c r="B496" s="7" t="s">
        <v>434</v>
      </c>
      <c r="C496" s="8">
        <v>1</v>
      </c>
      <c r="D496" s="7" t="s">
        <v>1272</v>
      </c>
      <c r="E496" s="7" t="s">
        <v>1279</v>
      </c>
      <c r="F496">
        <v>2113</v>
      </c>
      <c r="G496" s="6">
        <v>18334</v>
      </c>
      <c r="H496" s="11" t="s">
        <v>1280</v>
      </c>
      <c r="I496" s="6">
        <v>49</v>
      </c>
      <c r="J496" s="6">
        <v>84</v>
      </c>
      <c r="K496" s="6">
        <v>206</v>
      </c>
      <c r="L496" s="6">
        <v>59</v>
      </c>
      <c r="M496" s="10">
        <f t="shared" si="21"/>
        <v>349.15254237288133</v>
      </c>
      <c r="N496" s="10">
        <f t="shared" si="22"/>
        <v>350</v>
      </c>
      <c r="O496" s="6" t="s">
        <v>20</v>
      </c>
      <c r="P496" s="6">
        <v>9</v>
      </c>
      <c r="Q496" s="6">
        <v>2</v>
      </c>
      <c r="R496" s="6">
        <v>8</v>
      </c>
      <c r="S496" s="6">
        <v>19</v>
      </c>
      <c r="T496" s="6" t="str">
        <f t="shared" si="23"/>
        <v>Primera</v>
      </c>
    </row>
    <row r="497" spans="1:20">
      <c r="A497" s="7" t="s">
        <v>1272</v>
      </c>
      <c r="B497" s="7" t="s">
        <v>434</v>
      </c>
      <c r="C497" s="8">
        <v>1</v>
      </c>
      <c r="D497" s="7" t="s">
        <v>1272</v>
      </c>
      <c r="E497" s="7" t="s">
        <v>1281</v>
      </c>
      <c r="F497">
        <v>1877</v>
      </c>
      <c r="G497" s="6">
        <v>2470</v>
      </c>
      <c r="H497" s="11" t="s">
        <v>1282</v>
      </c>
      <c r="I497" s="6">
        <v>52</v>
      </c>
      <c r="J497" s="6">
        <v>68</v>
      </c>
      <c r="K497" s="6">
        <v>191</v>
      </c>
      <c r="L497" s="6">
        <v>58</v>
      </c>
      <c r="M497" s="10">
        <f t="shared" si="21"/>
        <v>329.31034482758622</v>
      </c>
      <c r="N497" s="10">
        <f t="shared" si="22"/>
        <v>330</v>
      </c>
      <c r="O497" s="6" t="s">
        <v>147</v>
      </c>
      <c r="P497" s="6">
        <v>6</v>
      </c>
      <c r="Q497" s="6">
        <v>9</v>
      </c>
      <c r="R497" s="6">
        <v>9</v>
      </c>
      <c r="S497" s="6">
        <v>24</v>
      </c>
      <c r="T497" s="6" t="str">
        <f t="shared" si="23"/>
        <v>Segunda</v>
      </c>
    </row>
    <row r="498" spans="1:20">
      <c r="A498" s="7" t="s">
        <v>1272</v>
      </c>
      <c r="B498" s="7" t="s">
        <v>526</v>
      </c>
      <c r="C498" s="8">
        <v>1</v>
      </c>
      <c r="D498" s="7" t="s">
        <v>1272</v>
      </c>
      <c r="E498" s="7" t="s">
        <v>1283</v>
      </c>
      <c r="F498">
        <v>995</v>
      </c>
      <c r="G498" s="6">
        <v>6777</v>
      </c>
      <c r="H498" s="11" t="s">
        <v>1284</v>
      </c>
      <c r="I498" s="6">
        <v>40</v>
      </c>
      <c r="J498" s="6">
        <v>36</v>
      </c>
      <c r="K498" s="6">
        <v>55</v>
      </c>
      <c r="L498" s="6">
        <v>41</v>
      </c>
      <c r="M498" s="10">
        <f t="shared" si="21"/>
        <v>134.14634146341464</v>
      </c>
      <c r="N498" s="10">
        <f t="shared" si="22"/>
        <v>135</v>
      </c>
      <c r="O498" s="6" t="s">
        <v>33</v>
      </c>
      <c r="P498" s="6">
        <v>0</v>
      </c>
      <c r="Q498" s="6">
        <v>1</v>
      </c>
      <c r="R498" s="6">
        <v>2</v>
      </c>
      <c r="S498" s="6">
        <v>3</v>
      </c>
      <c r="T498" s="6" t="str">
        <f t="shared" si="23"/>
        <v>Septima</v>
      </c>
    </row>
    <row r="499" spans="1:20">
      <c r="A499" s="7" t="s">
        <v>1272</v>
      </c>
      <c r="B499" s="7" t="s">
        <v>526</v>
      </c>
      <c r="C499" s="8">
        <v>1</v>
      </c>
      <c r="D499" s="7" t="s">
        <v>1272</v>
      </c>
      <c r="E499" s="7" t="s">
        <v>1285</v>
      </c>
      <c r="F499">
        <v>1122</v>
      </c>
      <c r="G499" s="6">
        <v>27944</v>
      </c>
      <c r="H499" s="11" t="s">
        <v>1286</v>
      </c>
      <c r="I499" s="6">
        <v>45</v>
      </c>
      <c r="J499" s="6">
        <v>3</v>
      </c>
      <c r="K499" s="6">
        <v>17</v>
      </c>
      <c r="L499" s="6">
        <v>85</v>
      </c>
      <c r="M499" s="10">
        <f t="shared" si="21"/>
        <v>20</v>
      </c>
      <c r="N499" s="10">
        <f t="shared" si="22"/>
        <v>20</v>
      </c>
      <c r="O499" s="6" t="s">
        <v>160</v>
      </c>
      <c r="P499" s="6">
        <v>2</v>
      </c>
      <c r="Q499" s="6">
        <v>1</v>
      </c>
      <c r="R499" s="6">
        <v>0</v>
      </c>
      <c r="S499" s="6">
        <v>3</v>
      </c>
      <c r="T499" s="6" t="str">
        <f t="shared" si="23"/>
        <v>Sexta</v>
      </c>
    </row>
    <row r="500" spans="1:20">
      <c r="A500" s="7" t="s">
        <v>1272</v>
      </c>
      <c r="B500" s="7" t="s">
        <v>526</v>
      </c>
      <c r="C500" s="8">
        <v>1</v>
      </c>
      <c r="D500" s="7" t="s">
        <v>1272</v>
      </c>
      <c r="E500" s="7" t="s">
        <v>1287</v>
      </c>
      <c r="F500">
        <v>1278</v>
      </c>
      <c r="G500" s="6">
        <v>22543</v>
      </c>
      <c r="H500" s="11" t="s">
        <v>1288</v>
      </c>
      <c r="I500" s="6">
        <v>21</v>
      </c>
      <c r="J500" s="6">
        <v>1</v>
      </c>
      <c r="K500" s="6">
        <v>1</v>
      </c>
      <c r="L500" s="6">
        <v>25</v>
      </c>
      <c r="M500" s="10">
        <f t="shared" si="21"/>
        <v>4</v>
      </c>
      <c r="N500" s="10">
        <f t="shared" si="22"/>
        <v>4</v>
      </c>
      <c r="O500" s="6" t="s">
        <v>161</v>
      </c>
      <c r="P500" s="6">
        <v>0</v>
      </c>
      <c r="Q500" s="6">
        <v>0</v>
      </c>
      <c r="R500" s="6">
        <v>0</v>
      </c>
      <c r="S500" s="6">
        <v>0</v>
      </c>
      <c r="T500" s="6" t="str">
        <f t="shared" si="23"/>
        <v>Quinta</v>
      </c>
    </row>
    <row r="501" spans="1:20">
      <c r="A501" s="7" t="s">
        <v>1272</v>
      </c>
      <c r="B501" s="7" t="s">
        <v>526</v>
      </c>
      <c r="C501" s="8">
        <v>1</v>
      </c>
      <c r="D501" s="7" t="s">
        <v>1272</v>
      </c>
      <c r="E501" s="7" t="s">
        <v>1289</v>
      </c>
      <c r="F501">
        <v>1058</v>
      </c>
      <c r="G501" s="6">
        <v>28085</v>
      </c>
      <c r="H501" s="11" t="s">
        <v>1290</v>
      </c>
      <c r="I501" s="6">
        <v>49</v>
      </c>
      <c r="J501" s="6">
        <v>13</v>
      </c>
      <c r="K501" s="6">
        <v>22</v>
      </c>
      <c r="L501" s="6">
        <v>46</v>
      </c>
      <c r="M501" s="10">
        <f t="shared" si="21"/>
        <v>47.826086956521742</v>
      </c>
      <c r="N501" s="10">
        <f t="shared" si="22"/>
        <v>48</v>
      </c>
      <c r="O501" s="6" t="s">
        <v>12</v>
      </c>
      <c r="P501" s="6">
        <v>0</v>
      </c>
      <c r="Q501" s="6">
        <v>1</v>
      </c>
      <c r="R501" s="6">
        <v>1</v>
      </c>
      <c r="S501" s="6">
        <v>2</v>
      </c>
      <c r="T501" s="6" t="str">
        <f t="shared" si="23"/>
        <v>Septima</v>
      </c>
    </row>
    <row r="502" spans="1:20">
      <c r="A502" s="7" t="s">
        <v>1272</v>
      </c>
      <c r="B502" s="7" t="s">
        <v>526</v>
      </c>
      <c r="C502" s="8">
        <v>1</v>
      </c>
      <c r="D502" s="7" t="s">
        <v>1272</v>
      </c>
      <c r="E502" s="7" t="s">
        <v>1291</v>
      </c>
      <c r="F502">
        <v>987</v>
      </c>
      <c r="G502" s="6">
        <v>24162</v>
      </c>
      <c r="H502" s="11" t="s">
        <v>1292</v>
      </c>
      <c r="I502" s="6">
        <v>44</v>
      </c>
      <c r="J502" s="6">
        <v>15</v>
      </c>
      <c r="K502" s="6">
        <v>19</v>
      </c>
      <c r="L502" s="6">
        <v>33</v>
      </c>
      <c r="M502" s="10">
        <f t="shared" si="21"/>
        <v>57.575757575757578</v>
      </c>
      <c r="N502" s="10">
        <f t="shared" si="22"/>
        <v>58</v>
      </c>
      <c r="O502" s="6" t="s">
        <v>114</v>
      </c>
      <c r="P502" s="6">
        <v>0</v>
      </c>
      <c r="Q502" s="6">
        <v>0</v>
      </c>
      <c r="R502" s="6">
        <v>1</v>
      </c>
      <c r="S502" s="6">
        <v>1</v>
      </c>
      <c r="T502" s="6" t="str">
        <f t="shared" si="23"/>
        <v>Septima</v>
      </c>
    </row>
    <row r="503" spans="1:20" ht="24">
      <c r="A503" s="7" t="s">
        <v>1293</v>
      </c>
      <c r="B503" s="7" t="s">
        <v>496</v>
      </c>
      <c r="C503" s="8">
        <v>1</v>
      </c>
      <c r="D503" s="7" t="s">
        <v>1293</v>
      </c>
      <c r="E503" s="7" t="s">
        <v>1294</v>
      </c>
      <c r="F503">
        <v>1492</v>
      </c>
      <c r="G503" s="6">
        <v>14262</v>
      </c>
      <c r="H503" s="11" t="s">
        <v>1295</v>
      </c>
      <c r="I503" s="6">
        <v>33</v>
      </c>
      <c r="J503" s="6">
        <v>12</v>
      </c>
      <c r="K503" s="6">
        <v>33</v>
      </c>
      <c r="L503" s="6">
        <v>60</v>
      </c>
      <c r="M503" s="10">
        <f t="shared" si="21"/>
        <v>55</v>
      </c>
      <c r="N503" s="10">
        <f t="shared" si="22"/>
        <v>55</v>
      </c>
      <c r="O503" s="6" t="s">
        <v>162</v>
      </c>
      <c r="P503" s="6">
        <v>1</v>
      </c>
      <c r="Q503" s="6">
        <v>0</v>
      </c>
      <c r="R503" s="6">
        <v>1</v>
      </c>
      <c r="S503" s="6">
        <v>2</v>
      </c>
      <c r="T503" s="6" t="str">
        <f t="shared" si="23"/>
        <v>Cuarta</v>
      </c>
    </row>
    <row r="504" spans="1:20" ht="24">
      <c r="A504" s="7" t="s">
        <v>1293</v>
      </c>
      <c r="B504" s="7" t="s">
        <v>496</v>
      </c>
      <c r="C504" s="8">
        <v>1</v>
      </c>
      <c r="D504" s="7" t="s">
        <v>1293</v>
      </c>
      <c r="E504" s="7" t="s">
        <v>1296</v>
      </c>
      <c r="F504">
        <v>1152</v>
      </c>
      <c r="G504" s="6">
        <v>5170</v>
      </c>
      <c r="H504" s="11" t="s">
        <v>1297</v>
      </c>
      <c r="I504" s="6">
        <v>43</v>
      </c>
      <c r="J504" s="6">
        <v>4</v>
      </c>
      <c r="K504" s="6">
        <v>10</v>
      </c>
      <c r="L504" s="6">
        <v>63</v>
      </c>
      <c r="M504" s="10">
        <f t="shared" si="21"/>
        <v>15.873015873015873</v>
      </c>
      <c r="N504" s="10">
        <f t="shared" si="22"/>
        <v>16</v>
      </c>
      <c r="O504" s="6" t="s">
        <v>163</v>
      </c>
      <c r="P504" s="6">
        <v>0</v>
      </c>
      <c r="Q504" s="6">
        <v>0</v>
      </c>
      <c r="R504" s="6">
        <v>1</v>
      </c>
      <c r="S504" s="6">
        <v>1</v>
      </c>
      <c r="T504" s="6" t="str">
        <f t="shared" si="23"/>
        <v>Sexta</v>
      </c>
    </row>
    <row r="505" spans="1:20" ht="24">
      <c r="A505" s="7" t="s">
        <v>1293</v>
      </c>
      <c r="B505" s="7" t="s">
        <v>496</v>
      </c>
      <c r="C505" s="8">
        <v>1</v>
      </c>
      <c r="D505" s="7" t="s">
        <v>1293</v>
      </c>
      <c r="E505" s="7" t="s">
        <v>1298</v>
      </c>
      <c r="F505">
        <v>1637</v>
      </c>
      <c r="G505" s="6">
        <v>655</v>
      </c>
      <c r="H505" s="11" t="s">
        <v>1299</v>
      </c>
      <c r="I505" s="6">
        <v>30</v>
      </c>
      <c r="J505" s="6">
        <v>7</v>
      </c>
      <c r="K505" s="6">
        <v>14</v>
      </c>
      <c r="L505" s="6">
        <v>48</v>
      </c>
      <c r="M505" s="10">
        <f t="shared" si="21"/>
        <v>29.166666666666668</v>
      </c>
      <c r="N505" s="10">
        <f t="shared" si="22"/>
        <v>30</v>
      </c>
      <c r="O505" s="6" t="s">
        <v>164</v>
      </c>
      <c r="P505" s="6">
        <v>0</v>
      </c>
      <c r="Q505" s="6">
        <v>0</v>
      </c>
      <c r="R505" s="6">
        <v>0</v>
      </c>
      <c r="S505" s="6">
        <v>0</v>
      </c>
      <c r="T505" s="6" t="str">
        <f t="shared" si="23"/>
        <v>Tercera</v>
      </c>
    </row>
    <row r="506" spans="1:20" ht="24">
      <c r="A506" s="7" t="s">
        <v>1293</v>
      </c>
      <c r="B506" s="7" t="s">
        <v>496</v>
      </c>
      <c r="C506" s="8">
        <v>1</v>
      </c>
      <c r="D506" s="7" t="s">
        <v>1293</v>
      </c>
      <c r="E506" s="7" t="s">
        <v>1300</v>
      </c>
      <c r="F506">
        <v>1204</v>
      </c>
      <c r="G506" s="6">
        <v>26348</v>
      </c>
      <c r="H506" s="11" t="s">
        <v>1301</v>
      </c>
      <c r="I506" s="6">
        <v>19</v>
      </c>
      <c r="J506" s="6">
        <v>17</v>
      </c>
      <c r="K506" s="6">
        <v>44</v>
      </c>
      <c r="L506" s="6">
        <v>59</v>
      </c>
      <c r="M506" s="10">
        <f t="shared" si="21"/>
        <v>74.576271186440678</v>
      </c>
      <c r="N506" s="10">
        <f t="shared" si="22"/>
        <v>75</v>
      </c>
      <c r="O506" s="6" t="s">
        <v>21</v>
      </c>
      <c r="P506" s="6">
        <v>3</v>
      </c>
      <c r="Q506" s="6">
        <v>1</v>
      </c>
      <c r="R506" s="6">
        <v>5</v>
      </c>
      <c r="S506" s="6">
        <v>9</v>
      </c>
      <c r="T506" s="6" t="str">
        <f t="shared" si="23"/>
        <v>Quinta</v>
      </c>
    </row>
    <row r="507" spans="1:20" ht="24">
      <c r="A507" s="7" t="s">
        <v>1293</v>
      </c>
      <c r="B507" s="7" t="s">
        <v>496</v>
      </c>
      <c r="C507" s="8">
        <v>1</v>
      </c>
      <c r="D507" s="7" t="s">
        <v>1293</v>
      </c>
      <c r="E507" s="7" t="s">
        <v>1302</v>
      </c>
      <c r="F507">
        <v>1247</v>
      </c>
      <c r="G507" s="6">
        <v>28641</v>
      </c>
      <c r="H507" s="11" t="s">
        <v>1303</v>
      </c>
      <c r="I507" s="6">
        <v>35</v>
      </c>
      <c r="J507" s="6">
        <v>4</v>
      </c>
      <c r="K507" s="6">
        <v>23</v>
      </c>
      <c r="L507" s="6">
        <v>96</v>
      </c>
      <c r="M507" s="10">
        <f t="shared" si="21"/>
        <v>23.958333333333332</v>
      </c>
      <c r="N507" s="10">
        <f t="shared" si="22"/>
        <v>24</v>
      </c>
      <c r="O507" s="6" t="s">
        <v>114</v>
      </c>
      <c r="P507" s="6">
        <v>3</v>
      </c>
      <c r="Q507" s="6">
        <v>0</v>
      </c>
      <c r="R507" s="6">
        <v>0</v>
      </c>
      <c r="S507" s="6">
        <v>3</v>
      </c>
      <c r="T507" s="6" t="str">
        <f t="shared" si="23"/>
        <v>Quinta</v>
      </c>
    </row>
    <row r="508" spans="1:20" ht="24">
      <c r="A508" s="7" t="s">
        <v>1293</v>
      </c>
      <c r="B508" s="7" t="s">
        <v>496</v>
      </c>
      <c r="C508" s="8">
        <v>1</v>
      </c>
      <c r="D508" s="7" t="s">
        <v>1293</v>
      </c>
      <c r="E508" s="7" t="s">
        <v>1304</v>
      </c>
      <c r="F508">
        <v>970</v>
      </c>
      <c r="G508" s="6">
        <v>27707</v>
      </c>
      <c r="H508" s="11" t="s">
        <v>1305</v>
      </c>
      <c r="I508" s="6">
        <v>57</v>
      </c>
      <c r="J508" s="6">
        <v>1</v>
      </c>
      <c r="K508" s="6">
        <v>0</v>
      </c>
      <c r="L508" s="6">
        <v>0</v>
      </c>
      <c r="M508" s="10">
        <f t="shared" si="21"/>
        <v>0</v>
      </c>
      <c r="N508" s="10">
        <f t="shared" si="22"/>
        <v>0</v>
      </c>
      <c r="O508" s="6" t="s">
        <v>165</v>
      </c>
      <c r="P508" s="6">
        <v>0</v>
      </c>
      <c r="Q508" s="6">
        <v>0</v>
      </c>
      <c r="R508" s="6">
        <v>0</v>
      </c>
      <c r="S508" s="6">
        <v>0</v>
      </c>
      <c r="T508" s="6" t="str">
        <f t="shared" si="23"/>
        <v>Octava</v>
      </c>
    </row>
    <row r="509" spans="1:20">
      <c r="A509" s="7" t="s">
        <v>1306</v>
      </c>
      <c r="B509" s="7" t="s">
        <v>496</v>
      </c>
      <c r="C509" s="8">
        <v>1</v>
      </c>
      <c r="D509" s="7" t="s">
        <v>1306</v>
      </c>
      <c r="E509" s="7" t="s">
        <v>1307</v>
      </c>
      <c r="F509">
        <v>1495</v>
      </c>
      <c r="G509" s="6">
        <v>23673</v>
      </c>
      <c r="H509" s="11" t="s">
        <v>1308</v>
      </c>
      <c r="I509" s="6">
        <v>27</v>
      </c>
      <c r="J509" s="6">
        <v>78</v>
      </c>
      <c r="K509" s="6">
        <v>214</v>
      </c>
      <c r="L509" s="6">
        <v>54</v>
      </c>
      <c r="M509" s="10">
        <f t="shared" si="21"/>
        <v>396.2962962962963</v>
      </c>
      <c r="N509" s="10">
        <f t="shared" si="22"/>
        <v>397</v>
      </c>
      <c r="O509" s="6" t="s">
        <v>9</v>
      </c>
      <c r="P509" s="6">
        <v>7</v>
      </c>
      <c r="Q509" s="6">
        <v>9</v>
      </c>
      <c r="R509" s="6">
        <v>15</v>
      </c>
      <c r="S509" s="6">
        <v>31</v>
      </c>
      <c r="T509" s="6" t="str">
        <f t="shared" si="23"/>
        <v>Cuarta</v>
      </c>
    </row>
    <row r="510" spans="1:20">
      <c r="A510" s="7" t="s">
        <v>1306</v>
      </c>
      <c r="B510" s="7" t="s">
        <v>496</v>
      </c>
      <c r="C510" s="8">
        <v>1</v>
      </c>
      <c r="D510" s="7" t="s">
        <v>1306</v>
      </c>
      <c r="E510" s="7" t="s">
        <v>1309</v>
      </c>
      <c r="F510">
        <v>1490</v>
      </c>
      <c r="G510" s="6">
        <v>5113</v>
      </c>
      <c r="H510" s="11" t="s">
        <v>1310</v>
      </c>
      <c r="I510" s="6">
        <v>35</v>
      </c>
      <c r="J510" s="6">
        <v>53</v>
      </c>
      <c r="K510" s="6">
        <v>138</v>
      </c>
      <c r="L510" s="6">
        <v>61</v>
      </c>
      <c r="M510" s="10">
        <f t="shared" si="21"/>
        <v>226.2295081967213</v>
      </c>
      <c r="N510" s="10">
        <f t="shared" si="22"/>
        <v>227</v>
      </c>
      <c r="O510" s="6" t="s">
        <v>29</v>
      </c>
      <c r="P510" s="6">
        <v>4</v>
      </c>
      <c r="Q510" s="6">
        <v>2</v>
      </c>
      <c r="R510" s="6">
        <v>8</v>
      </c>
      <c r="S510" s="6">
        <v>14</v>
      </c>
      <c r="T510" s="6" t="str">
        <f t="shared" si="23"/>
        <v>Cuarta</v>
      </c>
    </row>
    <row r="511" spans="1:20">
      <c r="A511" s="7" t="s">
        <v>1306</v>
      </c>
      <c r="B511" s="7" t="s">
        <v>496</v>
      </c>
      <c r="C511" s="8">
        <v>1</v>
      </c>
      <c r="D511" s="7" t="s">
        <v>1306</v>
      </c>
      <c r="E511" s="7" t="s">
        <v>1311</v>
      </c>
      <c r="F511">
        <v>2174</v>
      </c>
      <c r="G511" s="6">
        <v>15673</v>
      </c>
      <c r="H511" s="11" t="s">
        <v>1312</v>
      </c>
      <c r="I511" s="6">
        <v>21</v>
      </c>
      <c r="J511" s="6">
        <v>85</v>
      </c>
      <c r="K511" s="6">
        <v>256</v>
      </c>
      <c r="L511" s="6">
        <v>67</v>
      </c>
      <c r="M511" s="10">
        <f t="shared" si="21"/>
        <v>382.08955223880599</v>
      </c>
      <c r="N511" s="10">
        <f t="shared" si="22"/>
        <v>383</v>
      </c>
      <c r="O511" s="6" t="s">
        <v>26</v>
      </c>
      <c r="P511" s="6">
        <v>19</v>
      </c>
      <c r="Q511" s="6">
        <v>5</v>
      </c>
      <c r="R511" s="6">
        <v>16</v>
      </c>
      <c r="S511" s="6">
        <v>40</v>
      </c>
      <c r="T511" s="6" t="str">
        <f t="shared" si="23"/>
        <v>Primera</v>
      </c>
    </row>
    <row r="512" spans="1:20">
      <c r="A512" s="7" t="s">
        <v>1306</v>
      </c>
      <c r="B512" s="7" t="s">
        <v>496</v>
      </c>
      <c r="C512" s="8">
        <v>1</v>
      </c>
      <c r="D512" s="7" t="s">
        <v>1306</v>
      </c>
      <c r="E512" s="7" t="s">
        <v>1313</v>
      </c>
      <c r="F512">
        <v>1199</v>
      </c>
      <c r="G512" s="6">
        <v>15947</v>
      </c>
      <c r="H512" s="11" t="s">
        <v>1314</v>
      </c>
      <c r="I512" s="6">
        <v>20</v>
      </c>
      <c r="J512" s="6">
        <v>2</v>
      </c>
      <c r="K512" s="6">
        <v>0</v>
      </c>
      <c r="L512" s="6">
        <v>0</v>
      </c>
      <c r="M512" s="10">
        <f t="shared" si="21"/>
        <v>0</v>
      </c>
      <c r="N512" s="10">
        <f t="shared" si="22"/>
        <v>0</v>
      </c>
      <c r="O512" s="6" t="s">
        <v>166</v>
      </c>
      <c r="P512" s="6">
        <v>0</v>
      </c>
      <c r="Q512" s="6">
        <v>0</v>
      </c>
      <c r="R512" s="6">
        <v>0</v>
      </c>
      <c r="S512" s="6">
        <v>0</v>
      </c>
      <c r="T512" s="6" t="str">
        <f t="shared" si="23"/>
        <v>Sexta</v>
      </c>
    </row>
    <row r="513" spans="1:20">
      <c r="A513" s="7" t="s">
        <v>1306</v>
      </c>
      <c r="B513" s="7" t="s">
        <v>496</v>
      </c>
      <c r="C513" s="8">
        <v>1</v>
      </c>
      <c r="D513" s="7" t="s">
        <v>1306</v>
      </c>
      <c r="E513" s="7" t="s">
        <v>1315</v>
      </c>
      <c r="F513">
        <v>1474</v>
      </c>
      <c r="G513" s="6">
        <v>16118</v>
      </c>
      <c r="H513" s="11" t="s">
        <v>1316</v>
      </c>
      <c r="I513" s="6">
        <v>35</v>
      </c>
      <c r="J513" s="6">
        <v>238</v>
      </c>
      <c r="K513" s="6">
        <v>500</v>
      </c>
      <c r="L513" s="6">
        <v>39</v>
      </c>
      <c r="M513" s="10">
        <f t="shared" si="21"/>
        <v>1282.051282051282</v>
      </c>
      <c r="N513" s="10">
        <f t="shared" si="22"/>
        <v>1283</v>
      </c>
      <c r="O513" s="6" t="s">
        <v>12</v>
      </c>
      <c r="P513" s="6">
        <v>12</v>
      </c>
      <c r="Q513" s="6">
        <v>12</v>
      </c>
      <c r="R513" s="6">
        <v>33</v>
      </c>
      <c r="S513" s="6">
        <v>57</v>
      </c>
      <c r="T513" s="6" t="str">
        <f t="shared" si="23"/>
        <v>Cuarta</v>
      </c>
    </row>
    <row r="514" spans="1:20">
      <c r="A514" s="7" t="s">
        <v>1306</v>
      </c>
      <c r="B514" s="7" t="s">
        <v>496</v>
      </c>
      <c r="C514" s="8">
        <v>1</v>
      </c>
      <c r="D514" s="7" t="s">
        <v>1306</v>
      </c>
      <c r="E514" s="7" t="s">
        <v>1317</v>
      </c>
      <c r="F514">
        <v>1316</v>
      </c>
      <c r="G514" s="6">
        <v>12062</v>
      </c>
      <c r="H514" s="11" t="s">
        <v>1318</v>
      </c>
      <c r="I514" s="6">
        <v>50</v>
      </c>
      <c r="J514" s="6">
        <v>28</v>
      </c>
      <c r="K514" s="6">
        <v>68</v>
      </c>
      <c r="L514" s="6">
        <v>56</v>
      </c>
      <c r="M514" s="10">
        <f t="shared" si="21"/>
        <v>121.42857142857143</v>
      </c>
      <c r="N514" s="10">
        <f t="shared" si="22"/>
        <v>122</v>
      </c>
      <c r="O514" s="6" t="s">
        <v>167</v>
      </c>
      <c r="P514" s="6">
        <v>2</v>
      </c>
      <c r="Q514" s="6">
        <v>3</v>
      </c>
      <c r="R514" s="6">
        <v>5</v>
      </c>
      <c r="S514" s="6">
        <v>10</v>
      </c>
      <c r="T514" s="6" t="str">
        <f t="shared" si="23"/>
        <v>Quinta</v>
      </c>
    </row>
    <row r="515" spans="1:20">
      <c r="A515" s="7" t="s">
        <v>1306</v>
      </c>
      <c r="B515" s="7" t="s">
        <v>496</v>
      </c>
      <c r="C515" s="8">
        <v>1</v>
      </c>
      <c r="D515" s="7" t="s">
        <v>1306</v>
      </c>
      <c r="E515" s="7" t="s">
        <v>1319</v>
      </c>
      <c r="F515">
        <v>1280</v>
      </c>
      <c r="G515" s="6">
        <v>23769</v>
      </c>
      <c r="H515" s="11" t="s">
        <v>1320</v>
      </c>
      <c r="I515" s="6">
        <v>16</v>
      </c>
      <c r="J515" s="6">
        <v>47</v>
      </c>
      <c r="K515" s="6">
        <v>137</v>
      </c>
      <c r="L515" s="6">
        <v>58</v>
      </c>
      <c r="M515" s="10">
        <f t="shared" ref="M515:M578" si="24">IF(K515+L515=0,0,(100*K515/L515))</f>
        <v>236.20689655172413</v>
      </c>
      <c r="N515" s="10">
        <f t="shared" ref="N515:N578" si="25">ROUNDUP(M515,0)</f>
        <v>237</v>
      </c>
      <c r="O515" s="6" t="s">
        <v>168</v>
      </c>
      <c r="P515" s="6">
        <v>5</v>
      </c>
      <c r="Q515" s="6">
        <v>5</v>
      </c>
      <c r="R515" s="6">
        <v>18</v>
      </c>
      <c r="S515" s="6">
        <v>28</v>
      </c>
      <c r="T515" s="6" t="str">
        <f t="shared" ref="T515:T578" si="26">IF(F515&gt;2100,"Primera",
IF(F515&gt;=1800,"Segunda",
IF(F515&gt;=1600,"Tercera",
IF(F515&gt;=1400,"Cuarta",
IF(F515&gt;=1200,"Quinta",
IF(F515&gt;=1080,"Sexta",
IF(F515&gt;=980,"Septima",
"Octava")))))))</f>
        <v>Quinta</v>
      </c>
    </row>
    <row r="516" spans="1:20">
      <c r="A516" s="7" t="s">
        <v>1306</v>
      </c>
      <c r="B516" s="7" t="s">
        <v>496</v>
      </c>
      <c r="C516" s="8">
        <v>1</v>
      </c>
      <c r="D516" s="7" t="s">
        <v>1306</v>
      </c>
      <c r="E516" s="7" t="s">
        <v>1321</v>
      </c>
      <c r="F516">
        <v>1361</v>
      </c>
      <c r="G516" s="6">
        <v>15151</v>
      </c>
      <c r="H516" s="11" t="s">
        <v>1322</v>
      </c>
      <c r="I516" s="6">
        <v>29</v>
      </c>
      <c r="J516" s="6">
        <v>23</v>
      </c>
      <c r="K516" s="6">
        <v>53</v>
      </c>
      <c r="L516" s="6">
        <v>50</v>
      </c>
      <c r="M516" s="10">
        <f t="shared" si="24"/>
        <v>106</v>
      </c>
      <c r="N516" s="10">
        <f t="shared" si="25"/>
        <v>106</v>
      </c>
      <c r="O516" s="6" t="s">
        <v>169</v>
      </c>
      <c r="P516" s="6">
        <v>3</v>
      </c>
      <c r="Q516" s="6">
        <v>1</v>
      </c>
      <c r="R516" s="6">
        <v>3</v>
      </c>
      <c r="S516" s="6">
        <v>7</v>
      </c>
      <c r="T516" s="6" t="str">
        <f t="shared" si="26"/>
        <v>Quinta</v>
      </c>
    </row>
    <row r="517" spans="1:20">
      <c r="A517" s="7" t="s">
        <v>1306</v>
      </c>
      <c r="B517" s="7" t="s">
        <v>507</v>
      </c>
      <c r="C517" s="8">
        <v>1</v>
      </c>
      <c r="D517" s="7" t="s">
        <v>1306</v>
      </c>
      <c r="E517" s="7" t="s">
        <v>1323</v>
      </c>
      <c r="F517">
        <v>1286</v>
      </c>
      <c r="G517" s="6">
        <v>12252</v>
      </c>
      <c r="H517" s="11" t="s">
        <v>1324</v>
      </c>
      <c r="I517" s="6">
        <v>34</v>
      </c>
      <c r="J517" s="6">
        <v>1</v>
      </c>
      <c r="K517" s="6">
        <v>1</v>
      </c>
      <c r="L517" s="6">
        <v>33</v>
      </c>
      <c r="M517" s="10">
        <f t="shared" si="24"/>
        <v>3.0303030303030303</v>
      </c>
      <c r="N517" s="10">
        <f t="shared" si="25"/>
        <v>4</v>
      </c>
      <c r="O517" s="6" t="s">
        <v>170</v>
      </c>
      <c r="P517" s="6">
        <v>0</v>
      </c>
      <c r="Q517" s="6">
        <v>0</v>
      </c>
      <c r="R517" s="6">
        <v>0</v>
      </c>
      <c r="S517" s="6">
        <v>0</v>
      </c>
      <c r="T517" s="6" t="str">
        <f t="shared" si="26"/>
        <v>Quinta</v>
      </c>
    </row>
    <row r="518" spans="1:20">
      <c r="A518" s="7" t="s">
        <v>1306</v>
      </c>
      <c r="B518" s="7" t="s">
        <v>507</v>
      </c>
      <c r="C518" s="8">
        <v>1</v>
      </c>
      <c r="D518" s="7" t="s">
        <v>1306</v>
      </c>
      <c r="E518" s="7" t="s">
        <v>1317</v>
      </c>
      <c r="F518">
        <v>1316</v>
      </c>
      <c r="G518" s="6">
        <v>12062</v>
      </c>
      <c r="H518" s="11" t="s">
        <v>1318</v>
      </c>
      <c r="I518" s="6">
        <v>50</v>
      </c>
      <c r="J518" s="6">
        <v>28</v>
      </c>
      <c r="K518" s="6">
        <v>68</v>
      </c>
      <c r="L518" s="6">
        <v>56</v>
      </c>
      <c r="M518" s="10">
        <f t="shared" si="24"/>
        <v>121.42857142857143</v>
      </c>
      <c r="N518" s="10">
        <f t="shared" si="25"/>
        <v>122</v>
      </c>
      <c r="O518" s="6" t="s">
        <v>167</v>
      </c>
      <c r="P518" s="6">
        <v>2</v>
      </c>
      <c r="Q518" s="6">
        <v>3</v>
      </c>
      <c r="R518" s="6">
        <v>5</v>
      </c>
      <c r="S518" s="6">
        <v>10</v>
      </c>
      <c r="T518" s="6" t="str">
        <f t="shared" si="26"/>
        <v>Quinta</v>
      </c>
    </row>
    <row r="519" spans="1:20">
      <c r="A519" s="7" t="s">
        <v>1306</v>
      </c>
      <c r="B519" s="7" t="s">
        <v>507</v>
      </c>
      <c r="C519" s="8">
        <v>1</v>
      </c>
      <c r="D519" s="7" t="s">
        <v>1306</v>
      </c>
      <c r="E519" s="7" t="s">
        <v>1325</v>
      </c>
      <c r="F519">
        <v>1359</v>
      </c>
      <c r="G519" s="6">
        <v>24024</v>
      </c>
      <c r="H519" s="11" t="s">
        <v>1326</v>
      </c>
      <c r="I519" s="6">
        <v>59</v>
      </c>
      <c r="J519" s="6">
        <v>36</v>
      </c>
      <c r="K519" s="6">
        <v>87</v>
      </c>
      <c r="L519" s="6">
        <v>58</v>
      </c>
      <c r="M519" s="10">
        <f t="shared" si="24"/>
        <v>150</v>
      </c>
      <c r="N519" s="10">
        <f t="shared" si="25"/>
        <v>150</v>
      </c>
      <c r="O519" s="6" t="s">
        <v>79</v>
      </c>
      <c r="P519" s="6">
        <v>3</v>
      </c>
      <c r="Q519" s="6">
        <v>4</v>
      </c>
      <c r="R519" s="6">
        <v>6</v>
      </c>
      <c r="S519" s="6">
        <v>13</v>
      </c>
      <c r="T519" s="6" t="str">
        <f t="shared" si="26"/>
        <v>Quinta</v>
      </c>
    </row>
    <row r="520" spans="1:20">
      <c r="A520" s="7" t="s">
        <v>1306</v>
      </c>
      <c r="B520" s="7" t="s">
        <v>507</v>
      </c>
      <c r="C520" s="8">
        <v>1</v>
      </c>
      <c r="D520" s="7" t="s">
        <v>1306</v>
      </c>
      <c r="E520" s="7" t="s">
        <v>1327</v>
      </c>
      <c r="F520">
        <v>1342</v>
      </c>
      <c r="G520" s="6">
        <v>25786</v>
      </c>
      <c r="H520" s="11" t="s">
        <v>1328</v>
      </c>
      <c r="I520" s="6">
        <v>52</v>
      </c>
      <c r="J520" s="6">
        <v>47</v>
      </c>
      <c r="K520" s="6">
        <v>112</v>
      </c>
      <c r="L520" s="6">
        <v>49</v>
      </c>
      <c r="M520" s="10">
        <f t="shared" si="24"/>
        <v>228.57142857142858</v>
      </c>
      <c r="N520" s="10">
        <f t="shared" si="25"/>
        <v>229</v>
      </c>
      <c r="O520" s="6" t="s">
        <v>79</v>
      </c>
      <c r="P520" s="6">
        <v>4</v>
      </c>
      <c r="Q520" s="6">
        <v>4</v>
      </c>
      <c r="R520" s="6">
        <v>7</v>
      </c>
      <c r="S520" s="6">
        <v>15</v>
      </c>
      <c r="T520" s="6" t="str">
        <f t="shared" si="26"/>
        <v>Quinta</v>
      </c>
    </row>
    <row r="521" spans="1:20">
      <c r="A521" s="7" t="s">
        <v>1306</v>
      </c>
      <c r="B521" s="7" t="s">
        <v>507</v>
      </c>
      <c r="C521" s="8">
        <v>1</v>
      </c>
      <c r="D521" s="7" t="s">
        <v>1306</v>
      </c>
      <c r="E521" s="7" t="s">
        <v>1319</v>
      </c>
      <c r="F521">
        <v>1280</v>
      </c>
      <c r="G521" s="6">
        <v>23769</v>
      </c>
      <c r="H521" s="11" t="s">
        <v>1320</v>
      </c>
      <c r="I521" s="6">
        <v>16</v>
      </c>
      <c r="J521" s="6">
        <v>47</v>
      </c>
      <c r="K521" s="6">
        <v>137</v>
      </c>
      <c r="L521" s="6">
        <v>58</v>
      </c>
      <c r="M521" s="10">
        <f t="shared" si="24"/>
        <v>236.20689655172413</v>
      </c>
      <c r="N521" s="10">
        <f t="shared" si="25"/>
        <v>237</v>
      </c>
      <c r="O521" s="6" t="s">
        <v>168</v>
      </c>
      <c r="P521" s="6">
        <v>5</v>
      </c>
      <c r="Q521" s="6">
        <v>5</v>
      </c>
      <c r="R521" s="6">
        <v>18</v>
      </c>
      <c r="S521" s="6">
        <v>28</v>
      </c>
      <c r="T521" s="6" t="str">
        <f t="shared" si="26"/>
        <v>Quinta</v>
      </c>
    </row>
    <row r="522" spans="1:20">
      <c r="A522" s="7" t="s">
        <v>1306</v>
      </c>
      <c r="B522" s="7" t="s">
        <v>507</v>
      </c>
      <c r="C522" s="8">
        <v>1</v>
      </c>
      <c r="D522" s="7" t="s">
        <v>1306</v>
      </c>
      <c r="E522" s="7" t="s">
        <v>1329</v>
      </c>
      <c r="F522">
        <v>1226</v>
      </c>
      <c r="G522" s="6">
        <v>22451</v>
      </c>
      <c r="H522" s="11" t="s">
        <v>1330</v>
      </c>
      <c r="I522" s="6">
        <v>27</v>
      </c>
      <c r="J522" s="6">
        <v>35</v>
      </c>
      <c r="K522" s="6">
        <v>78</v>
      </c>
      <c r="L522" s="6">
        <v>47</v>
      </c>
      <c r="M522" s="10">
        <f t="shared" si="24"/>
        <v>165.95744680851064</v>
      </c>
      <c r="N522" s="10">
        <f t="shared" si="25"/>
        <v>166</v>
      </c>
      <c r="O522" s="6" t="s">
        <v>168</v>
      </c>
      <c r="P522" s="6">
        <v>3</v>
      </c>
      <c r="Q522" s="6">
        <v>1</v>
      </c>
      <c r="R522" s="6">
        <v>5</v>
      </c>
      <c r="S522" s="6">
        <v>9</v>
      </c>
      <c r="T522" s="6" t="str">
        <f t="shared" si="26"/>
        <v>Quinta</v>
      </c>
    </row>
    <row r="523" spans="1:20">
      <c r="A523" s="7" t="s">
        <v>1306</v>
      </c>
      <c r="B523" s="7" t="s">
        <v>507</v>
      </c>
      <c r="C523" s="8">
        <v>1</v>
      </c>
      <c r="D523" s="7" t="s">
        <v>1306</v>
      </c>
      <c r="E523" s="7" t="s">
        <v>1331</v>
      </c>
      <c r="F523">
        <v>1000</v>
      </c>
      <c r="G523" s="6">
        <v>15558</v>
      </c>
      <c r="H523" s="11" t="s">
        <v>1332</v>
      </c>
      <c r="I523" s="6">
        <v>30</v>
      </c>
      <c r="J523" s="6">
        <v>0</v>
      </c>
      <c r="K523" s="6">
        <v>0</v>
      </c>
      <c r="L523" s="6">
        <v>0</v>
      </c>
      <c r="M523" s="10">
        <f t="shared" si="24"/>
        <v>0</v>
      </c>
      <c r="N523" s="10">
        <f t="shared" si="25"/>
        <v>0</v>
      </c>
      <c r="P523" s="6">
        <v>0</v>
      </c>
      <c r="Q523" s="6">
        <v>0</v>
      </c>
      <c r="R523" s="6">
        <v>0</v>
      </c>
      <c r="S523" s="6">
        <v>0</v>
      </c>
      <c r="T523" s="6" t="str">
        <f t="shared" si="26"/>
        <v>Septima</v>
      </c>
    </row>
    <row r="524" spans="1:20">
      <c r="A524" s="7" t="s">
        <v>1306</v>
      </c>
      <c r="B524" s="7" t="s">
        <v>507</v>
      </c>
      <c r="C524" s="8">
        <v>1</v>
      </c>
      <c r="D524" s="7" t="s">
        <v>1306</v>
      </c>
      <c r="E524" s="7" t="s">
        <v>1333</v>
      </c>
      <c r="F524">
        <v>1133</v>
      </c>
      <c r="G524" s="6">
        <v>20706</v>
      </c>
      <c r="H524" s="11" t="s">
        <v>1334</v>
      </c>
      <c r="I524" s="6">
        <v>57</v>
      </c>
      <c r="J524" s="6">
        <v>128</v>
      </c>
      <c r="K524" s="6">
        <v>247</v>
      </c>
      <c r="L524" s="6">
        <v>44</v>
      </c>
      <c r="M524" s="10">
        <f t="shared" si="24"/>
        <v>561.36363636363637</v>
      </c>
      <c r="N524" s="10">
        <f t="shared" si="25"/>
        <v>562</v>
      </c>
      <c r="O524" s="6" t="s">
        <v>79</v>
      </c>
      <c r="P524" s="6">
        <v>7</v>
      </c>
      <c r="Q524" s="6">
        <v>11</v>
      </c>
      <c r="R524" s="6">
        <v>13</v>
      </c>
      <c r="S524" s="6">
        <v>31</v>
      </c>
      <c r="T524" s="6" t="str">
        <f t="shared" si="26"/>
        <v>Sexta</v>
      </c>
    </row>
    <row r="525" spans="1:20">
      <c r="A525" s="7" t="s">
        <v>1306</v>
      </c>
      <c r="B525" s="7" t="s">
        <v>526</v>
      </c>
      <c r="C525" s="8">
        <v>1</v>
      </c>
      <c r="D525" s="7" t="s">
        <v>1335</v>
      </c>
      <c r="E525" s="7" t="s">
        <v>1336</v>
      </c>
      <c r="F525">
        <v>1150</v>
      </c>
      <c r="G525" s="6">
        <v>24729</v>
      </c>
      <c r="H525" s="11" t="s">
        <v>1337</v>
      </c>
      <c r="I525" s="6">
        <v>14</v>
      </c>
      <c r="J525" s="6">
        <v>22</v>
      </c>
      <c r="K525" s="6">
        <v>72</v>
      </c>
      <c r="L525" s="6">
        <v>58</v>
      </c>
      <c r="M525" s="10">
        <f t="shared" si="24"/>
        <v>124.13793103448276</v>
      </c>
      <c r="N525" s="10">
        <f t="shared" si="25"/>
        <v>125</v>
      </c>
      <c r="O525" s="6" t="s">
        <v>171</v>
      </c>
      <c r="P525" s="6">
        <v>1</v>
      </c>
      <c r="Q525" s="6">
        <v>2</v>
      </c>
      <c r="R525" s="6">
        <v>4</v>
      </c>
      <c r="S525" s="6">
        <v>7</v>
      </c>
      <c r="T525" s="6" t="str">
        <f t="shared" si="26"/>
        <v>Sexta</v>
      </c>
    </row>
    <row r="526" spans="1:20">
      <c r="A526" s="7" t="s">
        <v>1306</v>
      </c>
      <c r="B526" s="7" t="s">
        <v>526</v>
      </c>
      <c r="C526" s="8">
        <v>1</v>
      </c>
      <c r="D526" s="7" t="s">
        <v>1335</v>
      </c>
      <c r="E526" s="7" t="s">
        <v>1338</v>
      </c>
      <c r="F526">
        <v>1131</v>
      </c>
      <c r="G526" s="6">
        <v>24730</v>
      </c>
      <c r="H526" s="11" t="s">
        <v>1339</v>
      </c>
      <c r="I526" s="6">
        <v>12</v>
      </c>
      <c r="J526" s="6">
        <v>37</v>
      </c>
      <c r="K526" s="6">
        <v>94</v>
      </c>
      <c r="L526" s="6">
        <v>48</v>
      </c>
      <c r="M526" s="10">
        <f t="shared" si="24"/>
        <v>195.83333333333334</v>
      </c>
      <c r="N526" s="10">
        <f t="shared" si="25"/>
        <v>196</v>
      </c>
      <c r="O526" s="6" t="s">
        <v>171</v>
      </c>
      <c r="P526" s="6">
        <v>3</v>
      </c>
      <c r="Q526" s="6">
        <v>4</v>
      </c>
      <c r="R526" s="6">
        <v>5</v>
      </c>
      <c r="S526" s="6">
        <v>12</v>
      </c>
      <c r="T526" s="6" t="str">
        <f t="shared" si="26"/>
        <v>Sexta</v>
      </c>
    </row>
    <row r="527" spans="1:20">
      <c r="A527" s="7" t="s">
        <v>1306</v>
      </c>
      <c r="B527" s="7" t="s">
        <v>526</v>
      </c>
      <c r="C527" s="8">
        <v>1</v>
      </c>
      <c r="D527" s="7" t="s">
        <v>1335</v>
      </c>
      <c r="E527" s="7" t="s">
        <v>1340</v>
      </c>
      <c r="F527">
        <v>1025</v>
      </c>
      <c r="G527" s="6">
        <v>27736</v>
      </c>
      <c r="H527" s="11" t="s">
        <v>1341</v>
      </c>
      <c r="I527" s="6">
        <v>11</v>
      </c>
      <c r="J527" s="6">
        <v>15</v>
      </c>
      <c r="K527" s="6">
        <v>27</v>
      </c>
      <c r="L527" s="6">
        <v>39</v>
      </c>
      <c r="M527" s="10">
        <f t="shared" si="24"/>
        <v>69.230769230769226</v>
      </c>
      <c r="N527" s="10">
        <f t="shared" si="25"/>
        <v>70</v>
      </c>
      <c r="O527" s="6" t="s">
        <v>90</v>
      </c>
      <c r="P527" s="6">
        <v>0</v>
      </c>
      <c r="Q527" s="6">
        <v>2</v>
      </c>
      <c r="R527" s="6">
        <v>3</v>
      </c>
      <c r="S527" s="6">
        <v>5</v>
      </c>
      <c r="T527" s="6" t="str">
        <f t="shared" si="26"/>
        <v>Septima</v>
      </c>
    </row>
    <row r="528" spans="1:20">
      <c r="A528" s="7" t="s">
        <v>1306</v>
      </c>
      <c r="B528" s="7" t="s">
        <v>526</v>
      </c>
      <c r="C528" s="8">
        <v>1</v>
      </c>
      <c r="D528" s="7" t="s">
        <v>1335</v>
      </c>
      <c r="E528" s="7" t="s">
        <v>1342</v>
      </c>
      <c r="F528">
        <v>974</v>
      </c>
      <c r="G528" s="6">
        <v>29224</v>
      </c>
      <c r="H528" s="11" t="s">
        <v>1343</v>
      </c>
      <c r="I528" s="6">
        <v>11</v>
      </c>
      <c r="J528" s="6">
        <v>4</v>
      </c>
      <c r="K528" s="6">
        <v>6</v>
      </c>
      <c r="L528" s="6">
        <v>38</v>
      </c>
      <c r="M528" s="10">
        <f t="shared" si="24"/>
        <v>15.789473684210526</v>
      </c>
      <c r="N528" s="10">
        <f t="shared" si="25"/>
        <v>16</v>
      </c>
      <c r="O528" s="6" t="s">
        <v>90</v>
      </c>
      <c r="P528" s="6">
        <v>0</v>
      </c>
      <c r="Q528" s="6">
        <v>1</v>
      </c>
      <c r="R528" s="6">
        <v>0</v>
      </c>
      <c r="S528" s="6">
        <v>1</v>
      </c>
      <c r="T528" s="6" t="str">
        <f t="shared" si="26"/>
        <v>Octava</v>
      </c>
    </row>
    <row r="529" spans="1:20">
      <c r="A529" s="7" t="s">
        <v>1306</v>
      </c>
      <c r="B529" s="7" t="s">
        <v>526</v>
      </c>
      <c r="C529" s="8">
        <v>1</v>
      </c>
      <c r="D529" s="7" t="s">
        <v>1335</v>
      </c>
      <c r="E529" s="7" t="s">
        <v>1344</v>
      </c>
      <c r="F529">
        <v>1007</v>
      </c>
      <c r="G529" s="6">
        <v>29090</v>
      </c>
      <c r="H529" s="11" t="s">
        <v>1345</v>
      </c>
      <c r="I529" s="6">
        <v>13</v>
      </c>
      <c r="J529" s="6">
        <v>5</v>
      </c>
      <c r="K529" s="6">
        <v>11</v>
      </c>
      <c r="L529" s="6">
        <v>48</v>
      </c>
      <c r="M529" s="10">
        <f t="shared" si="24"/>
        <v>22.916666666666668</v>
      </c>
      <c r="N529" s="10">
        <f t="shared" si="25"/>
        <v>23</v>
      </c>
      <c r="O529" s="6" t="s">
        <v>90</v>
      </c>
      <c r="P529" s="6">
        <v>0</v>
      </c>
      <c r="Q529" s="6">
        <v>0</v>
      </c>
      <c r="R529" s="6">
        <v>0</v>
      </c>
      <c r="S529" s="6">
        <v>0</v>
      </c>
      <c r="T529" s="6" t="str">
        <f t="shared" si="26"/>
        <v>Septima</v>
      </c>
    </row>
    <row r="530" spans="1:20">
      <c r="A530" s="7" t="s">
        <v>1306</v>
      </c>
      <c r="B530" s="7" t="s">
        <v>526</v>
      </c>
      <c r="C530" s="8">
        <v>1</v>
      </c>
      <c r="D530" s="7" t="s">
        <v>1335</v>
      </c>
      <c r="E530" s="7" t="s">
        <v>1346</v>
      </c>
      <c r="F530">
        <v>1000</v>
      </c>
      <c r="G530" s="6">
        <v>7029</v>
      </c>
      <c r="H530" s="11" t="s">
        <v>1347</v>
      </c>
      <c r="I530" s="6">
        <v>49</v>
      </c>
      <c r="J530" s="6">
        <v>0</v>
      </c>
      <c r="K530" s="6">
        <v>0</v>
      </c>
      <c r="L530" s="6">
        <v>0</v>
      </c>
      <c r="M530" s="10">
        <f t="shared" si="24"/>
        <v>0</v>
      </c>
      <c r="N530" s="10">
        <f t="shared" si="25"/>
        <v>0</v>
      </c>
      <c r="P530" s="6">
        <v>0</v>
      </c>
      <c r="Q530" s="6">
        <v>0</v>
      </c>
      <c r="R530" s="6">
        <v>0</v>
      </c>
      <c r="S530" s="6">
        <v>0</v>
      </c>
      <c r="T530" s="6" t="str">
        <f t="shared" si="26"/>
        <v>Septima</v>
      </c>
    </row>
    <row r="531" spans="1:20">
      <c r="A531" s="7" t="s">
        <v>1306</v>
      </c>
      <c r="B531" s="7" t="s">
        <v>526</v>
      </c>
      <c r="C531" s="8">
        <v>1</v>
      </c>
      <c r="D531" s="7" t="s">
        <v>1335</v>
      </c>
      <c r="E531" s="7" t="s">
        <v>1348</v>
      </c>
      <c r="F531">
        <v>984</v>
      </c>
      <c r="G531" s="6">
        <v>29252</v>
      </c>
      <c r="H531" s="11" t="s">
        <v>1349</v>
      </c>
      <c r="I531" s="6">
        <v>15</v>
      </c>
      <c r="J531" s="6">
        <v>5</v>
      </c>
      <c r="K531" s="6">
        <v>7</v>
      </c>
      <c r="L531" s="6">
        <v>41</v>
      </c>
      <c r="M531" s="10">
        <f t="shared" si="24"/>
        <v>17.073170731707318</v>
      </c>
      <c r="N531" s="10">
        <f t="shared" si="25"/>
        <v>18</v>
      </c>
      <c r="O531" s="6" t="s">
        <v>172</v>
      </c>
      <c r="P531" s="6">
        <v>0</v>
      </c>
      <c r="Q531" s="6">
        <v>0</v>
      </c>
      <c r="R531" s="6">
        <v>1</v>
      </c>
      <c r="S531" s="6">
        <v>1</v>
      </c>
      <c r="T531" s="6" t="str">
        <f t="shared" si="26"/>
        <v>Septima</v>
      </c>
    </row>
    <row r="532" spans="1:20">
      <c r="A532" s="7" t="s">
        <v>1306</v>
      </c>
      <c r="B532" s="7" t="s">
        <v>526</v>
      </c>
      <c r="C532" s="8">
        <v>1</v>
      </c>
      <c r="D532" s="7" t="s">
        <v>1335</v>
      </c>
      <c r="E532" s="7" t="s">
        <v>1350</v>
      </c>
      <c r="F532">
        <v>889</v>
      </c>
      <c r="G532" s="6">
        <v>29593</v>
      </c>
      <c r="H532" s="11" t="s">
        <v>1351</v>
      </c>
      <c r="I532" s="6">
        <v>19</v>
      </c>
      <c r="J532" s="6">
        <v>1</v>
      </c>
      <c r="K532" s="6">
        <v>0</v>
      </c>
      <c r="L532" s="6">
        <v>0</v>
      </c>
      <c r="M532" s="10">
        <f t="shared" si="24"/>
        <v>0</v>
      </c>
      <c r="N532" s="10">
        <f t="shared" si="25"/>
        <v>0</v>
      </c>
      <c r="O532" s="6" t="s">
        <v>172</v>
      </c>
      <c r="P532" s="6">
        <v>0</v>
      </c>
      <c r="Q532" s="6">
        <v>0</v>
      </c>
      <c r="R532" s="6">
        <v>0</v>
      </c>
      <c r="S532" s="6">
        <v>0</v>
      </c>
      <c r="T532" s="6" t="str">
        <f t="shared" si="26"/>
        <v>Octava</v>
      </c>
    </row>
    <row r="533" spans="1:20">
      <c r="A533" s="7" t="s">
        <v>1306</v>
      </c>
      <c r="B533" s="7" t="s">
        <v>526</v>
      </c>
      <c r="C533" s="8">
        <v>2</v>
      </c>
      <c r="D533" s="7" t="s">
        <v>1352</v>
      </c>
      <c r="E533" s="7" t="s">
        <v>1353</v>
      </c>
      <c r="F533">
        <v>1526</v>
      </c>
      <c r="G533" s="6">
        <v>3592</v>
      </c>
      <c r="H533" s="11" t="s">
        <v>1354</v>
      </c>
      <c r="I533" s="6">
        <v>35</v>
      </c>
      <c r="J533" s="6">
        <v>1</v>
      </c>
      <c r="K533" s="6">
        <v>0</v>
      </c>
      <c r="L533" s="6">
        <v>0</v>
      </c>
      <c r="M533" s="10">
        <f t="shared" si="24"/>
        <v>0</v>
      </c>
      <c r="N533" s="10">
        <f t="shared" si="25"/>
        <v>0</v>
      </c>
      <c r="O533" s="6" t="s">
        <v>173</v>
      </c>
      <c r="P533" s="6">
        <v>0</v>
      </c>
      <c r="Q533" s="6">
        <v>0</v>
      </c>
      <c r="R533" s="6">
        <v>0</v>
      </c>
      <c r="S533" s="6">
        <v>0</v>
      </c>
      <c r="T533" s="6" t="str">
        <f t="shared" si="26"/>
        <v>Cuarta</v>
      </c>
    </row>
    <row r="534" spans="1:20">
      <c r="A534" s="7" t="s">
        <v>1306</v>
      </c>
      <c r="B534" s="7" t="s">
        <v>526</v>
      </c>
      <c r="C534" s="8">
        <v>2</v>
      </c>
      <c r="D534" s="7" t="s">
        <v>1352</v>
      </c>
      <c r="E534" s="7" t="s">
        <v>1355</v>
      </c>
      <c r="F534">
        <v>1033</v>
      </c>
      <c r="G534" s="6">
        <v>27731</v>
      </c>
      <c r="H534" s="11" t="s">
        <v>1356</v>
      </c>
      <c r="I534" s="6">
        <v>46</v>
      </c>
      <c r="J534" s="6">
        <v>4</v>
      </c>
      <c r="K534" s="6">
        <v>10</v>
      </c>
      <c r="L534" s="6">
        <v>59</v>
      </c>
      <c r="M534" s="10">
        <f t="shared" si="24"/>
        <v>16.949152542372882</v>
      </c>
      <c r="N534" s="10">
        <f t="shared" si="25"/>
        <v>17</v>
      </c>
      <c r="O534" s="6" t="s">
        <v>90</v>
      </c>
      <c r="P534" s="6">
        <v>0</v>
      </c>
      <c r="Q534" s="6">
        <v>0</v>
      </c>
      <c r="R534" s="6">
        <v>0</v>
      </c>
      <c r="S534" s="6">
        <v>0</v>
      </c>
      <c r="T534" s="6" t="str">
        <f t="shared" si="26"/>
        <v>Septima</v>
      </c>
    </row>
    <row r="535" spans="1:20">
      <c r="A535" s="7" t="s">
        <v>1306</v>
      </c>
      <c r="B535" s="7" t="s">
        <v>526</v>
      </c>
      <c r="C535" s="8">
        <v>2</v>
      </c>
      <c r="D535" s="7" t="s">
        <v>1352</v>
      </c>
      <c r="E535" s="7" t="s">
        <v>1357</v>
      </c>
      <c r="F535">
        <v>1000</v>
      </c>
      <c r="G535" s="6">
        <v>5451</v>
      </c>
      <c r="H535" s="11" t="s">
        <v>1358</v>
      </c>
      <c r="I535" s="6">
        <v>33</v>
      </c>
      <c r="J535" s="6">
        <v>0</v>
      </c>
      <c r="K535" s="6">
        <v>0</v>
      </c>
      <c r="L535" s="6">
        <v>0</v>
      </c>
      <c r="M535" s="10">
        <f t="shared" si="24"/>
        <v>0</v>
      </c>
      <c r="N535" s="10">
        <f t="shared" si="25"/>
        <v>0</v>
      </c>
      <c r="P535" s="6">
        <v>0</v>
      </c>
      <c r="Q535" s="6">
        <v>0</v>
      </c>
      <c r="R535" s="6">
        <v>0</v>
      </c>
      <c r="S535" s="6">
        <v>0</v>
      </c>
      <c r="T535" s="6" t="str">
        <f t="shared" si="26"/>
        <v>Septima</v>
      </c>
    </row>
    <row r="536" spans="1:20">
      <c r="A536" s="7" t="s">
        <v>1306</v>
      </c>
      <c r="B536" s="7" t="s">
        <v>526</v>
      </c>
      <c r="C536" s="8">
        <v>2</v>
      </c>
      <c r="D536" s="7" t="s">
        <v>1352</v>
      </c>
      <c r="E536" s="7" t="s">
        <v>1359</v>
      </c>
      <c r="F536">
        <v>1134</v>
      </c>
      <c r="G536" s="6">
        <v>20942</v>
      </c>
      <c r="H536" s="11" t="s">
        <v>1360</v>
      </c>
      <c r="I536" s="6">
        <v>48</v>
      </c>
      <c r="J536" s="6">
        <v>44</v>
      </c>
      <c r="K536" s="6">
        <v>85</v>
      </c>
      <c r="L536" s="6">
        <v>50</v>
      </c>
      <c r="M536" s="10">
        <f t="shared" si="24"/>
        <v>170</v>
      </c>
      <c r="N536" s="10">
        <f t="shared" si="25"/>
        <v>170</v>
      </c>
      <c r="O536" s="6" t="s">
        <v>121</v>
      </c>
      <c r="P536" s="6">
        <v>3</v>
      </c>
      <c r="Q536" s="6">
        <v>0</v>
      </c>
      <c r="R536" s="6">
        <v>7</v>
      </c>
      <c r="S536" s="6">
        <v>10</v>
      </c>
      <c r="T536" s="6" t="str">
        <f t="shared" si="26"/>
        <v>Sexta</v>
      </c>
    </row>
    <row r="537" spans="1:20">
      <c r="A537" s="7" t="s">
        <v>1306</v>
      </c>
      <c r="B537" s="7" t="s">
        <v>526</v>
      </c>
      <c r="C537" s="8">
        <v>2</v>
      </c>
      <c r="D537" s="7" t="s">
        <v>1352</v>
      </c>
      <c r="E537" s="7" t="s">
        <v>1361</v>
      </c>
      <c r="F537">
        <v>1074</v>
      </c>
      <c r="G537" s="6">
        <v>26909</v>
      </c>
      <c r="H537" s="11" t="s">
        <v>1362</v>
      </c>
      <c r="I537" s="6">
        <v>49</v>
      </c>
      <c r="J537" s="6">
        <v>7</v>
      </c>
      <c r="K537" s="6">
        <v>20</v>
      </c>
      <c r="L537" s="6">
        <v>61</v>
      </c>
      <c r="M537" s="10">
        <f t="shared" si="24"/>
        <v>32.786885245901637</v>
      </c>
      <c r="N537" s="10">
        <f t="shared" si="25"/>
        <v>33</v>
      </c>
      <c r="O537" s="6" t="s">
        <v>90</v>
      </c>
      <c r="P537" s="6">
        <v>0</v>
      </c>
      <c r="Q537" s="6">
        <v>2</v>
      </c>
      <c r="R537" s="6">
        <v>2</v>
      </c>
      <c r="S537" s="6">
        <v>4</v>
      </c>
      <c r="T537" s="6" t="str">
        <f t="shared" si="26"/>
        <v>Septima</v>
      </c>
    </row>
    <row r="538" spans="1:20">
      <c r="A538" s="7" t="s">
        <v>1306</v>
      </c>
      <c r="B538" s="7" t="s">
        <v>526</v>
      </c>
      <c r="C538" s="8">
        <v>2</v>
      </c>
      <c r="D538" s="7" t="s">
        <v>1352</v>
      </c>
      <c r="E538" s="7" t="s">
        <v>1363</v>
      </c>
      <c r="F538">
        <v>991</v>
      </c>
      <c r="G538" s="6">
        <v>28589</v>
      </c>
      <c r="H538" s="11" t="s">
        <v>1364</v>
      </c>
      <c r="I538" s="6">
        <v>63</v>
      </c>
      <c r="J538" s="6">
        <v>3</v>
      </c>
      <c r="K538" s="6">
        <v>8</v>
      </c>
      <c r="L538" s="6">
        <v>47</v>
      </c>
      <c r="M538" s="10">
        <f t="shared" si="24"/>
        <v>17.021276595744681</v>
      </c>
      <c r="N538" s="10">
        <f t="shared" si="25"/>
        <v>18</v>
      </c>
      <c r="O538" s="6" t="s">
        <v>174</v>
      </c>
      <c r="P538" s="6">
        <v>0</v>
      </c>
      <c r="Q538" s="6">
        <v>1</v>
      </c>
      <c r="R538" s="6">
        <v>1</v>
      </c>
      <c r="S538" s="6">
        <v>2</v>
      </c>
      <c r="T538" s="6" t="str">
        <f t="shared" si="26"/>
        <v>Septima</v>
      </c>
    </row>
    <row r="539" spans="1:20">
      <c r="A539" s="7" t="s">
        <v>1306</v>
      </c>
      <c r="B539" s="7" t="s">
        <v>526</v>
      </c>
      <c r="C539" s="8">
        <v>2</v>
      </c>
      <c r="D539" s="7" t="s">
        <v>1352</v>
      </c>
      <c r="E539" s="7" t="s">
        <v>1365</v>
      </c>
      <c r="F539">
        <v>988</v>
      </c>
      <c r="G539" s="6">
        <v>29467</v>
      </c>
      <c r="H539" s="11" t="s">
        <v>1366</v>
      </c>
      <c r="I539" s="6">
        <v>24</v>
      </c>
      <c r="J539" s="6">
        <v>3</v>
      </c>
      <c r="K539" s="6">
        <v>8</v>
      </c>
      <c r="L539" s="6">
        <v>62</v>
      </c>
      <c r="M539" s="10">
        <f t="shared" si="24"/>
        <v>12.903225806451612</v>
      </c>
      <c r="N539" s="10">
        <f t="shared" si="25"/>
        <v>13</v>
      </c>
      <c r="O539" s="6" t="s">
        <v>90</v>
      </c>
      <c r="P539" s="6">
        <v>0</v>
      </c>
      <c r="Q539" s="6">
        <v>0</v>
      </c>
      <c r="R539" s="6">
        <v>1</v>
      </c>
      <c r="S539" s="6">
        <v>1</v>
      </c>
      <c r="T539" s="6" t="str">
        <f t="shared" si="26"/>
        <v>Septima</v>
      </c>
    </row>
    <row r="540" spans="1:20">
      <c r="A540" s="7" t="s">
        <v>1306</v>
      </c>
      <c r="B540" s="7" t="s">
        <v>526</v>
      </c>
      <c r="C540" s="8">
        <v>2</v>
      </c>
      <c r="D540" s="7" t="s">
        <v>1352</v>
      </c>
      <c r="E540" s="7" t="s">
        <v>1367</v>
      </c>
      <c r="F540">
        <v>940</v>
      </c>
      <c r="G540" s="6">
        <v>29257</v>
      </c>
      <c r="H540" s="11" t="s">
        <v>1368</v>
      </c>
      <c r="I540" s="6">
        <v>56</v>
      </c>
      <c r="J540" s="6">
        <v>8</v>
      </c>
      <c r="K540" s="6">
        <v>9</v>
      </c>
      <c r="L540" s="6">
        <v>27</v>
      </c>
      <c r="M540" s="10">
        <f t="shared" si="24"/>
        <v>33.333333333333336</v>
      </c>
      <c r="N540" s="10">
        <f t="shared" si="25"/>
        <v>34</v>
      </c>
      <c r="O540" s="6" t="s">
        <v>26</v>
      </c>
      <c r="P540" s="6">
        <v>0</v>
      </c>
      <c r="Q540" s="6">
        <v>0</v>
      </c>
      <c r="R540" s="6">
        <v>1</v>
      </c>
      <c r="S540" s="6">
        <v>1</v>
      </c>
      <c r="T540" s="6" t="str">
        <f t="shared" si="26"/>
        <v>Octava</v>
      </c>
    </row>
    <row r="541" spans="1:20">
      <c r="A541" s="7" t="s">
        <v>1369</v>
      </c>
      <c r="B541" s="7" t="s">
        <v>451</v>
      </c>
      <c r="C541" s="8">
        <v>1</v>
      </c>
      <c r="D541" s="7" t="s">
        <v>1369</v>
      </c>
      <c r="E541" s="7" t="s">
        <v>1370</v>
      </c>
      <c r="F541">
        <v>2116</v>
      </c>
      <c r="G541" s="6">
        <v>14750</v>
      </c>
      <c r="H541" s="11" t="s">
        <v>1371</v>
      </c>
      <c r="I541" s="6">
        <v>22</v>
      </c>
      <c r="J541" s="6">
        <v>52</v>
      </c>
      <c r="K541" s="6">
        <v>172</v>
      </c>
      <c r="L541" s="6">
        <v>65</v>
      </c>
      <c r="M541" s="10">
        <f t="shared" si="24"/>
        <v>264.61538461538464</v>
      </c>
      <c r="N541" s="10">
        <f t="shared" si="25"/>
        <v>265</v>
      </c>
      <c r="O541" s="6" t="s">
        <v>27</v>
      </c>
      <c r="P541" s="6">
        <v>7</v>
      </c>
      <c r="Q541" s="6">
        <v>9</v>
      </c>
      <c r="R541" s="6">
        <v>10</v>
      </c>
      <c r="S541" s="6">
        <v>26</v>
      </c>
      <c r="T541" s="6" t="str">
        <f t="shared" si="26"/>
        <v>Primera</v>
      </c>
    </row>
    <row r="542" spans="1:20">
      <c r="A542" s="7" t="s">
        <v>1369</v>
      </c>
      <c r="B542" s="7" t="s">
        <v>451</v>
      </c>
      <c r="C542" s="8">
        <v>1</v>
      </c>
      <c r="D542" s="7" t="s">
        <v>1369</v>
      </c>
      <c r="E542" s="7" t="s">
        <v>1372</v>
      </c>
      <c r="F542">
        <v>2005</v>
      </c>
      <c r="G542" s="6">
        <v>7497</v>
      </c>
      <c r="H542" s="11" t="s">
        <v>1373</v>
      </c>
      <c r="I542" s="6">
        <v>32</v>
      </c>
      <c r="J542" s="6">
        <v>140</v>
      </c>
      <c r="K542" s="6">
        <v>434</v>
      </c>
      <c r="L542" s="6">
        <v>59</v>
      </c>
      <c r="M542" s="10">
        <f t="shared" si="24"/>
        <v>735.59322033898309</v>
      </c>
      <c r="N542" s="10">
        <f t="shared" si="25"/>
        <v>736</v>
      </c>
      <c r="O542" s="6" t="s">
        <v>27</v>
      </c>
      <c r="P542" s="6">
        <v>18</v>
      </c>
      <c r="Q542" s="6">
        <v>12</v>
      </c>
      <c r="R542" s="6">
        <v>31</v>
      </c>
      <c r="S542" s="6">
        <v>61</v>
      </c>
      <c r="T542" s="6" t="str">
        <f t="shared" si="26"/>
        <v>Segunda</v>
      </c>
    </row>
    <row r="543" spans="1:20">
      <c r="A543" s="7" t="s">
        <v>1369</v>
      </c>
      <c r="B543" s="7" t="s">
        <v>451</v>
      </c>
      <c r="C543" s="8">
        <v>1</v>
      </c>
      <c r="D543" s="7" t="s">
        <v>1369</v>
      </c>
      <c r="E543" s="7" t="s">
        <v>1374</v>
      </c>
      <c r="F543">
        <v>1882</v>
      </c>
      <c r="G543" s="6">
        <v>14848</v>
      </c>
      <c r="H543" s="11" t="s">
        <v>1375</v>
      </c>
      <c r="I543" s="6">
        <v>19</v>
      </c>
      <c r="J543" s="6">
        <v>30</v>
      </c>
      <c r="K543" s="6">
        <v>64</v>
      </c>
      <c r="L543" s="6">
        <v>52</v>
      </c>
      <c r="M543" s="10">
        <f t="shared" si="24"/>
        <v>123.07692307692308</v>
      </c>
      <c r="N543" s="10">
        <f t="shared" si="25"/>
        <v>124</v>
      </c>
      <c r="O543" s="6" t="s">
        <v>15</v>
      </c>
      <c r="P543" s="6">
        <v>3</v>
      </c>
      <c r="Q543" s="6">
        <v>1</v>
      </c>
      <c r="R543" s="6">
        <v>4</v>
      </c>
      <c r="S543" s="6">
        <v>8</v>
      </c>
      <c r="T543" s="6" t="str">
        <f t="shared" si="26"/>
        <v>Segunda</v>
      </c>
    </row>
    <row r="544" spans="1:20">
      <c r="A544" s="7" t="s">
        <v>1369</v>
      </c>
      <c r="B544" s="7" t="s">
        <v>451</v>
      </c>
      <c r="C544" s="8">
        <v>1</v>
      </c>
      <c r="D544" s="7" t="s">
        <v>1369</v>
      </c>
      <c r="E544" s="7" t="s">
        <v>1376</v>
      </c>
      <c r="F544">
        <v>1128</v>
      </c>
      <c r="G544" s="6">
        <v>24926</v>
      </c>
      <c r="H544" s="11" t="s">
        <v>1377</v>
      </c>
      <c r="I544" s="6">
        <v>26</v>
      </c>
      <c r="J544" s="6">
        <v>6</v>
      </c>
      <c r="K544" s="6">
        <v>21</v>
      </c>
      <c r="L544" s="6">
        <v>66</v>
      </c>
      <c r="M544" s="10">
        <f t="shared" si="24"/>
        <v>31.818181818181817</v>
      </c>
      <c r="N544" s="10">
        <f t="shared" si="25"/>
        <v>32</v>
      </c>
      <c r="O544" s="6" t="s">
        <v>175</v>
      </c>
      <c r="P544" s="6">
        <v>2</v>
      </c>
      <c r="Q544" s="6">
        <v>0</v>
      </c>
      <c r="R544" s="6">
        <v>0</v>
      </c>
      <c r="S544" s="6">
        <v>2</v>
      </c>
      <c r="T544" s="6" t="str">
        <f t="shared" si="26"/>
        <v>Sexta</v>
      </c>
    </row>
    <row r="545" spans="1:20">
      <c r="A545" s="7" t="s">
        <v>1369</v>
      </c>
      <c r="B545" s="7" t="s">
        <v>451</v>
      </c>
      <c r="C545" s="8">
        <v>1</v>
      </c>
      <c r="D545" s="7" t="s">
        <v>1369</v>
      </c>
      <c r="E545" s="7" t="s">
        <v>1378</v>
      </c>
      <c r="F545">
        <v>1591</v>
      </c>
      <c r="G545" s="6">
        <v>20761</v>
      </c>
      <c r="H545" s="11" t="s">
        <v>1379</v>
      </c>
      <c r="I545" s="6">
        <v>19</v>
      </c>
      <c r="J545" s="6">
        <v>77</v>
      </c>
      <c r="K545" s="6">
        <v>204</v>
      </c>
      <c r="L545" s="6">
        <v>56</v>
      </c>
      <c r="M545" s="10">
        <f t="shared" si="24"/>
        <v>364.28571428571428</v>
      </c>
      <c r="N545" s="10">
        <f t="shared" si="25"/>
        <v>365</v>
      </c>
      <c r="O545" s="6" t="s">
        <v>20</v>
      </c>
      <c r="P545" s="6">
        <v>8</v>
      </c>
      <c r="Q545" s="6">
        <v>6</v>
      </c>
      <c r="R545" s="6">
        <v>20</v>
      </c>
      <c r="S545" s="6">
        <v>34</v>
      </c>
      <c r="T545" s="6" t="str">
        <f t="shared" si="26"/>
        <v>Cuarta</v>
      </c>
    </row>
    <row r="546" spans="1:20">
      <c r="A546" s="7" t="s">
        <v>1369</v>
      </c>
      <c r="B546" s="7" t="s">
        <v>507</v>
      </c>
      <c r="C546" s="8">
        <v>1</v>
      </c>
      <c r="D546" s="7" t="s">
        <v>1369</v>
      </c>
      <c r="E546" s="7" t="s">
        <v>1380</v>
      </c>
      <c r="F546">
        <v>1329</v>
      </c>
      <c r="G546" s="6">
        <v>18001</v>
      </c>
      <c r="H546" s="11" t="s">
        <v>1381</v>
      </c>
      <c r="I546" s="6">
        <v>19</v>
      </c>
      <c r="J546" s="6">
        <v>46</v>
      </c>
      <c r="K546" s="6">
        <v>85</v>
      </c>
      <c r="L546" s="6">
        <v>42</v>
      </c>
      <c r="M546" s="10">
        <f t="shared" si="24"/>
        <v>202.38095238095238</v>
      </c>
      <c r="N546" s="10">
        <f t="shared" si="25"/>
        <v>203</v>
      </c>
      <c r="O546" s="6" t="s">
        <v>27</v>
      </c>
      <c r="P546" s="6">
        <v>1</v>
      </c>
      <c r="Q546" s="6">
        <v>2</v>
      </c>
      <c r="R546" s="6">
        <v>3</v>
      </c>
      <c r="S546" s="6">
        <v>6</v>
      </c>
      <c r="T546" s="6" t="str">
        <f t="shared" si="26"/>
        <v>Quinta</v>
      </c>
    </row>
    <row r="547" spans="1:20">
      <c r="A547" s="7" t="s">
        <v>1369</v>
      </c>
      <c r="B547" s="7" t="s">
        <v>507</v>
      </c>
      <c r="C547" s="8">
        <v>1</v>
      </c>
      <c r="D547" s="7" t="s">
        <v>1369</v>
      </c>
      <c r="E547" s="7" t="s">
        <v>1382</v>
      </c>
      <c r="F547">
        <v>1399</v>
      </c>
      <c r="G547" s="6">
        <v>22253</v>
      </c>
      <c r="H547" s="11" t="s">
        <v>1383</v>
      </c>
      <c r="I547" s="6">
        <v>26</v>
      </c>
      <c r="J547" s="6">
        <v>77</v>
      </c>
      <c r="K547" s="6">
        <v>167</v>
      </c>
      <c r="L547" s="6">
        <v>49</v>
      </c>
      <c r="M547" s="10">
        <f t="shared" si="24"/>
        <v>340.81632653061223</v>
      </c>
      <c r="N547" s="10">
        <f t="shared" si="25"/>
        <v>341</v>
      </c>
      <c r="O547" s="6" t="s">
        <v>26</v>
      </c>
      <c r="P547" s="6">
        <v>9</v>
      </c>
      <c r="Q547" s="6">
        <v>10</v>
      </c>
      <c r="R547" s="6">
        <v>9</v>
      </c>
      <c r="S547" s="6">
        <v>28</v>
      </c>
      <c r="T547" s="6" t="str">
        <f t="shared" si="26"/>
        <v>Quinta</v>
      </c>
    </row>
    <row r="548" spans="1:20">
      <c r="A548" s="7" t="s">
        <v>1369</v>
      </c>
      <c r="B548" s="7" t="s">
        <v>507</v>
      </c>
      <c r="C548" s="8">
        <v>1</v>
      </c>
      <c r="D548" s="7" t="s">
        <v>1369</v>
      </c>
      <c r="E548" s="7" t="s">
        <v>1384</v>
      </c>
      <c r="F548">
        <v>1328</v>
      </c>
      <c r="G548" s="6">
        <v>28680</v>
      </c>
      <c r="H548" s="11" t="s">
        <v>1385</v>
      </c>
      <c r="I548" s="6">
        <v>15</v>
      </c>
      <c r="J548" s="6">
        <v>6</v>
      </c>
      <c r="K548" s="6">
        <v>27</v>
      </c>
      <c r="L548" s="6">
        <v>79</v>
      </c>
      <c r="M548" s="10">
        <f t="shared" si="24"/>
        <v>34.177215189873415</v>
      </c>
      <c r="N548" s="10">
        <f t="shared" si="25"/>
        <v>35</v>
      </c>
      <c r="O548" s="6" t="s">
        <v>26</v>
      </c>
      <c r="P548" s="6">
        <v>3</v>
      </c>
      <c r="Q548" s="6">
        <v>0</v>
      </c>
      <c r="R548" s="6">
        <v>1</v>
      </c>
      <c r="S548" s="6">
        <v>4</v>
      </c>
      <c r="T548" s="6" t="str">
        <f t="shared" si="26"/>
        <v>Quinta</v>
      </c>
    </row>
    <row r="549" spans="1:20">
      <c r="A549" s="7" t="s">
        <v>1369</v>
      </c>
      <c r="B549" s="7" t="s">
        <v>507</v>
      </c>
      <c r="C549" s="8">
        <v>1</v>
      </c>
      <c r="D549" s="7" t="s">
        <v>1369</v>
      </c>
      <c r="E549" s="7" t="s">
        <v>1386</v>
      </c>
      <c r="F549">
        <v>1151</v>
      </c>
      <c r="G549" s="6">
        <v>15633</v>
      </c>
      <c r="H549" s="11" t="s">
        <v>1387</v>
      </c>
      <c r="I549" s="6">
        <v>55</v>
      </c>
      <c r="J549" s="6">
        <v>184</v>
      </c>
      <c r="K549" s="6">
        <v>350</v>
      </c>
      <c r="L549" s="6">
        <v>36</v>
      </c>
      <c r="M549" s="10">
        <f t="shared" si="24"/>
        <v>972.22222222222217</v>
      </c>
      <c r="N549" s="10">
        <f t="shared" si="25"/>
        <v>973</v>
      </c>
      <c r="O549" s="6" t="s">
        <v>27</v>
      </c>
      <c r="P549" s="6">
        <v>5</v>
      </c>
      <c r="Q549" s="6">
        <v>7</v>
      </c>
      <c r="R549" s="6">
        <v>29</v>
      </c>
      <c r="S549" s="6">
        <v>41</v>
      </c>
      <c r="T549" s="6" t="str">
        <f t="shared" si="26"/>
        <v>Sexta</v>
      </c>
    </row>
    <row r="550" spans="1:20">
      <c r="A550" s="7" t="s">
        <v>1369</v>
      </c>
      <c r="B550" s="7" t="s">
        <v>507</v>
      </c>
      <c r="C550" s="8">
        <v>1</v>
      </c>
      <c r="D550" s="7" t="s">
        <v>1369</v>
      </c>
      <c r="E550" s="7" t="s">
        <v>1388</v>
      </c>
      <c r="F550">
        <v>1371</v>
      </c>
      <c r="G550" s="6">
        <v>2160</v>
      </c>
      <c r="H550" s="11" t="s">
        <v>1389</v>
      </c>
      <c r="I550" s="6">
        <v>58</v>
      </c>
      <c r="J550" s="6">
        <v>1</v>
      </c>
      <c r="K550" s="6">
        <v>0</v>
      </c>
      <c r="L550" s="6">
        <v>0</v>
      </c>
      <c r="M550" s="10">
        <f t="shared" si="24"/>
        <v>0</v>
      </c>
      <c r="N550" s="10">
        <f t="shared" si="25"/>
        <v>0</v>
      </c>
      <c r="O550" s="6" t="s">
        <v>176</v>
      </c>
      <c r="P550" s="6">
        <v>0</v>
      </c>
      <c r="Q550" s="6">
        <v>0</v>
      </c>
      <c r="R550" s="6">
        <v>0</v>
      </c>
      <c r="S550" s="6">
        <v>0</v>
      </c>
      <c r="T550" s="6" t="str">
        <f t="shared" si="26"/>
        <v>Quinta</v>
      </c>
    </row>
    <row r="551" spans="1:20">
      <c r="A551" s="7" t="s">
        <v>1369</v>
      </c>
      <c r="B551" s="7" t="s">
        <v>507</v>
      </c>
      <c r="C551" s="8">
        <v>1</v>
      </c>
      <c r="D551" s="7" t="s">
        <v>1369</v>
      </c>
      <c r="E551" s="7" t="s">
        <v>1390</v>
      </c>
      <c r="F551">
        <v>0</v>
      </c>
      <c r="G551" s="6">
        <v>28702</v>
      </c>
      <c r="H551" s="11" t="s">
        <v>1391</v>
      </c>
      <c r="I551" s="6">
        <v>53</v>
      </c>
      <c r="M551" s="10">
        <f t="shared" si="24"/>
        <v>0</v>
      </c>
      <c r="N551" s="10">
        <f t="shared" si="25"/>
        <v>0</v>
      </c>
      <c r="P551" s="6">
        <v>0</v>
      </c>
      <c r="Q551" s="6">
        <v>0</v>
      </c>
      <c r="R551" s="6">
        <v>0</v>
      </c>
      <c r="S551" s="6">
        <v>0</v>
      </c>
      <c r="T551" s="6" t="str">
        <f t="shared" si="26"/>
        <v>Octava</v>
      </c>
    </row>
    <row r="552" spans="1:20">
      <c r="A552" s="7" t="s">
        <v>1369</v>
      </c>
      <c r="B552" s="7" t="s">
        <v>507</v>
      </c>
      <c r="C552" s="8">
        <v>1</v>
      </c>
      <c r="D552" s="7" t="s">
        <v>1369</v>
      </c>
      <c r="E552" s="7" t="s">
        <v>1392</v>
      </c>
      <c r="F552">
        <v>1153</v>
      </c>
      <c r="G552" s="6">
        <v>22484</v>
      </c>
      <c r="H552" s="11" t="s">
        <v>1393</v>
      </c>
      <c r="I552" s="6">
        <v>21</v>
      </c>
      <c r="J552" s="6">
        <v>25</v>
      </c>
      <c r="K552" s="6">
        <v>42</v>
      </c>
      <c r="L552" s="6">
        <v>38</v>
      </c>
      <c r="M552" s="10">
        <f t="shared" si="24"/>
        <v>110.52631578947368</v>
      </c>
      <c r="N552" s="10">
        <f t="shared" si="25"/>
        <v>111</v>
      </c>
      <c r="O552" s="6" t="s">
        <v>19</v>
      </c>
      <c r="P552" s="6">
        <v>2</v>
      </c>
      <c r="Q552" s="6">
        <v>2</v>
      </c>
      <c r="R552" s="6">
        <v>2</v>
      </c>
      <c r="S552" s="6">
        <v>6</v>
      </c>
      <c r="T552" s="6" t="str">
        <f t="shared" si="26"/>
        <v>Sexta</v>
      </c>
    </row>
    <row r="553" spans="1:20">
      <c r="A553" s="7" t="s">
        <v>1394</v>
      </c>
      <c r="B553" s="7" t="s">
        <v>507</v>
      </c>
      <c r="C553" s="8">
        <v>1</v>
      </c>
      <c r="D553" s="7" t="s">
        <v>1395</v>
      </c>
      <c r="E553" s="7" t="s">
        <v>1396</v>
      </c>
      <c r="F553">
        <v>1330</v>
      </c>
      <c r="G553" s="6">
        <v>13009</v>
      </c>
      <c r="H553" s="11" t="s">
        <v>1397</v>
      </c>
      <c r="I553" s="6">
        <v>48</v>
      </c>
      <c r="J553" s="6">
        <v>140</v>
      </c>
      <c r="K553" s="6">
        <v>255</v>
      </c>
      <c r="L553" s="6">
        <v>43</v>
      </c>
      <c r="M553" s="10">
        <f t="shared" si="24"/>
        <v>593.02325581395348</v>
      </c>
      <c r="N553" s="10">
        <f t="shared" si="25"/>
        <v>594</v>
      </c>
      <c r="O553" s="6" t="s">
        <v>37</v>
      </c>
      <c r="P553" s="6">
        <v>4</v>
      </c>
      <c r="Q553" s="6">
        <v>11</v>
      </c>
      <c r="R553" s="6">
        <v>12</v>
      </c>
      <c r="S553" s="6">
        <v>27</v>
      </c>
      <c r="T553" s="6" t="str">
        <f t="shared" si="26"/>
        <v>Quinta</v>
      </c>
    </row>
    <row r="554" spans="1:20">
      <c r="A554" s="7" t="s">
        <v>1394</v>
      </c>
      <c r="B554" s="7" t="s">
        <v>507</v>
      </c>
      <c r="C554" s="8">
        <v>1</v>
      </c>
      <c r="D554" s="7" t="s">
        <v>1395</v>
      </c>
      <c r="E554" s="7" t="s">
        <v>1398</v>
      </c>
      <c r="F554">
        <v>1000</v>
      </c>
      <c r="G554" s="6">
        <v>5439</v>
      </c>
      <c r="H554" s="11" t="s">
        <v>1399</v>
      </c>
      <c r="I554" s="6">
        <v>37</v>
      </c>
      <c r="J554" s="6">
        <v>0</v>
      </c>
      <c r="K554" s="6">
        <v>0</v>
      </c>
      <c r="L554" s="6">
        <v>0</v>
      </c>
      <c r="M554" s="10">
        <f t="shared" si="24"/>
        <v>0</v>
      </c>
      <c r="N554" s="10">
        <f t="shared" si="25"/>
        <v>0</v>
      </c>
      <c r="P554" s="6">
        <v>0</v>
      </c>
      <c r="Q554" s="6">
        <v>0</v>
      </c>
      <c r="R554" s="6">
        <v>0</v>
      </c>
      <c r="S554" s="6">
        <v>0</v>
      </c>
      <c r="T554" s="6" t="str">
        <f t="shared" si="26"/>
        <v>Septima</v>
      </c>
    </row>
    <row r="555" spans="1:20">
      <c r="A555" s="7" t="s">
        <v>1394</v>
      </c>
      <c r="B555" s="7" t="s">
        <v>507</v>
      </c>
      <c r="C555" s="8">
        <v>1</v>
      </c>
      <c r="D555" s="7" t="s">
        <v>1395</v>
      </c>
      <c r="E555" s="7" t="s">
        <v>1400</v>
      </c>
      <c r="F555">
        <v>1169</v>
      </c>
      <c r="G555" s="6">
        <v>28837</v>
      </c>
      <c r="H555" s="11" t="s">
        <v>1401</v>
      </c>
      <c r="I555" s="6">
        <v>14</v>
      </c>
      <c r="J555" s="6">
        <v>16</v>
      </c>
      <c r="K555" s="6">
        <v>36</v>
      </c>
      <c r="L555" s="6">
        <v>49</v>
      </c>
      <c r="M555" s="10">
        <f t="shared" si="24"/>
        <v>73.469387755102048</v>
      </c>
      <c r="N555" s="10">
        <f t="shared" si="25"/>
        <v>74</v>
      </c>
      <c r="O555" s="6" t="s">
        <v>19</v>
      </c>
      <c r="P555" s="6">
        <v>0</v>
      </c>
      <c r="Q555" s="6">
        <v>1</v>
      </c>
      <c r="R555" s="6">
        <v>3</v>
      </c>
      <c r="S555" s="6">
        <v>4</v>
      </c>
      <c r="T555" s="6" t="str">
        <f t="shared" si="26"/>
        <v>Sexta</v>
      </c>
    </row>
    <row r="556" spans="1:20">
      <c r="A556" s="7" t="s">
        <v>1394</v>
      </c>
      <c r="B556" s="7" t="s">
        <v>507</v>
      </c>
      <c r="C556" s="8">
        <v>1</v>
      </c>
      <c r="D556" s="7" t="s">
        <v>1395</v>
      </c>
      <c r="E556" s="7" t="s">
        <v>1402</v>
      </c>
      <c r="F556">
        <v>1000</v>
      </c>
      <c r="G556" s="6">
        <v>11675</v>
      </c>
      <c r="H556" s="11" t="s">
        <v>1403</v>
      </c>
      <c r="I556" s="6">
        <v>31</v>
      </c>
      <c r="J556" s="6">
        <v>0</v>
      </c>
      <c r="K556" s="6">
        <v>0</v>
      </c>
      <c r="L556" s="6">
        <v>0</v>
      </c>
      <c r="M556" s="10">
        <f t="shared" si="24"/>
        <v>0</v>
      </c>
      <c r="N556" s="10">
        <f t="shared" si="25"/>
        <v>0</v>
      </c>
      <c r="P556" s="6">
        <v>0</v>
      </c>
      <c r="Q556" s="6">
        <v>0</v>
      </c>
      <c r="R556" s="6">
        <v>0</v>
      </c>
      <c r="S556" s="6">
        <v>0</v>
      </c>
      <c r="T556" s="6" t="str">
        <f t="shared" si="26"/>
        <v>Septima</v>
      </c>
    </row>
    <row r="557" spans="1:20">
      <c r="A557" s="7" t="s">
        <v>1394</v>
      </c>
      <c r="B557" s="7" t="s">
        <v>507</v>
      </c>
      <c r="C557" s="8">
        <v>1</v>
      </c>
      <c r="D557" s="7" t="s">
        <v>1395</v>
      </c>
      <c r="E557" s="7" t="s">
        <v>1404</v>
      </c>
      <c r="F557">
        <v>1262</v>
      </c>
      <c r="G557" s="6">
        <v>21355</v>
      </c>
      <c r="H557" s="11" t="s">
        <v>1405</v>
      </c>
      <c r="I557" s="6">
        <v>36</v>
      </c>
      <c r="J557" s="6">
        <v>16</v>
      </c>
      <c r="K557" s="6">
        <v>40</v>
      </c>
      <c r="L557" s="6">
        <v>57</v>
      </c>
      <c r="M557" s="10">
        <f t="shared" si="24"/>
        <v>70.175438596491233</v>
      </c>
      <c r="N557" s="10">
        <f t="shared" si="25"/>
        <v>71</v>
      </c>
      <c r="O557" s="6" t="s">
        <v>177</v>
      </c>
      <c r="P557" s="6">
        <v>0</v>
      </c>
      <c r="Q557" s="6">
        <v>0</v>
      </c>
      <c r="R557" s="6">
        <v>2</v>
      </c>
      <c r="S557" s="6">
        <v>2</v>
      </c>
      <c r="T557" s="6" t="str">
        <f t="shared" si="26"/>
        <v>Quinta</v>
      </c>
    </row>
    <row r="558" spans="1:20">
      <c r="A558" s="7" t="s">
        <v>1394</v>
      </c>
      <c r="B558" s="7" t="s">
        <v>507</v>
      </c>
      <c r="C558" s="8">
        <v>1</v>
      </c>
      <c r="D558" s="7" t="s">
        <v>1395</v>
      </c>
      <c r="E558" s="7" t="s">
        <v>1406</v>
      </c>
      <c r="F558">
        <v>1371</v>
      </c>
      <c r="G558" s="6">
        <v>3410</v>
      </c>
      <c r="H558" s="11" t="s">
        <v>1407</v>
      </c>
      <c r="I558" s="6">
        <v>43</v>
      </c>
      <c r="J558" s="6">
        <v>23</v>
      </c>
      <c r="K558" s="6">
        <v>72</v>
      </c>
      <c r="L558" s="6">
        <v>64</v>
      </c>
      <c r="M558" s="10">
        <f t="shared" si="24"/>
        <v>112.5</v>
      </c>
      <c r="N558" s="10">
        <f t="shared" si="25"/>
        <v>113</v>
      </c>
      <c r="O558" s="6" t="s">
        <v>178</v>
      </c>
      <c r="P558" s="6">
        <v>4</v>
      </c>
      <c r="Q558" s="6">
        <v>4</v>
      </c>
      <c r="R558" s="6">
        <v>4</v>
      </c>
      <c r="S558" s="6">
        <v>12</v>
      </c>
      <c r="T558" s="6" t="str">
        <f t="shared" si="26"/>
        <v>Quinta</v>
      </c>
    </row>
    <row r="559" spans="1:20">
      <c r="A559" s="7" t="s">
        <v>1394</v>
      </c>
      <c r="B559" s="7" t="s">
        <v>507</v>
      </c>
      <c r="C559" s="8">
        <v>1</v>
      </c>
      <c r="D559" s="7" t="s">
        <v>1395</v>
      </c>
      <c r="E559" s="7" t="s">
        <v>1408</v>
      </c>
      <c r="F559">
        <v>1398</v>
      </c>
      <c r="G559" s="6">
        <v>13166</v>
      </c>
      <c r="H559" s="11" t="s">
        <v>1409</v>
      </c>
      <c r="I559" s="6">
        <v>52</v>
      </c>
      <c r="J559" s="6">
        <v>18</v>
      </c>
      <c r="K559" s="6">
        <v>44</v>
      </c>
      <c r="L559" s="6">
        <v>52</v>
      </c>
      <c r="M559" s="10">
        <f t="shared" si="24"/>
        <v>84.615384615384613</v>
      </c>
      <c r="N559" s="10">
        <f t="shared" si="25"/>
        <v>85</v>
      </c>
      <c r="O559" s="6" t="s">
        <v>179</v>
      </c>
      <c r="P559" s="6">
        <v>2</v>
      </c>
      <c r="Q559" s="6">
        <v>2</v>
      </c>
      <c r="R559" s="6">
        <v>1</v>
      </c>
      <c r="S559" s="6">
        <v>5</v>
      </c>
      <c r="T559" s="6" t="str">
        <f t="shared" si="26"/>
        <v>Quinta</v>
      </c>
    </row>
    <row r="560" spans="1:20">
      <c r="A560" s="7" t="s">
        <v>1394</v>
      </c>
      <c r="B560" s="7" t="s">
        <v>507</v>
      </c>
      <c r="C560" s="8">
        <v>1</v>
      </c>
      <c r="D560" s="7" t="s">
        <v>1395</v>
      </c>
      <c r="E560" s="7" t="s">
        <v>1410</v>
      </c>
      <c r="F560">
        <v>1460</v>
      </c>
      <c r="G560" s="6">
        <v>7491</v>
      </c>
      <c r="H560" s="11" t="s">
        <v>1411</v>
      </c>
      <c r="I560" s="6">
        <v>58</v>
      </c>
      <c r="J560" s="6">
        <v>1</v>
      </c>
      <c r="K560" s="6">
        <v>0</v>
      </c>
      <c r="L560" s="6">
        <v>0</v>
      </c>
      <c r="M560" s="10">
        <f t="shared" si="24"/>
        <v>0</v>
      </c>
      <c r="N560" s="10">
        <f t="shared" si="25"/>
        <v>0</v>
      </c>
      <c r="O560" s="6" t="s">
        <v>180</v>
      </c>
      <c r="P560" s="6">
        <v>0</v>
      </c>
      <c r="Q560" s="6">
        <v>0</v>
      </c>
      <c r="R560" s="6">
        <v>0</v>
      </c>
      <c r="S560" s="6">
        <v>0</v>
      </c>
      <c r="T560" s="6" t="str">
        <f t="shared" si="26"/>
        <v>Cuarta</v>
      </c>
    </row>
    <row r="561" spans="1:20">
      <c r="A561" s="7" t="s">
        <v>1394</v>
      </c>
      <c r="B561" s="7" t="s">
        <v>507</v>
      </c>
      <c r="C561" s="8">
        <v>2</v>
      </c>
      <c r="D561" s="7" t="s">
        <v>1412</v>
      </c>
      <c r="E561" s="7" t="s">
        <v>1413</v>
      </c>
      <c r="F561">
        <v>1286</v>
      </c>
      <c r="G561" s="6">
        <v>24666</v>
      </c>
      <c r="H561" s="11" t="s">
        <v>1414</v>
      </c>
      <c r="I561" s="6">
        <v>35</v>
      </c>
      <c r="J561" s="6">
        <v>50</v>
      </c>
      <c r="K561" s="6">
        <v>115</v>
      </c>
      <c r="L561" s="6">
        <v>47</v>
      </c>
      <c r="M561" s="10">
        <f t="shared" si="24"/>
        <v>244.68085106382978</v>
      </c>
      <c r="N561" s="10">
        <f t="shared" si="25"/>
        <v>245</v>
      </c>
      <c r="O561" s="6" t="s">
        <v>19</v>
      </c>
      <c r="P561" s="6">
        <v>1</v>
      </c>
      <c r="Q561" s="6">
        <v>4</v>
      </c>
      <c r="R561" s="6">
        <v>10</v>
      </c>
      <c r="S561" s="6">
        <v>15</v>
      </c>
      <c r="T561" s="6" t="str">
        <f t="shared" si="26"/>
        <v>Quinta</v>
      </c>
    </row>
    <row r="562" spans="1:20">
      <c r="A562" s="7" t="s">
        <v>1394</v>
      </c>
      <c r="B562" s="7" t="s">
        <v>507</v>
      </c>
      <c r="C562" s="8">
        <v>2</v>
      </c>
      <c r="D562" s="7" t="s">
        <v>1412</v>
      </c>
      <c r="E562" s="7" t="s">
        <v>1415</v>
      </c>
      <c r="F562">
        <v>1100</v>
      </c>
      <c r="G562" s="6">
        <v>18418</v>
      </c>
      <c r="H562" s="11" t="s">
        <v>1416</v>
      </c>
      <c r="I562" s="6">
        <v>23</v>
      </c>
      <c r="J562" s="6">
        <v>1</v>
      </c>
      <c r="K562" s="6">
        <v>0</v>
      </c>
      <c r="L562" s="6">
        <v>0</v>
      </c>
      <c r="M562" s="10">
        <f t="shared" si="24"/>
        <v>0</v>
      </c>
      <c r="N562" s="10">
        <f t="shared" si="25"/>
        <v>0</v>
      </c>
      <c r="O562" s="6" t="s">
        <v>181</v>
      </c>
      <c r="P562" s="6">
        <v>0</v>
      </c>
      <c r="Q562" s="6">
        <v>0</v>
      </c>
      <c r="R562" s="6">
        <v>0</v>
      </c>
      <c r="S562" s="6">
        <v>0</v>
      </c>
      <c r="T562" s="6" t="str">
        <f t="shared" si="26"/>
        <v>Sexta</v>
      </c>
    </row>
    <row r="563" spans="1:20">
      <c r="A563" s="7" t="s">
        <v>1394</v>
      </c>
      <c r="B563" s="7" t="s">
        <v>507</v>
      </c>
      <c r="C563" s="8">
        <v>2</v>
      </c>
      <c r="D563" s="7" t="s">
        <v>1412</v>
      </c>
      <c r="E563" s="7" t="s">
        <v>1417</v>
      </c>
      <c r="F563">
        <v>1307</v>
      </c>
      <c r="G563" s="6">
        <v>21049</v>
      </c>
      <c r="H563" s="11" t="s">
        <v>1418</v>
      </c>
      <c r="I563" s="6">
        <v>23</v>
      </c>
      <c r="J563" s="6">
        <v>9</v>
      </c>
      <c r="K563" s="6">
        <v>48</v>
      </c>
      <c r="L563" s="6">
        <v>87</v>
      </c>
      <c r="M563" s="10">
        <f t="shared" si="24"/>
        <v>55.172413793103445</v>
      </c>
      <c r="N563" s="10">
        <f t="shared" si="25"/>
        <v>56</v>
      </c>
      <c r="O563" s="6" t="s">
        <v>177</v>
      </c>
      <c r="P563" s="6">
        <v>4</v>
      </c>
      <c r="Q563" s="6">
        <v>0</v>
      </c>
      <c r="R563" s="6">
        <v>2</v>
      </c>
      <c r="S563" s="6">
        <v>6</v>
      </c>
      <c r="T563" s="6" t="str">
        <f t="shared" si="26"/>
        <v>Quinta</v>
      </c>
    </row>
    <row r="564" spans="1:20">
      <c r="A564" s="7" t="s">
        <v>1394</v>
      </c>
      <c r="B564" s="7" t="s">
        <v>507</v>
      </c>
      <c r="C564" s="8">
        <v>2</v>
      </c>
      <c r="D564" s="7" t="s">
        <v>1412</v>
      </c>
      <c r="E564" s="7" t="s">
        <v>1419</v>
      </c>
      <c r="F564">
        <v>1219</v>
      </c>
      <c r="G564" s="6">
        <v>27271</v>
      </c>
      <c r="H564" s="11" t="s">
        <v>1420</v>
      </c>
      <c r="I564" s="6">
        <v>13</v>
      </c>
      <c r="J564" s="6">
        <v>12</v>
      </c>
      <c r="K564" s="6">
        <v>31</v>
      </c>
      <c r="L564" s="6">
        <v>63</v>
      </c>
      <c r="M564" s="10">
        <f t="shared" si="24"/>
        <v>49.206349206349209</v>
      </c>
      <c r="N564" s="10">
        <f t="shared" si="25"/>
        <v>50</v>
      </c>
      <c r="O564" s="6" t="s">
        <v>177</v>
      </c>
      <c r="P564" s="6">
        <v>1</v>
      </c>
      <c r="Q564" s="6">
        <v>0</v>
      </c>
      <c r="R564" s="6">
        <v>1</v>
      </c>
      <c r="S564" s="6">
        <v>2</v>
      </c>
      <c r="T564" s="6" t="str">
        <f t="shared" si="26"/>
        <v>Quinta</v>
      </c>
    </row>
    <row r="565" spans="1:20">
      <c r="A565" s="7" t="s">
        <v>1394</v>
      </c>
      <c r="B565" s="7" t="s">
        <v>507</v>
      </c>
      <c r="C565" s="8">
        <v>2</v>
      </c>
      <c r="D565" s="7" t="s">
        <v>1412</v>
      </c>
      <c r="E565" s="7" t="s">
        <v>1421</v>
      </c>
      <c r="F565">
        <v>1256</v>
      </c>
      <c r="G565" s="6">
        <v>20581</v>
      </c>
      <c r="H565" s="11" t="s">
        <v>1422</v>
      </c>
      <c r="I565" s="6">
        <v>19</v>
      </c>
      <c r="J565" s="6">
        <v>10</v>
      </c>
      <c r="K565" s="6">
        <v>37</v>
      </c>
      <c r="L565" s="6">
        <v>77</v>
      </c>
      <c r="M565" s="10">
        <f t="shared" si="24"/>
        <v>48.051948051948052</v>
      </c>
      <c r="N565" s="10">
        <f t="shared" si="25"/>
        <v>49</v>
      </c>
      <c r="O565" s="6" t="s">
        <v>177</v>
      </c>
      <c r="P565" s="6">
        <v>3</v>
      </c>
      <c r="Q565" s="6">
        <v>1</v>
      </c>
      <c r="R565" s="6">
        <v>0</v>
      </c>
      <c r="S565" s="6">
        <v>4</v>
      </c>
      <c r="T565" s="6" t="str">
        <f t="shared" si="26"/>
        <v>Quinta</v>
      </c>
    </row>
    <row r="566" spans="1:20">
      <c r="A566" s="7" t="s">
        <v>1394</v>
      </c>
      <c r="B566" s="7" t="s">
        <v>507</v>
      </c>
      <c r="C566" s="8">
        <v>2</v>
      </c>
      <c r="D566" s="7" t="s">
        <v>1412</v>
      </c>
      <c r="E566" s="7" t="s">
        <v>1423</v>
      </c>
      <c r="F566">
        <v>1215</v>
      </c>
      <c r="G566" s="6">
        <v>21416</v>
      </c>
      <c r="H566" s="11" t="s">
        <v>1424</v>
      </c>
      <c r="I566" s="6">
        <v>52</v>
      </c>
      <c r="J566" s="6">
        <v>21</v>
      </c>
      <c r="K566" s="6">
        <v>48</v>
      </c>
      <c r="L566" s="6">
        <v>51</v>
      </c>
      <c r="M566" s="10">
        <f t="shared" si="24"/>
        <v>94.117647058823536</v>
      </c>
      <c r="N566" s="10">
        <f t="shared" si="25"/>
        <v>95</v>
      </c>
      <c r="O566" s="6" t="s">
        <v>182</v>
      </c>
      <c r="P566" s="6">
        <v>1</v>
      </c>
      <c r="Q566" s="6">
        <v>0</v>
      </c>
      <c r="R566" s="6">
        <v>5</v>
      </c>
      <c r="S566" s="6">
        <v>6</v>
      </c>
      <c r="T566" s="6" t="str">
        <f t="shared" si="26"/>
        <v>Quinta</v>
      </c>
    </row>
    <row r="567" spans="1:20">
      <c r="A567" s="7" t="s">
        <v>1394</v>
      </c>
      <c r="B567" s="7" t="s">
        <v>507</v>
      </c>
      <c r="C567" s="8">
        <v>2</v>
      </c>
      <c r="D567" s="7" t="s">
        <v>1412</v>
      </c>
      <c r="E567" s="7" t="s">
        <v>1425</v>
      </c>
      <c r="F567">
        <v>1399</v>
      </c>
      <c r="G567" s="6">
        <v>13911</v>
      </c>
      <c r="H567" s="11" t="s">
        <v>1426</v>
      </c>
      <c r="I567" s="6">
        <v>65</v>
      </c>
      <c r="J567" s="6">
        <v>84</v>
      </c>
      <c r="K567" s="6">
        <v>205</v>
      </c>
      <c r="L567" s="6">
        <v>49</v>
      </c>
      <c r="M567" s="10">
        <f t="shared" si="24"/>
        <v>418.36734693877548</v>
      </c>
      <c r="N567" s="10">
        <f t="shared" si="25"/>
        <v>419</v>
      </c>
      <c r="O567" s="6" t="s">
        <v>9</v>
      </c>
      <c r="P567" s="6">
        <v>6</v>
      </c>
      <c r="Q567" s="6">
        <v>8</v>
      </c>
      <c r="R567" s="6">
        <v>17</v>
      </c>
      <c r="S567" s="6">
        <v>31</v>
      </c>
      <c r="T567" s="6" t="str">
        <f t="shared" si="26"/>
        <v>Quinta</v>
      </c>
    </row>
    <row r="568" spans="1:20">
      <c r="A568" s="7" t="s">
        <v>1394</v>
      </c>
      <c r="B568" s="7" t="s">
        <v>507</v>
      </c>
      <c r="C568" s="8">
        <v>2</v>
      </c>
      <c r="D568" s="7" t="s">
        <v>1412</v>
      </c>
      <c r="E568" s="7" t="s">
        <v>1427</v>
      </c>
      <c r="F568">
        <v>1103</v>
      </c>
      <c r="G568" s="6">
        <v>20607</v>
      </c>
      <c r="H568" s="11" t="s">
        <v>1428</v>
      </c>
      <c r="I568" s="6">
        <v>20</v>
      </c>
      <c r="J568" s="6">
        <v>1</v>
      </c>
      <c r="K568" s="6">
        <v>1</v>
      </c>
      <c r="L568" s="6">
        <v>25</v>
      </c>
      <c r="M568" s="10">
        <f t="shared" si="24"/>
        <v>4</v>
      </c>
      <c r="N568" s="10">
        <f t="shared" si="25"/>
        <v>4</v>
      </c>
      <c r="O568" s="6" t="s">
        <v>183</v>
      </c>
      <c r="P568" s="6">
        <v>0</v>
      </c>
      <c r="Q568" s="6">
        <v>0</v>
      </c>
      <c r="R568" s="6">
        <v>0</v>
      </c>
      <c r="S568" s="6">
        <v>0</v>
      </c>
      <c r="T568" s="6" t="str">
        <f t="shared" si="26"/>
        <v>Sexta</v>
      </c>
    </row>
    <row r="569" spans="1:20">
      <c r="A569" s="7" t="s">
        <v>1429</v>
      </c>
      <c r="B569" s="7" t="s">
        <v>421</v>
      </c>
      <c r="C569" s="8">
        <v>1</v>
      </c>
      <c r="D569" s="7" t="s">
        <v>1429</v>
      </c>
      <c r="E569" s="7" t="s">
        <v>1430</v>
      </c>
      <c r="F569">
        <v>2357</v>
      </c>
      <c r="G569" s="6">
        <v>593</v>
      </c>
      <c r="H569" s="11" t="s">
        <v>1431</v>
      </c>
      <c r="I569" s="6">
        <v>47</v>
      </c>
      <c r="J569" s="6">
        <v>267</v>
      </c>
      <c r="K569" s="6">
        <v>869</v>
      </c>
      <c r="L569" s="6">
        <v>70</v>
      </c>
      <c r="M569" s="10">
        <f t="shared" si="24"/>
        <v>1241.4285714285713</v>
      </c>
      <c r="N569" s="10">
        <f t="shared" si="25"/>
        <v>1242</v>
      </c>
      <c r="O569" s="6" t="s">
        <v>19</v>
      </c>
      <c r="P569" s="6">
        <v>29</v>
      </c>
      <c r="Q569" s="6">
        <v>33</v>
      </c>
      <c r="R569" s="6">
        <v>67</v>
      </c>
      <c r="S569" s="6">
        <v>129</v>
      </c>
      <c r="T569" s="6" t="str">
        <f t="shared" si="26"/>
        <v>Primera</v>
      </c>
    </row>
    <row r="570" spans="1:20">
      <c r="A570" s="7" t="s">
        <v>1429</v>
      </c>
      <c r="B570" s="7" t="s">
        <v>421</v>
      </c>
      <c r="C570" s="8">
        <v>1</v>
      </c>
      <c r="D570" s="7" t="s">
        <v>1429</v>
      </c>
      <c r="E570" s="7" t="s">
        <v>1432</v>
      </c>
      <c r="F570">
        <v>1566</v>
      </c>
      <c r="G570" s="6">
        <v>10896</v>
      </c>
      <c r="H570" s="11" t="s">
        <v>1433</v>
      </c>
      <c r="I570" s="6">
        <v>29</v>
      </c>
      <c r="J570" s="6">
        <v>32</v>
      </c>
      <c r="K570" s="6">
        <v>80</v>
      </c>
      <c r="L570" s="6">
        <v>60</v>
      </c>
      <c r="M570" s="10">
        <f t="shared" si="24"/>
        <v>133.33333333333334</v>
      </c>
      <c r="N570" s="10">
        <f t="shared" si="25"/>
        <v>134</v>
      </c>
      <c r="O570" s="6" t="s">
        <v>90</v>
      </c>
      <c r="P570" s="6">
        <v>3</v>
      </c>
      <c r="Q570" s="6">
        <v>2</v>
      </c>
      <c r="R570" s="6">
        <v>6</v>
      </c>
      <c r="S570" s="6">
        <v>11</v>
      </c>
      <c r="T570" s="6" t="str">
        <f t="shared" si="26"/>
        <v>Cuarta</v>
      </c>
    </row>
    <row r="571" spans="1:20">
      <c r="A571" s="7" t="s">
        <v>1429</v>
      </c>
      <c r="B571" s="7" t="s">
        <v>421</v>
      </c>
      <c r="C571" s="8">
        <v>1</v>
      </c>
      <c r="D571" s="7" t="s">
        <v>1429</v>
      </c>
      <c r="E571" s="7" t="s">
        <v>1434</v>
      </c>
      <c r="F571">
        <v>2171</v>
      </c>
      <c r="G571" s="6">
        <v>8981</v>
      </c>
      <c r="H571" s="11" t="s">
        <v>1435</v>
      </c>
      <c r="I571" s="6">
        <v>27</v>
      </c>
      <c r="J571" s="6">
        <v>22</v>
      </c>
      <c r="K571" s="6">
        <v>77</v>
      </c>
      <c r="L571" s="6">
        <v>71</v>
      </c>
      <c r="M571" s="10">
        <f t="shared" si="24"/>
        <v>108.45070422535211</v>
      </c>
      <c r="N571" s="10">
        <f t="shared" si="25"/>
        <v>109</v>
      </c>
      <c r="O571" s="6" t="s">
        <v>36</v>
      </c>
      <c r="P571" s="6">
        <v>8</v>
      </c>
      <c r="Q571" s="6">
        <v>2</v>
      </c>
      <c r="R571" s="6">
        <v>3</v>
      </c>
      <c r="S571" s="6">
        <v>13</v>
      </c>
      <c r="T571" s="6" t="str">
        <f t="shared" si="26"/>
        <v>Primera</v>
      </c>
    </row>
    <row r="572" spans="1:20">
      <c r="A572" s="7" t="s">
        <v>1429</v>
      </c>
      <c r="B572" s="7" t="s">
        <v>421</v>
      </c>
      <c r="C572" s="8">
        <v>1</v>
      </c>
      <c r="D572" s="7" t="s">
        <v>1429</v>
      </c>
      <c r="E572" s="7" t="s">
        <v>1436</v>
      </c>
      <c r="F572">
        <v>2151</v>
      </c>
      <c r="G572" s="6">
        <v>1609</v>
      </c>
      <c r="H572" s="11" t="s">
        <v>1437</v>
      </c>
      <c r="I572" s="6">
        <v>51</v>
      </c>
      <c r="J572" s="6">
        <v>232</v>
      </c>
      <c r="K572" s="6">
        <v>799</v>
      </c>
      <c r="L572" s="6">
        <v>65</v>
      </c>
      <c r="M572" s="10">
        <f t="shared" si="24"/>
        <v>1229.2307692307693</v>
      </c>
      <c r="N572" s="10">
        <f t="shared" si="25"/>
        <v>1230</v>
      </c>
      <c r="O572" s="6" t="s">
        <v>19</v>
      </c>
      <c r="P572" s="6">
        <v>29</v>
      </c>
      <c r="Q572" s="6">
        <v>31</v>
      </c>
      <c r="R572" s="6">
        <v>45</v>
      </c>
      <c r="S572" s="6">
        <v>105</v>
      </c>
      <c r="T572" s="6" t="str">
        <f t="shared" si="26"/>
        <v>Primera</v>
      </c>
    </row>
    <row r="573" spans="1:20">
      <c r="A573" s="7" t="s">
        <v>1429</v>
      </c>
      <c r="B573" s="7" t="s">
        <v>434</v>
      </c>
      <c r="C573" s="8">
        <v>1</v>
      </c>
      <c r="D573" s="7" t="s">
        <v>1429</v>
      </c>
      <c r="E573" s="7" t="s">
        <v>1434</v>
      </c>
      <c r="F573">
        <v>2171</v>
      </c>
      <c r="G573" s="6">
        <v>8981</v>
      </c>
      <c r="H573" s="11" t="s">
        <v>1435</v>
      </c>
      <c r="I573" s="6">
        <v>27</v>
      </c>
      <c r="J573" s="6">
        <v>22</v>
      </c>
      <c r="K573" s="6">
        <v>77</v>
      </c>
      <c r="L573" s="6">
        <v>71</v>
      </c>
      <c r="M573" s="10">
        <f t="shared" si="24"/>
        <v>108.45070422535211</v>
      </c>
      <c r="N573" s="10">
        <f t="shared" si="25"/>
        <v>109</v>
      </c>
      <c r="O573" s="6" t="s">
        <v>36</v>
      </c>
      <c r="P573" s="6">
        <v>8</v>
      </c>
      <c r="Q573" s="6">
        <v>2</v>
      </c>
      <c r="R573" s="6">
        <v>3</v>
      </c>
      <c r="S573" s="6">
        <v>13</v>
      </c>
      <c r="T573" s="6" t="str">
        <f t="shared" si="26"/>
        <v>Primera</v>
      </c>
    </row>
    <row r="574" spans="1:20">
      <c r="A574" s="7" t="s">
        <v>1429</v>
      </c>
      <c r="B574" s="7" t="s">
        <v>434</v>
      </c>
      <c r="C574" s="8">
        <v>1</v>
      </c>
      <c r="D574" s="7" t="s">
        <v>1429</v>
      </c>
      <c r="E574" s="7" t="s">
        <v>1436</v>
      </c>
      <c r="F574">
        <v>2151</v>
      </c>
      <c r="G574" s="6">
        <v>1609</v>
      </c>
      <c r="H574" s="11" t="s">
        <v>1437</v>
      </c>
      <c r="I574" s="6">
        <v>51</v>
      </c>
      <c r="J574" s="6">
        <v>232</v>
      </c>
      <c r="K574" s="6">
        <v>799</v>
      </c>
      <c r="L574" s="6">
        <v>65</v>
      </c>
      <c r="M574" s="10">
        <f t="shared" si="24"/>
        <v>1229.2307692307693</v>
      </c>
      <c r="N574" s="10">
        <f t="shared" si="25"/>
        <v>1230</v>
      </c>
      <c r="O574" s="6" t="s">
        <v>19</v>
      </c>
      <c r="P574" s="6">
        <v>29</v>
      </c>
      <c r="Q574" s="6">
        <v>31</v>
      </c>
      <c r="R574" s="6">
        <v>45</v>
      </c>
      <c r="S574" s="6">
        <v>105</v>
      </c>
      <c r="T574" s="6" t="str">
        <f t="shared" si="26"/>
        <v>Primera</v>
      </c>
    </row>
    <row r="575" spans="1:20">
      <c r="A575" s="7" t="s">
        <v>1429</v>
      </c>
      <c r="B575" s="7" t="s">
        <v>434</v>
      </c>
      <c r="C575" s="8">
        <v>1</v>
      </c>
      <c r="D575" s="7" t="s">
        <v>1429</v>
      </c>
      <c r="E575" s="7" t="s">
        <v>1438</v>
      </c>
      <c r="F575">
        <v>1662</v>
      </c>
      <c r="G575" s="6">
        <v>20020</v>
      </c>
      <c r="H575" s="11" t="s">
        <v>1439</v>
      </c>
      <c r="I575" s="6">
        <v>55</v>
      </c>
      <c r="J575" s="6">
        <v>360</v>
      </c>
      <c r="K575" s="6">
        <v>926</v>
      </c>
      <c r="L575" s="6">
        <v>52</v>
      </c>
      <c r="M575" s="10">
        <f t="shared" si="24"/>
        <v>1780.7692307692307</v>
      </c>
      <c r="N575" s="10">
        <f t="shared" si="25"/>
        <v>1781</v>
      </c>
      <c r="O575" s="6" t="s">
        <v>37</v>
      </c>
      <c r="P575" s="6">
        <v>23</v>
      </c>
      <c r="Q575" s="6">
        <v>38</v>
      </c>
      <c r="R575" s="6">
        <v>74</v>
      </c>
      <c r="S575" s="6">
        <v>135</v>
      </c>
      <c r="T575" s="6" t="str">
        <f t="shared" si="26"/>
        <v>Tercera</v>
      </c>
    </row>
    <row r="576" spans="1:20">
      <c r="A576" s="7" t="s">
        <v>1429</v>
      </c>
      <c r="B576" s="7" t="s">
        <v>434</v>
      </c>
      <c r="C576" s="8">
        <v>1</v>
      </c>
      <c r="D576" s="7" t="s">
        <v>1429</v>
      </c>
      <c r="E576" s="7" t="s">
        <v>1440</v>
      </c>
      <c r="F576">
        <v>1592</v>
      </c>
      <c r="G576" s="6">
        <v>28218</v>
      </c>
      <c r="H576" s="11" t="s">
        <v>1441</v>
      </c>
      <c r="I576" s="6">
        <v>13</v>
      </c>
      <c r="J576" s="6">
        <v>6</v>
      </c>
      <c r="K576" s="6">
        <v>41</v>
      </c>
      <c r="L576" s="6">
        <v>82</v>
      </c>
      <c r="M576" s="10">
        <f t="shared" si="24"/>
        <v>50</v>
      </c>
      <c r="N576" s="10">
        <f t="shared" si="25"/>
        <v>50</v>
      </c>
      <c r="O576" s="6" t="s">
        <v>18</v>
      </c>
      <c r="P576" s="6">
        <v>5</v>
      </c>
      <c r="Q576" s="6">
        <v>1</v>
      </c>
      <c r="R576" s="6">
        <v>1</v>
      </c>
      <c r="S576" s="6">
        <v>7</v>
      </c>
      <c r="T576" s="6" t="str">
        <f t="shared" si="26"/>
        <v>Cuarta</v>
      </c>
    </row>
    <row r="577" spans="1:20">
      <c r="A577" s="7" t="s">
        <v>1429</v>
      </c>
      <c r="B577" s="7" t="s">
        <v>483</v>
      </c>
      <c r="C577" s="8">
        <v>1</v>
      </c>
      <c r="D577" s="7" t="s">
        <v>1429</v>
      </c>
      <c r="E577" s="7" t="s">
        <v>1438</v>
      </c>
      <c r="F577">
        <v>1662</v>
      </c>
      <c r="G577" s="6">
        <v>20020</v>
      </c>
      <c r="H577" s="11" t="s">
        <v>1439</v>
      </c>
      <c r="I577" s="6">
        <v>55</v>
      </c>
      <c r="J577" s="6">
        <v>360</v>
      </c>
      <c r="K577" s="6">
        <v>926</v>
      </c>
      <c r="L577" s="6">
        <v>52</v>
      </c>
      <c r="M577" s="10">
        <f t="shared" si="24"/>
        <v>1780.7692307692307</v>
      </c>
      <c r="N577" s="10">
        <f t="shared" si="25"/>
        <v>1781</v>
      </c>
      <c r="O577" s="6" t="s">
        <v>37</v>
      </c>
      <c r="P577" s="6">
        <v>23</v>
      </c>
      <c r="Q577" s="6">
        <v>38</v>
      </c>
      <c r="R577" s="6">
        <v>74</v>
      </c>
      <c r="S577" s="6">
        <v>135</v>
      </c>
      <c r="T577" s="6" t="str">
        <f t="shared" si="26"/>
        <v>Tercera</v>
      </c>
    </row>
    <row r="578" spans="1:20">
      <c r="A578" s="7" t="s">
        <v>1429</v>
      </c>
      <c r="B578" s="7" t="s">
        <v>483</v>
      </c>
      <c r="C578" s="8">
        <v>1</v>
      </c>
      <c r="D578" s="7" t="s">
        <v>1429</v>
      </c>
      <c r="E578" s="7" t="s">
        <v>1440</v>
      </c>
      <c r="F578">
        <v>1592</v>
      </c>
      <c r="G578" s="6">
        <v>28218</v>
      </c>
      <c r="H578" s="11" t="s">
        <v>1441</v>
      </c>
      <c r="I578" s="6">
        <v>13</v>
      </c>
      <c r="J578" s="6">
        <v>6</v>
      </c>
      <c r="K578" s="6">
        <v>41</v>
      </c>
      <c r="L578" s="6">
        <v>82</v>
      </c>
      <c r="M578" s="10">
        <f t="shared" si="24"/>
        <v>50</v>
      </c>
      <c r="N578" s="10">
        <f t="shared" si="25"/>
        <v>50</v>
      </c>
      <c r="O578" s="6" t="s">
        <v>18</v>
      </c>
      <c r="P578" s="6">
        <v>5</v>
      </c>
      <c r="Q578" s="6">
        <v>1</v>
      </c>
      <c r="R578" s="6">
        <v>1</v>
      </c>
      <c r="S578" s="6">
        <v>7</v>
      </c>
      <c r="T578" s="6" t="str">
        <f t="shared" si="26"/>
        <v>Cuarta</v>
      </c>
    </row>
    <row r="579" spans="1:20">
      <c r="A579" s="7" t="s">
        <v>1429</v>
      </c>
      <c r="B579" s="7" t="s">
        <v>483</v>
      </c>
      <c r="C579" s="8">
        <v>1</v>
      </c>
      <c r="D579" s="7" t="s">
        <v>1429</v>
      </c>
      <c r="E579" s="7" t="s">
        <v>1442</v>
      </c>
      <c r="F579">
        <v>1527</v>
      </c>
      <c r="G579" s="6">
        <v>2548</v>
      </c>
      <c r="H579" s="11" t="s">
        <v>1443</v>
      </c>
      <c r="I579" s="6">
        <v>51</v>
      </c>
      <c r="J579" s="6">
        <v>13</v>
      </c>
      <c r="K579" s="6">
        <v>34</v>
      </c>
      <c r="L579" s="6">
        <v>59</v>
      </c>
      <c r="M579" s="10">
        <f t="shared" ref="M579:M642" si="27">IF(K579+L579=0,0,(100*K579/L579))</f>
        <v>57.627118644067799</v>
      </c>
      <c r="N579" s="10">
        <f t="shared" ref="N579:N642" si="28">ROUNDUP(M579,0)</f>
        <v>58</v>
      </c>
      <c r="O579" s="6" t="s">
        <v>43</v>
      </c>
      <c r="P579" s="6">
        <v>1</v>
      </c>
      <c r="Q579" s="6">
        <v>1</v>
      </c>
      <c r="R579" s="6">
        <v>4</v>
      </c>
      <c r="S579" s="6">
        <v>6</v>
      </c>
      <c r="T579" s="6" t="str">
        <f t="shared" ref="T579:T642" si="29">IF(F579&gt;2100,"Primera",
IF(F579&gt;=1800,"Segunda",
IF(F579&gt;=1600,"Tercera",
IF(F579&gt;=1400,"Cuarta",
IF(F579&gt;=1200,"Quinta",
IF(F579&gt;=1080,"Sexta",
IF(F579&gt;=980,"Septima",
"Octava")))))))</f>
        <v>Cuarta</v>
      </c>
    </row>
    <row r="580" spans="1:20">
      <c r="A580" s="7" t="s">
        <v>1429</v>
      </c>
      <c r="B580" s="7" t="s">
        <v>483</v>
      </c>
      <c r="C580" s="8">
        <v>1</v>
      </c>
      <c r="D580" s="7" t="s">
        <v>1429</v>
      </c>
      <c r="E580" s="7" t="s">
        <v>1444</v>
      </c>
      <c r="F580">
        <v>1499</v>
      </c>
      <c r="G580" s="6">
        <v>14062</v>
      </c>
      <c r="H580" s="11" t="s">
        <v>1445</v>
      </c>
      <c r="I580" s="6">
        <v>55</v>
      </c>
      <c r="J580" s="6">
        <v>87</v>
      </c>
      <c r="K580" s="6">
        <v>210</v>
      </c>
      <c r="L580" s="6">
        <v>48</v>
      </c>
      <c r="M580" s="10">
        <f t="shared" si="27"/>
        <v>437.5</v>
      </c>
      <c r="N580" s="10">
        <f t="shared" si="28"/>
        <v>438</v>
      </c>
      <c r="O580" s="6" t="s">
        <v>19</v>
      </c>
      <c r="P580" s="6">
        <v>3</v>
      </c>
      <c r="Q580" s="6">
        <v>7</v>
      </c>
      <c r="R580" s="6">
        <v>17</v>
      </c>
      <c r="S580" s="6">
        <v>27</v>
      </c>
      <c r="T580" s="6" t="str">
        <f t="shared" si="29"/>
        <v>Cuarta</v>
      </c>
    </row>
    <row r="581" spans="1:20">
      <c r="A581" s="7" t="s">
        <v>1429</v>
      </c>
      <c r="B581" s="7" t="s">
        <v>483</v>
      </c>
      <c r="C581" s="8">
        <v>1</v>
      </c>
      <c r="D581" s="7" t="s">
        <v>1429</v>
      </c>
      <c r="E581" s="7" t="s">
        <v>1446</v>
      </c>
      <c r="F581">
        <v>1561</v>
      </c>
      <c r="G581" s="6">
        <v>24945</v>
      </c>
      <c r="H581" s="11" t="s">
        <v>1447</v>
      </c>
      <c r="I581" s="6">
        <v>58</v>
      </c>
      <c r="J581" s="6">
        <v>41</v>
      </c>
      <c r="K581" s="6">
        <v>106</v>
      </c>
      <c r="L581" s="6">
        <v>56</v>
      </c>
      <c r="M581" s="10">
        <f t="shared" si="27"/>
        <v>189.28571428571428</v>
      </c>
      <c r="N581" s="10">
        <f t="shared" si="28"/>
        <v>190</v>
      </c>
      <c r="O581" s="6" t="s">
        <v>18</v>
      </c>
      <c r="P581" s="6">
        <v>3</v>
      </c>
      <c r="Q581" s="6">
        <v>5</v>
      </c>
      <c r="R581" s="6">
        <v>6</v>
      </c>
      <c r="S581" s="6">
        <v>14</v>
      </c>
      <c r="T581" s="6" t="str">
        <f t="shared" si="29"/>
        <v>Cuarta</v>
      </c>
    </row>
    <row r="582" spans="1:20">
      <c r="A582" s="7" t="s">
        <v>1429</v>
      </c>
      <c r="B582" s="7" t="s">
        <v>483</v>
      </c>
      <c r="C582" s="8">
        <v>1</v>
      </c>
      <c r="D582" s="7" t="s">
        <v>1429</v>
      </c>
      <c r="E582" s="7" t="s">
        <v>1448</v>
      </c>
      <c r="F582">
        <v>1506</v>
      </c>
      <c r="G582" s="6">
        <v>553</v>
      </c>
      <c r="H582" s="11" t="s">
        <v>1449</v>
      </c>
      <c r="I582" s="6">
        <v>54</v>
      </c>
      <c r="J582" s="6">
        <v>110</v>
      </c>
      <c r="K582" s="6">
        <v>133</v>
      </c>
      <c r="L582" s="6">
        <v>31</v>
      </c>
      <c r="M582" s="10">
        <f t="shared" si="27"/>
        <v>429.03225806451616</v>
      </c>
      <c r="N582" s="10">
        <f t="shared" si="28"/>
        <v>430</v>
      </c>
      <c r="O582" s="6" t="s">
        <v>184</v>
      </c>
      <c r="P582" s="6">
        <v>3</v>
      </c>
      <c r="Q582" s="6">
        <v>4</v>
      </c>
      <c r="R582" s="6">
        <v>4</v>
      </c>
      <c r="S582" s="6">
        <v>11</v>
      </c>
      <c r="T582" s="6" t="str">
        <f t="shared" si="29"/>
        <v>Cuarta</v>
      </c>
    </row>
    <row r="583" spans="1:20">
      <c r="A583" s="7" t="s">
        <v>1429</v>
      </c>
      <c r="B583" s="7" t="s">
        <v>483</v>
      </c>
      <c r="C583" s="8">
        <v>1</v>
      </c>
      <c r="D583" s="7" t="s">
        <v>1429</v>
      </c>
      <c r="E583" s="7" t="s">
        <v>1450</v>
      </c>
      <c r="F583">
        <v>1289</v>
      </c>
      <c r="G583" s="6">
        <v>25776</v>
      </c>
      <c r="H583" s="11" t="s">
        <v>1451</v>
      </c>
      <c r="I583" s="6">
        <v>18</v>
      </c>
      <c r="J583" s="6">
        <v>19</v>
      </c>
      <c r="K583" s="6">
        <v>54</v>
      </c>
      <c r="L583" s="6">
        <v>53</v>
      </c>
      <c r="M583" s="10">
        <f t="shared" si="27"/>
        <v>101.88679245283019</v>
      </c>
      <c r="N583" s="10">
        <f t="shared" si="28"/>
        <v>102</v>
      </c>
      <c r="O583" s="6" t="s">
        <v>144</v>
      </c>
      <c r="P583" s="6">
        <v>4</v>
      </c>
      <c r="Q583" s="6">
        <v>2</v>
      </c>
      <c r="R583" s="6">
        <v>3</v>
      </c>
      <c r="S583" s="6">
        <v>9</v>
      </c>
      <c r="T583" s="6" t="str">
        <f t="shared" si="29"/>
        <v>Quinta</v>
      </c>
    </row>
    <row r="584" spans="1:20">
      <c r="A584" s="7" t="s">
        <v>1429</v>
      </c>
      <c r="B584" s="7" t="s">
        <v>507</v>
      </c>
      <c r="C584" s="8">
        <v>1</v>
      </c>
      <c r="D584" s="7" t="s">
        <v>1429</v>
      </c>
      <c r="E584" s="7" t="s">
        <v>1452</v>
      </c>
      <c r="F584">
        <v>1292</v>
      </c>
      <c r="G584" s="6">
        <v>19044</v>
      </c>
      <c r="H584" s="11" t="s">
        <v>1453</v>
      </c>
      <c r="I584" s="6">
        <v>23</v>
      </c>
      <c r="J584" s="6">
        <v>1</v>
      </c>
      <c r="K584" s="6">
        <v>4</v>
      </c>
      <c r="L584" s="6">
        <v>80</v>
      </c>
      <c r="M584" s="10">
        <f t="shared" si="27"/>
        <v>5</v>
      </c>
      <c r="N584" s="10">
        <f t="shared" si="28"/>
        <v>5</v>
      </c>
      <c r="O584" s="6" t="s">
        <v>185</v>
      </c>
      <c r="P584" s="6">
        <v>0</v>
      </c>
      <c r="Q584" s="6">
        <v>0</v>
      </c>
      <c r="R584" s="6">
        <v>1</v>
      </c>
      <c r="S584" s="6">
        <v>1</v>
      </c>
      <c r="T584" s="6" t="str">
        <f t="shared" si="29"/>
        <v>Quinta</v>
      </c>
    </row>
    <row r="585" spans="1:20">
      <c r="A585" s="7" t="s">
        <v>1429</v>
      </c>
      <c r="B585" s="7" t="s">
        <v>507</v>
      </c>
      <c r="C585" s="8">
        <v>1</v>
      </c>
      <c r="D585" s="7" t="s">
        <v>1429</v>
      </c>
      <c r="E585" s="7" t="s">
        <v>1454</v>
      </c>
      <c r="F585">
        <v>1310</v>
      </c>
      <c r="G585" s="6">
        <v>28636</v>
      </c>
      <c r="H585" s="11" t="s">
        <v>1455</v>
      </c>
      <c r="I585" s="6">
        <v>24</v>
      </c>
      <c r="J585" s="6">
        <v>12</v>
      </c>
      <c r="K585" s="6">
        <v>47</v>
      </c>
      <c r="L585" s="6">
        <v>68</v>
      </c>
      <c r="M585" s="10">
        <f t="shared" si="27"/>
        <v>69.117647058823536</v>
      </c>
      <c r="N585" s="10">
        <f t="shared" si="28"/>
        <v>70</v>
      </c>
      <c r="O585" s="6" t="s">
        <v>37</v>
      </c>
      <c r="P585" s="6">
        <v>4</v>
      </c>
      <c r="Q585" s="6">
        <v>0</v>
      </c>
      <c r="R585" s="6">
        <v>4</v>
      </c>
      <c r="S585" s="6">
        <v>8</v>
      </c>
      <c r="T585" s="6" t="str">
        <f t="shared" si="29"/>
        <v>Quinta</v>
      </c>
    </row>
    <row r="586" spans="1:20">
      <c r="A586" s="7" t="s">
        <v>1429</v>
      </c>
      <c r="B586" s="7" t="s">
        <v>507</v>
      </c>
      <c r="C586" s="8">
        <v>1</v>
      </c>
      <c r="D586" s="7" t="s">
        <v>1429</v>
      </c>
      <c r="E586" s="7" t="s">
        <v>1456</v>
      </c>
      <c r="F586">
        <v>1235</v>
      </c>
      <c r="G586" s="6">
        <v>25342</v>
      </c>
      <c r="H586" s="11" t="s">
        <v>1457</v>
      </c>
      <c r="I586" s="6">
        <v>46</v>
      </c>
      <c r="J586" s="6">
        <v>32</v>
      </c>
      <c r="K586" s="6">
        <v>97</v>
      </c>
      <c r="L586" s="6">
        <v>57</v>
      </c>
      <c r="M586" s="10">
        <f t="shared" si="27"/>
        <v>170.17543859649123</v>
      </c>
      <c r="N586" s="10">
        <f t="shared" si="28"/>
        <v>171</v>
      </c>
      <c r="O586" s="6" t="s">
        <v>33</v>
      </c>
      <c r="P586" s="6">
        <v>4</v>
      </c>
      <c r="Q586" s="6">
        <v>2</v>
      </c>
      <c r="R586" s="6">
        <v>12</v>
      </c>
      <c r="S586" s="6">
        <v>18</v>
      </c>
      <c r="T586" s="6" t="str">
        <f t="shared" si="29"/>
        <v>Quinta</v>
      </c>
    </row>
    <row r="587" spans="1:20">
      <c r="A587" s="7" t="s">
        <v>1429</v>
      </c>
      <c r="B587" s="7" t="s">
        <v>507</v>
      </c>
      <c r="C587" s="8">
        <v>1</v>
      </c>
      <c r="D587" s="7" t="s">
        <v>1429</v>
      </c>
      <c r="E587" s="7" t="s">
        <v>1458</v>
      </c>
      <c r="F587">
        <v>1373</v>
      </c>
      <c r="G587" s="6">
        <v>13243</v>
      </c>
      <c r="H587" s="11" t="s">
        <v>1459</v>
      </c>
      <c r="I587" s="6">
        <v>49</v>
      </c>
      <c r="J587" s="6">
        <v>69</v>
      </c>
      <c r="K587" s="6">
        <v>151</v>
      </c>
      <c r="L587" s="6">
        <v>49</v>
      </c>
      <c r="M587" s="10">
        <f t="shared" si="27"/>
        <v>308.16326530612247</v>
      </c>
      <c r="N587" s="10">
        <f t="shared" si="28"/>
        <v>309</v>
      </c>
      <c r="O587" s="6" t="s">
        <v>106</v>
      </c>
      <c r="P587" s="6">
        <v>2</v>
      </c>
      <c r="Q587" s="6">
        <v>12</v>
      </c>
      <c r="R587" s="6">
        <v>10</v>
      </c>
      <c r="S587" s="6">
        <v>24</v>
      </c>
      <c r="T587" s="6" t="str">
        <f t="shared" si="29"/>
        <v>Quinta</v>
      </c>
    </row>
    <row r="588" spans="1:20">
      <c r="A588" s="7" t="s">
        <v>1429</v>
      </c>
      <c r="B588" s="7" t="s">
        <v>507</v>
      </c>
      <c r="C588" s="8">
        <v>1</v>
      </c>
      <c r="D588" s="7" t="s">
        <v>1429</v>
      </c>
      <c r="E588" s="7" t="s">
        <v>1450</v>
      </c>
      <c r="F588">
        <v>1289</v>
      </c>
      <c r="G588" s="6">
        <v>25776</v>
      </c>
      <c r="H588" s="11" t="s">
        <v>1451</v>
      </c>
      <c r="I588" s="6">
        <v>18</v>
      </c>
      <c r="J588" s="6">
        <v>19</v>
      </c>
      <c r="K588" s="6">
        <v>54</v>
      </c>
      <c r="L588" s="6">
        <v>53</v>
      </c>
      <c r="M588" s="10">
        <f t="shared" si="27"/>
        <v>101.88679245283019</v>
      </c>
      <c r="N588" s="10">
        <f t="shared" si="28"/>
        <v>102</v>
      </c>
      <c r="O588" s="6" t="s">
        <v>144</v>
      </c>
      <c r="P588" s="6">
        <v>4</v>
      </c>
      <c r="Q588" s="6">
        <v>2</v>
      </c>
      <c r="R588" s="6">
        <v>3</v>
      </c>
      <c r="S588" s="6">
        <v>9</v>
      </c>
      <c r="T588" s="6" t="str">
        <f t="shared" si="29"/>
        <v>Quinta</v>
      </c>
    </row>
    <row r="589" spans="1:20">
      <c r="A589" s="7" t="s">
        <v>1429</v>
      </c>
      <c r="B589" s="7" t="s">
        <v>507</v>
      </c>
      <c r="C589" s="8">
        <v>1</v>
      </c>
      <c r="D589" s="7" t="s">
        <v>1429</v>
      </c>
      <c r="E589" s="7" t="s">
        <v>1460</v>
      </c>
      <c r="F589">
        <v>1459</v>
      </c>
      <c r="G589" s="6">
        <v>4207</v>
      </c>
      <c r="H589" s="11" t="s">
        <v>1461</v>
      </c>
      <c r="I589" s="6">
        <v>43</v>
      </c>
      <c r="J589" s="6">
        <v>3</v>
      </c>
      <c r="K589" s="6">
        <v>0</v>
      </c>
      <c r="L589" s="6">
        <v>0</v>
      </c>
      <c r="M589" s="10">
        <f t="shared" si="27"/>
        <v>0</v>
      </c>
      <c r="N589" s="10">
        <f t="shared" si="28"/>
        <v>0</v>
      </c>
      <c r="O589" s="6" t="s">
        <v>186</v>
      </c>
      <c r="P589" s="6">
        <v>0</v>
      </c>
      <c r="Q589" s="6">
        <v>0</v>
      </c>
      <c r="R589" s="6">
        <v>0</v>
      </c>
      <c r="S589" s="6">
        <v>0</v>
      </c>
      <c r="T589" s="6" t="str">
        <f t="shared" si="29"/>
        <v>Cuarta</v>
      </c>
    </row>
    <row r="590" spans="1:20">
      <c r="A590" s="7" t="s">
        <v>1429</v>
      </c>
      <c r="B590" s="7" t="s">
        <v>507</v>
      </c>
      <c r="C590" s="8">
        <v>1</v>
      </c>
      <c r="D590" s="7" t="s">
        <v>1429</v>
      </c>
      <c r="E590" s="7" t="s">
        <v>1462</v>
      </c>
      <c r="F590">
        <v>1145</v>
      </c>
      <c r="G590" s="6">
        <v>28639</v>
      </c>
      <c r="H590" s="11" t="s">
        <v>1463</v>
      </c>
      <c r="I590" s="6">
        <v>24</v>
      </c>
      <c r="J590" s="6">
        <v>19</v>
      </c>
      <c r="K590" s="6">
        <v>47</v>
      </c>
      <c r="L590" s="6">
        <v>39</v>
      </c>
      <c r="M590" s="10">
        <f t="shared" si="27"/>
        <v>120.51282051282051</v>
      </c>
      <c r="N590" s="10">
        <f t="shared" si="28"/>
        <v>121</v>
      </c>
      <c r="O590" s="6" t="s">
        <v>37</v>
      </c>
      <c r="P590" s="6">
        <v>1</v>
      </c>
      <c r="Q590" s="6">
        <v>0</v>
      </c>
      <c r="R590" s="6">
        <v>1</v>
      </c>
      <c r="S590" s="6">
        <v>2</v>
      </c>
      <c r="T590" s="6" t="str">
        <f t="shared" si="29"/>
        <v>Sexta</v>
      </c>
    </row>
    <row r="591" spans="1:20">
      <c r="A591" s="7" t="s">
        <v>1429</v>
      </c>
      <c r="B591" s="7" t="s">
        <v>507</v>
      </c>
      <c r="C591" s="8">
        <v>1</v>
      </c>
      <c r="D591" s="7" t="s">
        <v>1429</v>
      </c>
      <c r="E591" s="7" t="s">
        <v>1464</v>
      </c>
      <c r="F591">
        <v>1289</v>
      </c>
      <c r="G591" s="6">
        <v>25776</v>
      </c>
      <c r="H591" s="11" t="s">
        <v>1451</v>
      </c>
      <c r="I591" s="6">
        <v>18</v>
      </c>
      <c r="J591" s="6">
        <v>19</v>
      </c>
      <c r="K591" s="6">
        <v>54</v>
      </c>
      <c r="L591" s="6">
        <v>53</v>
      </c>
      <c r="M591" s="10">
        <f t="shared" si="27"/>
        <v>101.88679245283019</v>
      </c>
      <c r="N591" s="10">
        <f t="shared" si="28"/>
        <v>102</v>
      </c>
      <c r="O591" s="6" t="s">
        <v>144</v>
      </c>
      <c r="P591" s="6">
        <v>4</v>
      </c>
      <c r="Q591" s="6">
        <v>2</v>
      </c>
      <c r="R591" s="6">
        <v>3</v>
      </c>
      <c r="S591" s="6">
        <v>9</v>
      </c>
      <c r="T591" s="6" t="str">
        <f t="shared" si="29"/>
        <v>Quinta</v>
      </c>
    </row>
    <row r="592" spans="1:20">
      <c r="A592" s="7" t="s">
        <v>1429</v>
      </c>
      <c r="B592" s="7" t="s">
        <v>526</v>
      </c>
      <c r="C592" s="8">
        <v>1</v>
      </c>
      <c r="D592" s="7" t="s">
        <v>1429</v>
      </c>
      <c r="E592" s="7" t="s">
        <v>1465</v>
      </c>
      <c r="F592">
        <v>1073</v>
      </c>
      <c r="G592" s="6">
        <v>4477</v>
      </c>
      <c r="H592" s="11" t="s">
        <v>1466</v>
      </c>
      <c r="I592" s="6">
        <v>41</v>
      </c>
      <c r="J592" s="6">
        <v>22</v>
      </c>
      <c r="K592" s="6">
        <v>41</v>
      </c>
      <c r="L592" s="6">
        <v>45</v>
      </c>
      <c r="M592" s="10">
        <f t="shared" si="27"/>
        <v>91.111111111111114</v>
      </c>
      <c r="N592" s="10">
        <f t="shared" si="28"/>
        <v>92</v>
      </c>
      <c r="O592" s="6" t="s">
        <v>97</v>
      </c>
      <c r="P592" s="6">
        <v>1</v>
      </c>
      <c r="Q592" s="6">
        <v>2</v>
      </c>
      <c r="R592" s="6">
        <v>2</v>
      </c>
      <c r="S592" s="6">
        <v>5</v>
      </c>
      <c r="T592" s="6" t="str">
        <f t="shared" si="29"/>
        <v>Septima</v>
      </c>
    </row>
    <row r="593" spans="1:20">
      <c r="A593" s="7" t="s">
        <v>1429</v>
      </c>
      <c r="B593" s="7" t="s">
        <v>526</v>
      </c>
      <c r="C593" s="8">
        <v>1</v>
      </c>
      <c r="D593" s="7" t="s">
        <v>1429</v>
      </c>
      <c r="E593" s="7" t="s">
        <v>1467</v>
      </c>
      <c r="F593">
        <v>1065</v>
      </c>
      <c r="G593" s="6">
        <v>2854</v>
      </c>
      <c r="H593" s="11" t="s">
        <v>1468</v>
      </c>
      <c r="I593" s="6">
        <v>59</v>
      </c>
      <c r="J593" s="6">
        <v>1</v>
      </c>
      <c r="K593" s="6">
        <v>9</v>
      </c>
      <c r="L593" s="6">
        <v>82</v>
      </c>
      <c r="M593" s="10">
        <f t="shared" si="27"/>
        <v>10.975609756097562</v>
      </c>
      <c r="N593" s="10">
        <f t="shared" si="28"/>
        <v>11</v>
      </c>
      <c r="O593" s="6" t="s">
        <v>147</v>
      </c>
      <c r="P593" s="6">
        <v>1</v>
      </c>
      <c r="Q593" s="6">
        <v>1</v>
      </c>
      <c r="R593" s="6">
        <v>0</v>
      </c>
      <c r="S593" s="6">
        <v>2</v>
      </c>
      <c r="T593" s="6" t="str">
        <f t="shared" si="29"/>
        <v>Septima</v>
      </c>
    </row>
    <row r="594" spans="1:20">
      <c r="A594" s="7" t="s">
        <v>1429</v>
      </c>
      <c r="B594" s="7" t="s">
        <v>526</v>
      </c>
      <c r="C594" s="8">
        <v>1</v>
      </c>
      <c r="D594" s="7" t="s">
        <v>1429</v>
      </c>
      <c r="E594" s="7" t="s">
        <v>1460</v>
      </c>
      <c r="F594">
        <v>1459</v>
      </c>
      <c r="G594" s="6">
        <v>4207</v>
      </c>
      <c r="H594" s="11" t="s">
        <v>1461</v>
      </c>
      <c r="I594" s="6">
        <v>43</v>
      </c>
      <c r="J594" s="6">
        <v>3</v>
      </c>
      <c r="K594" s="6">
        <v>0</v>
      </c>
      <c r="L594" s="6">
        <v>0</v>
      </c>
      <c r="M594" s="10">
        <f t="shared" si="27"/>
        <v>0</v>
      </c>
      <c r="N594" s="10">
        <f t="shared" si="28"/>
        <v>0</v>
      </c>
      <c r="O594" s="6" t="s">
        <v>186</v>
      </c>
      <c r="P594" s="6">
        <v>0</v>
      </c>
      <c r="Q594" s="6">
        <v>0</v>
      </c>
      <c r="R594" s="6">
        <v>0</v>
      </c>
      <c r="S594" s="6">
        <v>0</v>
      </c>
      <c r="T594" s="6" t="str">
        <f t="shared" si="29"/>
        <v>Cuarta</v>
      </c>
    </row>
    <row r="595" spans="1:20">
      <c r="A595" s="7" t="s">
        <v>1429</v>
      </c>
      <c r="B595" s="7" t="s">
        <v>526</v>
      </c>
      <c r="C595" s="8">
        <v>1</v>
      </c>
      <c r="D595" s="7" t="s">
        <v>1429</v>
      </c>
      <c r="E595" s="7" t="s">
        <v>1469</v>
      </c>
      <c r="F595">
        <v>1441</v>
      </c>
      <c r="G595" s="6">
        <v>23319</v>
      </c>
      <c r="H595" s="11" t="s">
        <v>841</v>
      </c>
      <c r="I595" s="6">
        <v>55</v>
      </c>
      <c r="J595" s="6">
        <v>41</v>
      </c>
      <c r="K595" s="6">
        <v>112</v>
      </c>
      <c r="L595" s="6">
        <v>61</v>
      </c>
      <c r="M595" s="10">
        <f t="shared" si="27"/>
        <v>183.60655737704917</v>
      </c>
      <c r="N595" s="10">
        <f t="shared" si="28"/>
        <v>184</v>
      </c>
      <c r="O595" s="6" t="s">
        <v>37</v>
      </c>
      <c r="P595" s="6">
        <v>5</v>
      </c>
      <c r="Q595" s="6">
        <v>2</v>
      </c>
      <c r="R595" s="6">
        <v>5</v>
      </c>
      <c r="S595" s="6">
        <v>12</v>
      </c>
      <c r="T595" s="6" t="str">
        <f t="shared" si="29"/>
        <v>Cuarta</v>
      </c>
    </row>
    <row r="596" spans="1:20">
      <c r="A596" s="7" t="s">
        <v>1429</v>
      </c>
      <c r="B596" s="7" t="s">
        <v>526</v>
      </c>
      <c r="C596" s="8">
        <v>1</v>
      </c>
      <c r="D596" s="7" t="s">
        <v>1429</v>
      </c>
      <c r="E596" s="7" t="s">
        <v>1470</v>
      </c>
      <c r="F596">
        <v>983</v>
      </c>
      <c r="G596" s="6">
        <v>27878</v>
      </c>
      <c r="H596" s="11" t="s">
        <v>1471</v>
      </c>
      <c r="I596" s="6">
        <v>63</v>
      </c>
      <c r="J596" s="6">
        <v>7</v>
      </c>
      <c r="K596" s="6">
        <v>13</v>
      </c>
      <c r="L596" s="6">
        <v>43</v>
      </c>
      <c r="M596" s="10">
        <f t="shared" si="27"/>
        <v>30.232558139534884</v>
      </c>
      <c r="N596" s="10">
        <f t="shared" si="28"/>
        <v>31</v>
      </c>
      <c r="O596" s="6" t="s">
        <v>147</v>
      </c>
      <c r="P596" s="6">
        <v>0</v>
      </c>
      <c r="Q596" s="6">
        <v>1</v>
      </c>
      <c r="R596" s="6">
        <v>1</v>
      </c>
      <c r="S596" s="6">
        <v>2</v>
      </c>
      <c r="T596" s="6" t="str">
        <f t="shared" si="29"/>
        <v>Septima</v>
      </c>
    </row>
    <row r="597" spans="1:20">
      <c r="A597" s="7" t="s">
        <v>1429</v>
      </c>
      <c r="B597" s="7" t="s">
        <v>526</v>
      </c>
      <c r="C597" s="8">
        <v>1</v>
      </c>
      <c r="D597" s="7" t="s">
        <v>1429</v>
      </c>
      <c r="E597" s="7" t="s">
        <v>1462</v>
      </c>
      <c r="F597">
        <v>1145</v>
      </c>
      <c r="G597" s="6">
        <v>28639</v>
      </c>
      <c r="H597" s="11" t="s">
        <v>1463</v>
      </c>
      <c r="I597" s="6">
        <v>24</v>
      </c>
      <c r="J597" s="6">
        <v>19</v>
      </c>
      <c r="K597" s="6">
        <v>47</v>
      </c>
      <c r="L597" s="6">
        <v>39</v>
      </c>
      <c r="M597" s="10">
        <f t="shared" si="27"/>
        <v>120.51282051282051</v>
      </c>
      <c r="N597" s="10">
        <f t="shared" si="28"/>
        <v>121</v>
      </c>
      <c r="O597" s="6" t="s">
        <v>37</v>
      </c>
      <c r="P597" s="6">
        <v>1</v>
      </c>
      <c r="Q597" s="6">
        <v>0</v>
      </c>
      <c r="R597" s="6">
        <v>1</v>
      </c>
      <c r="S597" s="6">
        <v>2</v>
      </c>
      <c r="T597" s="6" t="str">
        <f t="shared" si="29"/>
        <v>Sexta</v>
      </c>
    </row>
    <row r="598" spans="1:20">
      <c r="A598" s="7" t="s">
        <v>1429</v>
      </c>
      <c r="B598" s="7" t="s">
        <v>526</v>
      </c>
      <c r="C598" s="8">
        <v>1</v>
      </c>
      <c r="D598" s="7" t="s">
        <v>1429</v>
      </c>
      <c r="E598" s="7" t="s">
        <v>1464</v>
      </c>
      <c r="F598">
        <v>1289</v>
      </c>
      <c r="G598" s="6">
        <v>25776</v>
      </c>
      <c r="H598" s="11" t="s">
        <v>1451</v>
      </c>
      <c r="I598" s="6">
        <v>18</v>
      </c>
      <c r="J598" s="6">
        <v>19</v>
      </c>
      <c r="K598" s="6">
        <v>54</v>
      </c>
      <c r="L598" s="6">
        <v>53</v>
      </c>
      <c r="M598" s="10">
        <f t="shared" si="27"/>
        <v>101.88679245283019</v>
      </c>
      <c r="N598" s="10">
        <f t="shared" si="28"/>
        <v>102</v>
      </c>
      <c r="O598" s="6" t="s">
        <v>144</v>
      </c>
      <c r="P598" s="6">
        <v>4</v>
      </c>
      <c r="Q598" s="6">
        <v>2</v>
      </c>
      <c r="R598" s="6">
        <v>3</v>
      </c>
      <c r="S598" s="6">
        <v>9</v>
      </c>
      <c r="T598" s="6" t="str">
        <f t="shared" si="29"/>
        <v>Quinta</v>
      </c>
    </row>
    <row r="599" spans="1:20" ht="24">
      <c r="A599" s="7" t="s">
        <v>1472</v>
      </c>
      <c r="B599" s="7" t="s">
        <v>434</v>
      </c>
      <c r="C599" s="8">
        <v>1</v>
      </c>
      <c r="D599" s="7" t="s">
        <v>1472</v>
      </c>
      <c r="E599" s="7" t="s">
        <v>1473</v>
      </c>
      <c r="F599">
        <v>2191</v>
      </c>
      <c r="G599" s="6">
        <v>4520</v>
      </c>
      <c r="H599" s="11" t="s">
        <v>1474</v>
      </c>
      <c r="I599" s="6">
        <v>32</v>
      </c>
      <c r="J599" s="6">
        <v>42</v>
      </c>
      <c r="K599" s="6">
        <v>158</v>
      </c>
      <c r="L599" s="6">
        <v>65</v>
      </c>
      <c r="M599" s="10">
        <f t="shared" si="27"/>
        <v>243.07692307692307</v>
      </c>
      <c r="N599" s="10">
        <f t="shared" si="28"/>
        <v>244</v>
      </c>
      <c r="O599" s="6" t="s">
        <v>11</v>
      </c>
      <c r="P599" s="6">
        <v>6</v>
      </c>
      <c r="Q599" s="6">
        <v>3</v>
      </c>
      <c r="R599" s="6">
        <v>8</v>
      </c>
      <c r="S599" s="6">
        <v>17</v>
      </c>
      <c r="T599" s="6" t="str">
        <f t="shared" si="29"/>
        <v>Primera</v>
      </c>
    </row>
    <row r="600" spans="1:20" ht="24">
      <c r="A600" s="7" t="s">
        <v>1472</v>
      </c>
      <c r="B600" s="7" t="s">
        <v>434</v>
      </c>
      <c r="C600" s="8">
        <v>1</v>
      </c>
      <c r="D600" s="7" t="s">
        <v>1472</v>
      </c>
      <c r="E600" s="7" t="s">
        <v>1475</v>
      </c>
      <c r="F600">
        <v>2369</v>
      </c>
      <c r="G600" s="6">
        <v>18063</v>
      </c>
      <c r="H600" s="11" t="s">
        <v>1476</v>
      </c>
      <c r="I600" s="6">
        <v>17</v>
      </c>
      <c r="J600" s="6">
        <v>104</v>
      </c>
      <c r="K600" s="6">
        <v>374</v>
      </c>
      <c r="L600" s="6">
        <v>55</v>
      </c>
      <c r="M600" s="10">
        <f t="shared" si="27"/>
        <v>680</v>
      </c>
      <c r="N600" s="10">
        <f t="shared" si="28"/>
        <v>680</v>
      </c>
      <c r="O600" s="6" t="s">
        <v>19</v>
      </c>
      <c r="P600" s="6">
        <v>14</v>
      </c>
      <c r="Q600" s="6">
        <v>13</v>
      </c>
      <c r="R600" s="6">
        <v>14</v>
      </c>
      <c r="S600" s="6">
        <v>41</v>
      </c>
      <c r="T600" s="6" t="str">
        <f t="shared" si="29"/>
        <v>Primera</v>
      </c>
    </row>
    <row r="601" spans="1:20" ht="24">
      <c r="A601" s="7" t="s">
        <v>1472</v>
      </c>
      <c r="B601" s="7" t="s">
        <v>434</v>
      </c>
      <c r="C601" s="8">
        <v>1</v>
      </c>
      <c r="D601" s="7" t="s">
        <v>1472</v>
      </c>
      <c r="E601" s="7" t="s">
        <v>1477</v>
      </c>
      <c r="F601">
        <v>2128</v>
      </c>
      <c r="G601" s="6">
        <v>21666</v>
      </c>
      <c r="H601" s="11" t="s">
        <v>1478</v>
      </c>
      <c r="I601" s="6">
        <v>26</v>
      </c>
      <c r="J601" s="6">
        <v>45</v>
      </c>
      <c r="K601" s="6">
        <v>147</v>
      </c>
      <c r="L601" s="6">
        <v>62</v>
      </c>
      <c r="M601" s="10">
        <f t="shared" si="27"/>
        <v>237.09677419354838</v>
      </c>
      <c r="N601" s="10">
        <f t="shared" si="28"/>
        <v>238</v>
      </c>
      <c r="O601" s="6" t="s">
        <v>147</v>
      </c>
      <c r="P601" s="6">
        <v>4</v>
      </c>
      <c r="Q601" s="6">
        <v>9</v>
      </c>
      <c r="R601" s="6">
        <v>4</v>
      </c>
      <c r="S601" s="6">
        <v>17</v>
      </c>
      <c r="T601" s="6" t="str">
        <f t="shared" si="29"/>
        <v>Primera</v>
      </c>
    </row>
    <row r="602" spans="1:20" ht="24">
      <c r="A602" s="7" t="s">
        <v>1472</v>
      </c>
      <c r="B602" s="7" t="s">
        <v>434</v>
      </c>
      <c r="C602" s="8">
        <v>1</v>
      </c>
      <c r="D602" s="7" t="s">
        <v>1472</v>
      </c>
      <c r="E602" s="7" t="s">
        <v>1479</v>
      </c>
      <c r="F602">
        <v>1858</v>
      </c>
      <c r="G602" s="6">
        <v>18911</v>
      </c>
      <c r="H602" s="11" t="s">
        <v>1480</v>
      </c>
      <c r="I602" s="6">
        <v>21</v>
      </c>
      <c r="J602" s="6">
        <v>6</v>
      </c>
      <c r="K602" s="6">
        <v>22</v>
      </c>
      <c r="L602" s="6">
        <v>65</v>
      </c>
      <c r="M602" s="10">
        <f t="shared" si="27"/>
        <v>33.846153846153847</v>
      </c>
      <c r="N602" s="10">
        <f t="shared" si="28"/>
        <v>34</v>
      </c>
      <c r="O602" s="6" t="s">
        <v>187</v>
      </c>
      <c r="P602" s="6">
        <v>0</v>
      </c>
      <c r="Q602" s="6">
        <v>0</v>
      </c>
      <c r="R602" s="6">
        <v>4</v>
      </c>
      <c r="S602" s="6">
        <v>4</v>
      </c>
      <c r="T602" s="6" t="str">
        <f t="shared" si="29"/>
        <v>Segunda</v>
      </c>
    </row>
    <row r="603" spans="1:20" ht="24">
      <c r="A603" s="7" t="s">
        <v>1472</v>
      </c>
      <c r="B603" s="7" t="s">
        <v>434</v>
      </c>
      <c r="C603" s="8">
        <v>1</v>
      </c>
      <c r="D603" s="7" t="s">
        <v>1472</v>
      </c>
      <c r="E603" s="7" t="s">
        <v>1481</v>
      </c>
      <c r="F603">
        <v>1815</v>
      </c>
      <c r="G603" s="6">
        <v>22718</v>
      </c>
      <c r="H603" s="11" t="s">
        <v>1482</v>
      </c>
      <c r="I603" s="6">
        <v>54</v>
      </c>
      <c r="J603" s="6">
        <v>47</v>
      </c>
      <c r="K603" s="6">
        <v>144</v>
      </c>
      <c r="L603" s="6">
        <v>53</v>
      </c>
      <c r="M603" s="10">
        <f t="shared" si="27"/>
        <v>271.69811320754718</v>
      </c>
      <c r="N603" s="10">
        <f t="shared" si="28"/>
        <v>272</v>
      </c>
      <c r="O603" s="6" t="s">
        <v>19</v>
      </c>
      <c r="P603" s="6">
        <v>2</v>
      </c>
      <c r="Q603" s="6">
        <v>4</v>
      </c>
      <c r="R603" s="6">
        <v>12</v>
      </c>
      <c r="S603" s="6">
        <v>18</v>
      </c>
      <c r="T603" s="6" t="str">
        <f t="shared" si="29"/>
        <v>Segunda</v>
      </c>
    </row>
    <row r="604" spans="1:20" ht="24">
      <c r="A604" s="7" t="s">
        <v>1472</v>
      </c>
      <c r="B604" s="7" t="s">
        <v>781</v>
      </c>
      <c r="C604" s="8">
        <v>1</v>
      </c>
      <c r="D604" s="7" t="s">
        <v>1472</v>
      </c>
      <c r="E604" s="7" t="s">
        <v>1479</v>
      </c>
      <c r="F604">
        <v>1858</v>
      </c>
      <c r="G604" s="6">
        <v>18911</v>
      </c>
      <c r="H604" s="11" t="s">
        <v>1480</v>
      </c>
      <c r="I604" s="6">
        <v>21</v>
      </c>
      <c r="J604" s="6">
        <v>6</v>
      </c>
      <c r="K604" s="6">
        <v>22</v>
      </c>
      <c r="L604" s="6">
        <v>65</v>
      </c>
      <c r="M604" s="10">
        <f t="shared" si="27"/>
        <v>33.846153846153847</v>
      </c>
      <c r="N604" s="10">
        <f t="shared" si="28"/>
        <v>34</v>
      </c>
      <c r="O604" s="6" t="s">
        <v>187</v>
      </c>
      <c r="P604" s="6">
        <v>0</v>
      </c>
      <c r="Q604" s="6">
        <v>0</v>
      </c>
      <c r="R604" s="6">
        <v>4</v>
      </c>
      <c r="S604" s="6">
        <v>4</v>
      </c>
      <c r="T604" s="6" t="str">
        <f t="shared" si="29"/>
        <v>Segunda</v>
      </c>
    </row>
    <row r="605" spans="1:20" ht="24">
      <c r="A605" s="7" t="s">
        <v>1472</v>
      </c>
      <c r="B605" s="7" t="s">
        <v>781</v>
      </c>
      <c r="C605" s="8">
        <v>1</v>
      </c>
      <c r="D605" s="7" t="s">
        <v>1472</v>
      </c>
      <c r="E605" s="7" t="s">
        <v>1483</v>
      </c>
      <c r="F605">
        <v>1881</v>
      </c>
      <c r="G605" s="6">
        <v>2513</v>
      </c>
      <c r="H605" s="11" t="s">
        <v>1484</v>
      </c>
      <c r="I605" s="6">
        <v>60</v>
      </c>
      <c r="J605" s="6">
        <v>64</v>
      </c>
      <c r="K605" s="6">
        <v>186</v>
      </c>
      <c r="L605" s="6">
        <v>54</v>
      </c>
      <c r="M605" s="10">
        <f t="shared" si="27"/>
        <v>344.44444444444446</v>
      </c>
      <c r="N605" s="10">
        <f t="shared" si="28"/>
        <v>345</v>
      </c>
      <c r="O605" s="6" t="s">
        <v>188</v>
      </c>
      <c r="P605" s="6">
        <v>6</v>
      </c>
      <c r="Q605" s="6">
        <v>7</v>
      </c>
      <c r="R605" s="6">
        <v>8</v>
      </c>
      <c r="S605" s="6">
        <v>21</v>
      </c>
      <c r="T605" s="6" t="str">
        <f t="shared" si="29"/>
        <v>Segunda</v>
      </c>
    </row>
    <row r="606" spans="1:20" ht="24">
      <c r="A606" s="7" t="s">
        <v>1472</v>
      </c>
      <c r="B606" s="7" t="s">
        <v>781</v>
      </c>
      <c r="C606" s="8">
        <v>1</v>
      </c>
      <c r="D606" s="7" t="s">
        <v>1472</v>
      </c>
      <c r="E606" s="7" t="s">
        <v>1485</v>
      </c>
      <c r="F606">
        <v>1830</v>
      </c>
      <c r="G606" s="6">
        <v>6736</v>
      </c>
      <c r="H606" s="11" t="s">
        <v>1486</v>
      </c>
      <c r="I606" s="6">
        <v>31</v>
      </c>
      <c r="J606" s="6">
        <v>37</v>
      </c>
      <c r="K606" s="6">
        <v>110</v>
      </c>
      <c r="L606" s="6">
        <v>57</v>
      </c>
      <c r="M606" s="10">
        <f t="shared" si="27"/>
        <v>192.98245614035088</v>
      </c>
      <c r="N606" s="10">
        <f t="shared" si="28"/>
        <v>193</v>
      </c>
      <c r="O606" s="6" t="s">
        <v>67</v>
      </c>
      <c r="P606" s="6">
        <v>3</v>
      </c>
      <c r="Q606" s="6">
        <v>1</v>
      </c>
      <c r="R606" s="6">
        <v>5</v>
      </c>
      <c r="S606" s="6">
        <v>9</v>
      </c>
      <c r="T606" s="6" t="str">
        <f t="shared" si="29"/>
        <v>Segunda</v>
      </c>
    </row>
    <row r="607" spans="1:20" ht="24">
      <c r="A607" s="7" t="s">
        <v>1472</v>
      </c>
      <c r="B607" s="7" t="s">
        <v>781</v>
      </c>
      <c r="C607" s="8">
        <v>1</v>
      </c>
      <c r="D607" s="7" t="s">
        <v>1472</v>
      </c>
      <c r="E607" s="7" t="s">
        <v>1481</v>
      </c>
      <c r="F607">
        <v>1815</v>
      </c>
      <c r="G607" s="6">
        <v>22718</v>
      </c>
      <c r="H607" s="11" t="s">
        <v>1482</v>
      </c>
      <c r="I607" s="6">
        <v>54</v>
      </c>
      <c r="J607" s="6">
        <v>47</v>
      </c>
      <c r="K607" s="6">
        <v>144</v>
      </c>
      <c r="L607" s="6">
        <v>53</v>
      </c>
      <c r="M607" s="10">
        <f t="shared" si="27"/>
        <v>271.69811320754718</v>
      </c>
      <c r="N607" s="10">
        <f t="shared" si="28"/>
        <v>272</v>
      </c>
      <c r="O607" s="6" t="s">
        <v>19</v>
      </c>
      <c r="P607" s="6">
        <v>2</v>
      </c>
      <c r="Q607" s="6">
        <v>4</v>
      </c>
      <c r="R607" s="6">
        <v>12</v>
      </c>
      <c r="S607" s="6">
        <v>18</v>
      </c>
      <c r="T607" s="6" t="str">
        <f t="shared" si="29"/>
        <v>Segunda</v>
      </c>
    </row>
    <row r="608" spans="1:20" ht="24">
      <c r="A608" s="7" t="s">
        <v>1472</v>
      </c>
      <c r="B608" s="7" t="s">
        <v>781</v>
      </c>
      <c r="C608" s="8">
        <v>1</v>
      </c>
      <c r="D608" s="7" t="s">
        <v>1472</v>
      </c>
      <c r="E608" s="7" t="s">
        <v>1487</v>
      </c>
      <c r="F608">
        <v>1480</v>
      </c>
      <c r="G608" s="6">
        <v>22300</v>
      </c>
      <c r="H608" s="11" t="s">
        <v>1488</v>
      </c>
      <c r="I608" s="6">
        <v>15</v>
      </c>
      <c r="J608" s="6">
        <v>33</v>
      </c>
      <c r="K608" s="6">
        <v>92</v>
      </c>
      <c r="L608" s="6">
        <v>56</v>
      </c>
      <c r="M608" s="10">
        <f t="shared" si="27"/>
        <v>164.28571428571428</v>
      </c>
      <c r="N608" s="10">
        <f t="shared" si="28"/>
        <v>165</v>
      </c>
      <c r="O608" s="6" t="s">
        <v>89</v>
      </c>
      <c r="P608" s="6">
        <v>7</v>
      </c>
      <c r="Q608" s="6">
        <v>1</v>
      </c>
      <c r="R608" s="6">
        <v>5</v>
      </c>
      <c r="S608" s="6">
        <v>13</v>
      </c>
      <c r="T608" s="6" t="str">
        <f t="shared" si="29"/>
        <v>Cuarta</v>
      </c>
    </row>
    <row r="609" spans="1:20" ht="24">
      <c r="A609" s="7" t="s">
        <v>1472</v>
      </c>
      <c r="B609" s="7" t="s">
        <v>781</v>
      </c>
      <c r="C609" s="8">
        <v>1</v>
      </c>
      <c r="D609" s="7" t="s">
        <v>1472</v>
      </c>
      <c r="E609" s="7" t="s">
        <v>1489</v>
      </c>
      <c r="F609">
        <v>1698</v>
      </c>
      <c r="G609" s="6">
        <v>4682</v>
      </c>
      <c r="H609" s="11" t="s">
        <v>1490</v>
      </c>
      <c r="I609" s="6">
        <v>30</v>
      </c>
      <c r="J609" s="6">
        <v>38</v>
      </c>
      <c r="K609" s="6">
        <v>82</v>
      </c>
      <c r="L609" s="6">
        <v>56</v>
      </c>
      <c r="M609" s="10">
        <f t="shared" si="27"/>
        <v>146.42857142857142</v>
      </c>
      <c r="N609" s="10">
        <f t="shared" si="28"/>
        <v>147</v>
      </c>
      <c r="O609" s="6" t="s">
        <v>37</v>
      </c>
      <c r="P609" s="6">
        <v>5</v>
      </c>
      <c r="Q609" s="6">
        <v>0</v>
      </c>
      <c r="R609" s="6">
        <v>5</v>
      </c>
      <c r="S609" s="6">
        <v>10</v>
      </c>
      <c r="T609" s="6" t="str">
        <f t="shared" si="29"/>
        <v>Tercera</v>
      </c>
    </row>
    <row r="610" spans="1:20" ht="24">
      <c r="A610" s="7" t="s">
        <v>1472</v>
      </c>
      <c r="B610" s="7" t="s">
        <v>781</v>
      </c>
      <c r="C610" s="8">
        <v>1</v>
      </c>
      <c r="D610" s="7" t="s">
        <v>1472</v>
      </c>
      <c r="E610" s="7" t="s">
        <v>1491</v>
      </c>
      <c r="F610">
        <v>1426</v>
      </c>
      <c r="G610" s="6">
        <v>25484</v>
      </c>
      <c r="H610" s="11" t="s">
        <v>1492</v>
      </c>
      <c r="I610" s="6">
        <v>52</v>
      </c>
      <c r="J610" s="6">
        <v>25</v>
      </c>
      <c r="K610" s="6">
        <v>80</v>
      </c>
      <c r="L610" s="6">
        <v>64</v>
      </c>
      <c r="M610" s="10">
        <f t="shared" si="27"/>
        <v>125</v>
      </c>
      <c r="N610" s="10">
        <f t="shared" si="28"/>
        <v>125</v>
      </c>
      <c r="O610" s="6" t="s">
        <v>19</v>
      </c>
      <c r="P610" s="6">
        <v>4</v>
      </c>
      <c r="Q610" s="6">
        <v>1</v>
      </c>
      <c r="R610" s="6">
        <v>5</v>
      </c>
      <c r="S610" s="6">
        <v>10</v>
      </c>
      <c r="T610" s="6" t="str">
        <f t="shared" si="29"/>
        <v>Cuarta</v>
      </c>
    </row>
    <row r="611" spans="1:20" ht="24">
      <c r="A611" s="7" t="s">
        <v>1472</v>
      </c>
      <c r="B611" s="7" t="s">
        <v>496</v>
      </c>
      <c r="C611" s="8">
        <v>1</v>
      </c>
      <c r="D611" s="7" t="s">
        <v>1472</v>
      </c>
      <c r="E611" s="7" t="s">
        <v>1489</v>
      </c>
      <c r="F611">
        <v>1698</v>
      </c>
      <c r="G611" s="6">
        <v>4682</v>
      </c>
      <c r="H611" s="11" t="s">
        <v>1490</v>
      </c>
      <c r="I611" s="6">
        <v>30</v>
      </c>
      <c r="J611" s="6">
        <v>38</v>
      </c>
      <c r="K611" s="6">
        <v>82</v>
      </c>
      <c r="L611" s="6">
        <v>56</v>
      </c>
      <c r="M611" s="10">
        <f t="shared" si="27"/>
        <v>146.42857142857142</v>
      </c>
      <c r="N611" s="10">
        <f t="shared" si="28"/>
        <v>147</v>
      </c>
      <c r="O611" s="6" t="s">
        <v>37</v>
      </c>
      <c r="P611" s="6">
        <v>5</v>
      </c>
      <c r="Q611" s="6">
        <v>0</v>
      </c>
      <c r="R611" s="6">
        <v>5</v>
      </c>
      <c r="S611" s="6">
        <v>10</v>
      </c>
      <c r="T611" s="6" t="str">
        <f t="shared" si="29"/>
        <v>Tercera</v>
      </c>
    </row>
    <row r="612" spans="1:20" ht="24">
      <c r="A612" s="7" t="s">
        <v>1472</v>
      </c>
      <c r="B612" s="7" t="s">
        <v>496</v>
      </c>
      <c r="C612" s="8">
        <v>1</v>
      </c>
      <c r="D612" s="7" t="s">
        <v>1472</v>
      </c>
      <c r="E612" s="7" t="s">
        <v>1491</v>
      </c>
      <c r="F612">
        <v>1426</v>
      </c>
      <c r="G612" s="6">
        <v>25484</v>
      </c>
      <c r="H612" s="11" t="s">
        <v>1492</v>
      </c>
      <c r="I612" s="6">
        <v>52</v>
      </c>
      <c r="J612" s="6">
        <v>25</v>
      </c>
      <c r="K612" s="6">
        <v>80</v>
      </c>
      <c r="L612" s="6">
        <v>64</v>
      </c>
      <c r="M612" s="10">
        <f t="shared" si="27"/>
        <v>125</v>
      </c>
      <c r="N612" s="10">
        <f t="shared" si="28"/>
        <v>125</v>
      </c>
      <c r="O612" s="6" t="s">
        <v>19</v>
      </c>
      <c r="P612" s="6">
        <v>4</v>
      </c>
      <c r="Q612" s="6">
        <v>1</v>
      </c>
      <c r="R612" s="6">
        <v>5</v>
      </c>
      <c r="S612" s="6">
        <v>10</v>
      </c>
      <c r="T612" s="6" t="str">
        <f t="shared" si="29"/>
        <v>Cuarta</v>
      </c>
    </row>
    <row r="613" spans="1:20" ht="24">
      <c r="A613" s="7" t="s">
        <v>1472</v>
      </c>
      <c r="B613" s="7" t="s">
        <v>496</v>
      </c>
      <c r="C613" s="8">
        <v>1</v>
      </c>
      <c r="D613" s="7" t="s">
        <v>1472</v>
      </c>
      <c r="E613" s="7" t="s">
        <v>1493</v>
      </c>
      <c r="F613">
        <v>1434</v>
      </c>
      <c r="G613" s="6">
        <v>11194</v>
      </c>
      <c r="H613" s="11" t="s">
        <v>1494</v>
      </c>
      <c r="I613" s="6">
        <v>66</v>
      </c>
      <c r="J613" s="6">
        <v>454</v>
      </c>
      <c r="K613" s="6">
        <v>1217</v>
      </c>
      <c r="L613" s="6">
        <v>56</v>
      </c>
      <c r="M613" s="10">
        <f t="shared" si="27"/>
        <v>2173.2142857142858</v>
      </c>
      <c r="N613" s="10">
        <f t="shared" si="28"/>
        <v>2174</v>
      </c>
      <c r="O613" s="6" t="s">
        <v>12</v>
      </c>
      <c r="P613" s="6">
        <v>41</v>
      </c>
      <c r="Q613" s="6">
        <v>34</v>
      </c>
      <c r="R613" s="6">
        <v>84</v>
      </c>
      <c r="S613" s="6">
        <v>159</v>
      </c>
      <c r="T613" s="6" t="str">
        <f t="shared" si="29"/>
        <v>Cuarta</v>
      </c>
    </row>
    <row r="614" spans="1:20" ht="24">
      <c r="A614" s="7" t="s">
        <v>1472</v>
      </c>
      <c r="B614" s="7" t="s">
        <v>496</v>
      </c>
      <c r="C614" s="8">
        <v>1</v>
      </c>
      <c r="D614" s="7" t="s">
        <v>1472</v>
      </c>
      <c r="E614" s="7" t="s">
        <v>1495</v>
      </c>
      <c r="F614">
        <v>1320</v>
      </c>
      <c r="G614" s="6">
        <v>15839</v>
      </c>
      <c r="H614" s="11" t="s">
        <v>1496</v>
      </c>
      <c r="I614" s="6">
        <v>67</v>
      </c>
      <c r="J614" s="6">
        <v>273</v>
      </c>
      <c r="K614" s="6">
        <v>677</v>
      </c>
      <c r="L614" s="6">
        <v>40</v>
      </c>
      <c r="M614" s="10">
        <f t="shared" si="27"/>
        <v>1692.5</v>
      </c>
      <c r="N614" s="10">
        <f t="shared" si="28"/>
        <v>1693</v>
      </c>
      <c r="O614" s="6" t="s">
        <v>70</v>
      </c>
      <c r="P614" s="6">
        <v>11</v>
      </c>
      <c r="Q614" s="6">
        <v>16</v>
      </c>
      <c r="R614" s="6">
        <v>43</v>
      </c>
      <c r="S614" s="6">
        <v>70</v>
      </c>
      <c r="T614" s="6" t="str">
        <f t="shared" si="29"/>
        <v>Quinta</v>
      </c>
    </row>
    <row r="615" spans="1:20" ht="24">
      <c r="A615" s="7" t="s">
        <v>1472</v>
      </c>
      <c r="B615" s="7" t="s">
        <v>496</v>
      </c>
      <c r="C615" s="8">
        <v>1</v>
      </c>
      <c r="D615" s="7" t="s">
        <v>1472</v>
      </c>
      <c r="E615" s="7" t="s">
        <v>1497</v>
      </c>
      <c r="F615">
        <v>1380</v>
      </c>
      <c r="G615" s="6">
        <v>5883</v>
      </c>
      <c r="H615" s="11" t="s">
        <v>1498</v>
      </c>
      <c r="I615" s="6">
        <v>50</v>
      </c>
      <c r="J615" s="6">
        <v>1</v>
      </c>
      <c r="K615" s="6">
        <v>1</v>
      </c>
      <c r="L615" s="6">
        <v>33</v>
      </c>
      <c r="M615" s="10">
        <f t="shared" si="27"/>
        <v>3.0303030303030303</v>
      </c>
      <c r="N615" s="10">
        <f t="shared" si="28"/>
        <v>4</v>
      </c>
      <c r="O615" s="6" t="s">
        <v>189</v>
      </c>
      <c r="P615" s="6">
        <v>0</v>
      </c>
      <c r="Q615" s="6">
        <v>0</v>
      </c>
      <c r="R615" s="6">
        <v>0</v>
      </c>
      <c r="S615" s="6">
        <v>0</v>
      </c>
      <c r="T615" s="6" t="str">
        <f t="shared" si="29"/>
        <v>Quinta</v>
      </c>
    </row>
    <row r="616" spans="1:20" ht="24">
      <c r="A616" s="7" t="s">
        <v>1472</v>
      </c>
      <c r="B616" s="7" t="s">
        <v>496</v>
      </c>
      <c r="C616" s="8">
        <v>1</v>
      </c>
      <c r="D616" s="7" t="s">
        <v>1472</v>
      </c>
      <c r="E616" s="7" t="s">
        <v>1499</v>
      </c>
      <c r="F616">
        <v>1000</v>
      </c>
      <c r="G616" s="6">
        <v>7788</v>
      </c>
      <c r="H616" s="11" t="s">
        <v>1500</v>
      </c>
      <c r="I616" s="6">
        <v>38</v>
      </c>
      <c r="J616" s="6">
        <v>0</v>
      </c>
      <c r="K616" s="6">
        <v>0</v>
      </c>
      <c r="L616" s="6">
        <v>0</v>
      </c>
      <c r="M616" s="10">
        <f t="shared" si="27"/>
        <v>0</v>
      </c>
      <c r="N616" s="10">
        <f t="shared" si="28"/>
        <v>0</v>
      </c>
      <c r="P616" s="6">
        <v>0</v>
      </c>
      <c r="Q616" s="6">
        <v>0</v>
      </c>
      <c r="R616" s="6">
        <v>0</v>
      </c>
      <c r="S616" s="6">
        <v>0</v>
      </c>
      <c r="T616" s="6" t="str">
        <f t="shared" si="29"/>
        <v>Septima</v>
      </c>
    </row>
    <row r="617" spans="1:20" ht="24">
      <c r="A617" s="7" t="s">
        <v>1472</v>
      </c>
      <c r="B617" s="7" t="s">
        <v>507</v>
      </c>
      <c r="C617" s="8">
        <v>1</v>
      </c>
      <c r="D617" s="7" t="s">
        <v>1472</v>
      </c>
      <c r="E617" s="7" t="s">
        <v>1501</v>
      </c>
      <c r="F617">
        <v>1275</v>
      </c>
      <c r="G617" s="6">
        <v>22214</v>
      </c>
      <c r="H617" s="11" t="s">
        <v>1502</v>
      </c>
      <c r="I617" s="6">
        <v>28</v>
      </c>
      <c r="J617" s="6">
        <v>27</v>
      </c>
      <c r="K617" s="6">
        <v>66</v>
      </c>
      <c r="L617" s="6">
        <v>54</v>
      </c>
      <c r="M617" s="10">
        <f t="shared" si="27"/>
        <v>122.22222222222223</v>
      </c>
      <c r="N617" s="10">
        <f t="shared" si="28"/>
        <v>123</v>
      </c>
      <c r="O617" s="6" t="s">
        <v>12</v>
      </c>
      <c r="P617" s="6">
        <v>2</v>
      </c>
      <c r="Q617" s="6">
        <v>1</v>
      </c>
      <c r="R617" s="6">
        <v>5</v>
      </c>
      <c r="S617" s="6">
        <v>8</v>
      </c>
      <c r="T617" s="6" t="str">
        <f t="shared" si="29"/>
        <v>Quinta</v>
      </c>
    </row>
    <row r="618" spans="1:20" ht="24">
      <c r="A618" s="7" t="s">
        <v>1472</v>
      </c>
      <c r="B618" s="7" t="s">
        <v>507</v>
      </c>
      <c r="C618" s="8">
        <v>1</v>
      </c>
      <c r="D618" s="7" t="s">
        <v>1472</v>
      </c>
      <c r="E618" s="7" t="s">
        <v>1503</v>
      </c>
      <c r="F618">
        <v>1353</v>
      </c>
      <c r="G618" s="6">
        <v>20156</v>
      </c>
      <c r="H618" s="11" t="s">
        <v>1504</v>
      </c>
      <c r="I618" s="6">
        <v>61</v>
      </c>
      <c r="J618" s="6">
        <v>91</v>
      </c>
      <c r="K618" s="6">
        <v>207</v>
      </c>
      <c r="L618" s="6">
        <v>54</v>
      </c>
      <c r="M618" s="10">
        <f t="shared" si="27"/>
        <v>383.33333333333331</v>
      </c>
      <c r="N618" s="10">
        <f t="shared" si="28"/>
        <v>384</v>
      </c>
      <c r="O618" s="6" t="s">
        <v>43</v>
      </c>
      <c r="P618" s="6">
        <v>3</v>
      </c>
      <c r="Q618" s="6">
        <v>5</v>
      </c>
      <c r="R618" s="6">
        <v>13</v>
      </c>
      <c r="S618" s="6">
        <v>21</v>
      </c>
      <c r="T618" s="6" t="str">
        <f t="shared" si="29"/>
        <v>Quinta</v>
      </c>
    </row>
    <row r="619" spans="1:20" ht="24">
      <c r="A619" s="7" t="s">
        <v>1472</v>
      </c>
      <c r="B619" s="7" t="s">
        <v>507</v>
      </c>
      <c r="C619" s="8">
        <v>1</v>
      </c>
      <c r="D619" s="7" t="s">
        <v>1472</v>
      </c>
      <c r="E619" s="7" t="s">
        <v>1505</v>
      </c>
      <c r="F619">
        <v>1300</v>
      </c>
      <c r="G619" s="6">
        <v>14200</v>
      </c>
      <c r="H619" s="11" t="s">
        <v>1506</v>
      </c>
      <c r="I619" s="6">
        <v>73</v>
      </c>
      <c r="J619" s="6">
        <v>9</v>
      </c>
      <c r="K619" s="6">
        <v>17</v>
      </c>
      <c r="L619" s="6">
        <v>50</v>
      </c>
      <c r="M619" s="10">
        <f t="shared" si="27"/>
        <v>34</v>
      </c>
      <c r="N619" s="10">
        <f t="shared" si="28"/>
        <v>34</v>
      </c>
      <c r="O619" s="6" t="s">
        <v>190</v>
      </c>
      <c r="P619" s="6">
        <v>1</v>
      </c>
      <c r="Q619" s="6">
        <v>0</v>
      </c>
      <c r="R619" s="6">
        <v>3</v>
      </c>
      <c r="S619" s="6">
        <v>4</v>
      </c>
      <c r="T619" s="6" t="str">
        <f t="shared" si="29"/>
        <v>Quinta</v>
      </c>
    </row>
    <row r="620" spans="1:20" ht="24">
      <c r="A620" s="7" t="s">
        <v>1472</v>
      </c>
      <c r="B620" s="7" t="s">
        <v>507</v>
      </c>
      <c r="C620" s="8">
        <v>1</v>
      </c>
      <c r="D620" s="7" t="s">
        <v>1472</v>
      </c>
      <c r="E620" s="7" t="s">
        <v>1495</v>
      </c>
      <c r="F620">
        <v>1320</v>
      </c>
      <c r="G620" s="6">
        <v>15839</v>
      </c>
      <c r="H620" s="11" t="s">
        <v>1496</v>
      </c>
      <c r="I620" s="6">
        <v>67</v>
      </c>
      <c r="J620" s="6">
        <v>273</v>
      </c>
      <c r="K620" s="6">
        <v>677</v>
      </c>
      <c r="L620" s="6">
        <v>40</v>
      </c>
      <c r="M620" s="10">
        <f t="shared" si="27"/>
        <v>1692.5</v>
      </c>
      <c r="N620" s="10">
        <f t="shared" si="28"/>
        <v>1693</v>
      </c>
      <c r="O620" s="6" t="s">
        <v>70</v>
      </c>
      <c r="P620" s="6">
        <v>11</v>
      </c>
      <c r="Q620" s="6">
        <v>16</v>
      </c>
      <c r="R620" s="6">
        <v>43</v>
      </c>
      <c r="S620" s="6">
        <v>70</v>
      </c>
      <c r="T620" s="6" t="str">
        <f t="shared" si="29"/>
        <v>Quinta</v>
      </c>
    </row>
    <row r="621" spans="1:20" ht="24">
      <c r="A621" s="7" t="s">
        <v>1472</v>
      </c>
      <c r="B621" s="7" t="s">
        <v>507</v>
      </c>
      <c r="C621" s="8">
        <v>1</v>
      </c>
      <c r="D621" s="7" t="s">
        <v>1472</v>
      </c>
      <c r="E621" s="7" t="s">
        <v>1507</v>
      </c>
      <c r="F621">
        <v>1084</v>
      </c>
      <c r="G621" s="6">
        <v>24170</v>
      </c>
      <c r="H621" s="11" t="s">
        <v>1508</v>
      </c>
      <c r="I621" s="6">
        <v>39</v>
      </c>
      <c r="J621" s="6">
        <v>43</v>
      </c>
      <c r="K621" s="6">
        <v>98</v>
      </c>
      <c r="L621" s="6">
        <v>51</v>
      </c>
      <c r="M621" s="10">
        <f t="shared" si="27"/>
        <v>192.15686274509804</v>
      </c>
      <c r="N621" s="10">
        <f t="shared" si="28"/>
        <v>193</v>
      </c>
      <c r="O621" s="6" t="s">
        <v>48</v>
      </c>
      <c r="P621" s="6">
        <v>4</v>
      </c>
      <c r="Q621" s="6">
        <v>2</v>
      </c>
      <c r="R621" s="6">
        <v>5</v>
      </c>
      <c r="S621" s="6">
        <v>11</v>
      </c>
      <c r="T621" s="6" t="str">
        <f t="shared" si="29"/>
        <v>Sexta</v>
      </c>
    </row>
    <row r="622" spans="1:20" ht="24">
      <c r="A622" s="7" t="s">
        <v>1472</v>
      </c>
      <c r="B622" s="7" t="s">
        <v>507</v>
      </c>
      <c r="C622" s="8">
        <v>1</v>
      </c>
      <c r="D622" s="7" t="s">
        <v>1472</v>
      </c>
      <c r="E622" s="7" t="s">
        <v>1497</v>
      </c>
      <c r="F622">
        <v>1380</v>
      </c>
      <c r="G622" s="6">
        <v>5883</v>
      </c>
      <c r="H622" s="11" t="s">
        <v>1498</v>
      </c>
      <c r="I622" s="6">
        <v>50</v>
      </c>
      <c r="J622" s="6">
        <v>1</v>
      </c>
      <c r="K622" s="6">
        <v>1</v>
      </c>
      <c r="L622" s="6">
        <v>33</v>
      </c>
      <c r="M622" s="10">
        <f t="shared" si="27"/>
        <v>3.0303030303030303</v>
      </c>
      <c r="N622" s="10">
        <f t="shared" si="28"/>
        <v>4</v>
      </c>
      <c r="O622" s="6" t="s">
        <v>189</v>
      </c>
      <c r="P622" s="6">
        <v>0</v>
      </c>
      <c r="Q622" s="6">
        <v>0</v>
      </c>
      <c r="R622" s="6">
        <v>0</v>
      </c>
      <c r="S622" s="6">
        <v>0</v>
      </c>
      <c r="T622" s="6" t="str">
        <f t="shared" si="29"/>
        <v>Quinta</v>
      </c>
    </row>
    <row r="623" spans="1:20" ht="24">
      <c r="A623" s="7" t="s">
        <v>1472</v>
      </c>
      <c r="B623" s="7" t="s">
        <v>507</v>
      </c>
      <c r="C623" s="8">
        <v>1</v>
      </c>
      <c r="D623" s="7" t="s">
        <v>1472</v>
      </c>
      <c r="E623" s="7" t="s">
        <v>1499</v>
      </c>
      <c r="F623">
        <v>1000</v>
      </c>
      <c r="G623" s="6">
        <v>7788</v>
      </c>
      <c r="H623" s="11" t="s">
        <v>1500</v>
      </c>
      <c r="I623" s="6">
        <v>38</v>
      </c>
      <c r="J623" s="6">
        <v>0</v>
      </c>
      <c r="K623" s="6">
        <v>0</v>
      </c>
      <c r="L623" s="6">
        <v>0</v>
      </c>
      <c r="M623" s="10">
        <f t="shared" si="27"/>
        <v>0</v>
      </c>
      <c r="N623" s="10">
        <f t="shared" si="28"/>
        <v>0</v>
      </c>
      <c r="P623" s="6">
        <v>0</v>
      </c>
      <c r="Q623" s="6">
        <v>0</v>
      </c>
      <c r="R623" s="6">
        <v>0</v>
      </c>
      <c r="S623" s="6">
        <v>0</v>
      </c>
      <c r="T623" s="6" t="str">
        <f t="shared" si="29"/>
        <v>Septima</v>
      </c>
    </row>
    <row r="624" spans="1:20" ht="24">
      <c r="A624" s="7" t="s">
        <v>1472</v>
      </c>
      <c r="B624" s="7" t="s">
        <v>507</v>
      </c>
      <c r="C624" s="8">
        <v>1</v>
      </c>
      <c r="D624" s="7" t="s">
        <v>1472</v>
      </c>
      <c r="E624" s="7" t="s">
        <v>1509</v>
      </c>
      <c r="F624">
        <v>956</v>
      </c>
      <c r="G624" s="6">
        <v>29139</v>
      </c>
      <c r="H624" s="11" t="s">
        <v>1510</v>
      </c>
      <c r="I624" s="6">
        <v>11</v>
      </c>
      <c r="J624" s="6">
        <v>4</v>
      </c>
      <c r="K624" s="6">
        <v>7</v>
      </c>
      <c r="L624" s="6">
        <v>35</v>
      </c>
      <c r="M624" s="10">
        <f t="shared" si="27"/>
        <v>20</v>
      </c>
      <c r="N624" s="10">
        <f t="shared" si="28"/>
        <v>20</v>
      </c>
      <c r="O624" s="6" t="s">
        <v>20</v>
      </c>
      <c r="P624" s="6">
        <v>0</v>
      </c>
      <c r="Q624" s="6">
        <v>1</v>
      </c>
      <c r="R624" s="6">
        <v>1</v>
      </c>
      <c r="S624" s="6">
        <v>2</v>
      </c>
      <c r="T624" s="6" t="str">
        <f t="shared" si="29"/>
        <v>Octava</v>
      </c>
    </row>
    <row r="625" spans="1:20">
      <c r="A625" s="7" t="s">
        <v>1511</v>
      </c>
      <c r="B625" s="7" t="s">
        <v>496</v>
      </c>
      <c r="C625" s="8">
        <v>1</v>
      </c>
      <c r="D625" s="7" t="s">
        <v>1511</v>
      </c>
      <c r="E625" s="7" t="s">
        <v>1512</v>
      </c>
      <c r="F625">
        <v>1254</v>
      </c>
      <c r="G625" s="6">
        <v>59</v>
      </c>
      <c r="H625" s="11" t="s">
        <v>1513</v>
      </c>
      <c r="I625" s="6">
        <v>72</v>
      </c>
      <c r="J625" s="6">
        <v>477</v>
      </c>
      <c r="K625" s="6">
        <v>1250</v>
      </c>
      <c r="L625" s="6">
        <v>45</v>
      </c>
      <c r="M625" s="10">
        <f t="shared" si="27"/>
        <v>2777.7777777777778</v>
      </c>
      <c r="N625" s="10">
        <f t="shared" si="28"/>
        <v>2778</v>
      </c>
      <c r="O625" s="6" t="s">
        <v>26</v>
      </c>
      <c r="P625" s="6">
        <v>15</v>
      </c>
      <c r="Q625" s="6">
        <v>33</v>
      </c>
      <c r="R625" s="6">
        <v>54</v>
      </c>
      <c r="S625" s="6">
        <v>102</v>
      </c>
      <c r="T625" s="6" t="str">
        <f t="shared" si="29"/>
        <v>Quinta</v>
      </c>
    </row>
    <row r="626" spans="1:20">
      <c r="A626" s="7" t="s">
        <v>1511</v>
      </c>
      <c r="B626" s="7" t="s">
        <v>496</v>
      </c>
      <c r="C626" s="8">
        <v>1</v>
      </c>
      <c r="D626" s="7" t="s">
        <v>1511</v>
      </c>
      <c r="E626" s="7" t="s">
        <v>1514</v>
      </c>
      <c r="F626">
        <v>1637</v>
      </c>
      <c r="G626" s="6">
        <v>2179</v>
      </c>
      <c r="H626" s="11" t="s">
        <v>1515</v>
      </c>
      <c r="I626" s="6">
        <v>41</v>
      </c>
      <c r="J626" s="6">
        <v>110</v>
      </c>
      <c r="K626" s="6">
        <v>272</v>
      </c>
      <c r="L626" s="6">
        <v>55</v>
      </c>
      <c r="M626" s="10">
        <f t="shared" si="27"/>
        <v>494.54545454545456</v>
      </c>
      <c r="N626" s="10">
        <f t="shared" si="28"/>
        <v>495</v>
      </c>
      <c r="O626" s="6" t="s">
        <v>37</v>
      </c>
      <c r="P626" s="6">
        <v>7</v>
      </c>
      <c r="Q626" s="6">
        <v>7</v>
      </c>
      <c r="R626" s="6">
        <v>17</v>
      </c>
      <c r="S626" s="6">
        <v>31</v>
      </c>
      <c r="T626" s="6" t="str">
        <f t="shared" si="29"/>
        <v>Tercera</v>
      </c>
    </row>
    <row r="627" spans="1:20">
      <c r="A627" s="7" t="s">
        <v>1511</v>
      </c>
      <c r="B627" s="7" t="s">
        <v>496</v>
      </c>
      <c r="C627" s="8">
        <v>1</v>
      </c>
      <c r="D627" s="7" t="s">
        <v>1511</v>
      </c>
      <c r="E627" s="7" t="s">
        <v>1516</v>
      </c>
      <c r="F627">
        <v>1393</v>
      </c>
      <c r="G627" s="6">
        <v>25979</v>
      </c>
      <c r="H627" s="11" t="s">
        <v>1517</v>
      </c>
      <c r="I627" s="6">
        <v>56</v>
      </c>
      <c r="J627" s="6">
        <v>71</v>
      </c>
      <c r="K627" s="6">
        <v>168</v>
      </c>
      <c r="L627" s="6">
        <v>48</v>
      </c>
      <c r="M627" s="10">
        <f t="shared" si="27"/>
        <v>350</v>
      </c>
      <c r="N627" s="10">
        <f t="shared" si="28"/>
        <v>350</v>
      </c>
      <c r="O627" s="6" t="s">
        <v>12</v>
      </c>
      <c r="P627" s="6">
        <v>6</v>
      </c>
      <c r="Q627" s="6">
        <v>5</v>
      </c>
      <c r="R627" s="6">
        <v>8</v>
      </c>
      <c r="S627" s="6">
        <v>19</v>
      </c>
      <c r="T627" s="6" t="str">
        <f t="shared" si="29"/>
        <v>Quinta</v>
      </c>
    </row>
    <row r="628" spans="1:20">
      <c r="A628" s="7" t="s">
        <v>1511</v>
      </c>
      <c r="B628" s="7" t="s">
        <v>496</v>
      </c>
      <c r="C628" s="8">
        <v>1</v>
      </c>
      <c r="D628" s="7" t="s">
        <v>1511</v>
      </c>
      <c r="E628" s="7" t="s">
        <v>1518</v>
      </c>
      <c r="F628">
        <v>1250</v>
      </c>
      <c r="G628" s="6">
        <v>14450</v>
      </c>
      <c r="H628" s="11" t="s">
        <v>1519</v>
      </c>
      <c r="I628" s="6">
        <v>26</v>
      </c>
      <c r="J628" s="6">
        <v>59</v>
      </c>
      <c r="K628" s="6">
        <v>171</v>
      </c>
      <c r="L628" s="6">
        <v>58</v>
      </c>
      <c r="M628" s="10">
        <f t="shared" si="27"/>
        <v>294.82758620689657</v>
      </c>
      <c r="N628" s="10">
        <f t="shared" si="28"/>
        <v>295</v>
      </c>
      <c r="O628" s="6" t="s">
        <v>191</v>
      </c>
      <c r="P628" s="6">
        <v>10</v>
      </c>
      <c r="Q628" s="6">
        <v>3</v>
      </c>
      <c r="R628" s="6">
        <v>16</v>
      </c>
      <c r="S628" s="6">
        <v>29</v>
      </c>
      <c r="T628" s="6" t="str">
        <f t="shared" si="29"/>
        <v>Quinta</v>
      </c>
    </row>
    <row r="629" spans="1:20">
      <c r="A629" s="7" t="s">
        <v>1511</v>
      </c>
      <c r="B629" s="7" t="s">
        <v>496</v>
      </c>
      <c r="C629" s="8">
        <v>1</v>
      </c>
      <c r="D629" s="7" t="s">
        <v>1511</v>
      </c>
      <c r="E629" s="7" t="s">
        <v>1520</v>
      </c>
      <c r="F629">
        <v>1336</v>
      </c>
      <c r="G629" s="6">
        <v>23691</v>
      </c>
      <c r="H629" s="11" t="s">
        <v>1521</v>
      </c>
      <c r="I629" s="6">
        <v>33</v>
      </c>
      <c r="J629" s="6">
        <v>29</v>
      </c>
      <c r="K629" s="6">
        <v>58</v>
      </c>
      <c r="L629" s="6">
        <v>55</v>
      </c>
      <c r="M629" s="10">
        <f t="shared" si="27"/>
        <v>105.45454545454545</v>
      </c>
      <c r="N629" s="10">
        <f t="shared" si="28"/>
        <v>106</v>
      </c>
      <c r="O629" s="6" t="s">
        <v>37</v>
      </c>
      <c r="P629" s="6">
        <v>3</v>
      </c>
      <c r="Q629" s="6">
        <v>1</v>
      </c>
      <c r="R629" s="6">
        <v>2</v>
      </c>
      <c r="S629" s="6">
        <v>6</v>
      </c>
      <c r="T629" s="6" t="str">
        <f t="shared" si="29"/>
        <v>Quinta</v>
      </c>
    </row>
    <row r="630" spans="1:20">
      <c r="A630" s="7" t="s">
        <v>1511</v>
      </c>
      <c r="B630" s="7" t="s">
        <v>496</v>
      </c>
      <c r="C630" s="8">
        <v>1</v>
      </c>
      <c r="D630" s="7" t="s">
        <v>1511</v>
      </c>
      <c r="E630" s="7" t="s">
        <v>1522</v>
      </c>
      <c r="F630">
        <v>1208</v>
      </c>
      <c r="G630" s="6">
        <v>28457</v>
      </c>
      <c r="H630" s="11" t="s">
        <v>1523</v>
      </c>
      <c r="I630" s="6">
        <v>44</v>
      </c>
      <c r="J630" s="6">
        <v>4</v>
      </c>
      <c r="K630" s="6">
        <v>10</v>
      </c>
      <c r="L630" s="6">
        <v>63</v>
      </c>
      <c r="M630" s="10">
        <f t="shared" si="27"/>
        <v>15.873015873015873</v>
      </c>
      <c r="N630" s="10">
        <f t="shared" si="28"/>
        <v>16</v>
      </c>
      <c r="O630" s="6" t="s">
        <v>192</v>
      </c>
      <c r="P630" s="6">
        <v>1</v>
      </c>
      <c r="Q630" s="6">
        <v>0</v>
      </c>
      <c r="R630" s="6">
        <v>0</v>
      </c>
      <c r="S630" s="6">
        <v>1</v>
      </c>
      <c r="T630" s="6" t="str">
        <f t="shared" si="29"/>
        <v>Quinta</v>
      </c>
    </row>
    <row r="631" spans="1:20">
      <c r="A631" s="7" t="s">
        <v>1511</v>
      </c>
      <c r="B631" s="7" t="s">
        <v>496</v>
      </c>
      <c r="C631" s="8">
        <v>1</v>
      </c>
      <c r="D631" s="7" t="s">
        <v>1511</v>
      </c>
      <c r="E631" s="7" t="s">
        <v>1524</v>
      </c>
      <c r="F631">
        <v>1250</v>
      </c>
      <c r="G631" s="6">
        <v>14451</v>
      </c>
      <c r="H631" s="11" t="s">
        <v>1525</v>
      </c>
      <c r="I631" s="6">
        <v>26</v>
      </c>
      <c r="J631" s="6">
        <v>52</v>
      </c>
      <c r="K631" s="6">
        <v>122</v>
      </c>
      <c r="L631" s="6">
        <v>47</v>
      </c>
      <c r="M631" s="10">
        <f t="shared" si="27"/>
        <v>259.57446808510639</v>
      </c>
      <c r="N631" s="10">
        <f t="shared" si="28"/>
        <v>260</v>
      </c>
      <c r="O631" s="6" t="s">
        <v>193</v>
      </c>
      <c r="P631" s="6">
        <v>3</v>
      </c>
      <c r="Q631" s="6">
        <v>4</v>
      </c>
      <c r="R631" s="6">
        <v>4</v>
      </c>
      <c r="S631" s="6">
        <v>11</v>
      </c>
      <c r="T631" s="6" t="str">
        <f t="shared" si="29"/>
        <v>Quinta</v>
      </c>
    </row>
    <row r="632" spans="1:20">
      <c r="A632" s="7" t="s">
        <v>1511</v>
      </c>
      <c r="B632" s="7" t="s">
        <v>496</v>
      </c>
      <c r="C632" s="8">
        <v>1</v>
      </c>
      <c r="D632" s="7" t="s">
        <v>1511</v>
      </c>
      <c r="E632" s="7" t="s">
        <v>1526</v>
      </c>
      <c r="F632">
        <v>1116</v>
      </c>
      <c r="G632" s="6">
        <v>24618</v>
      </c>
      <c r="H632" s="11" t="s">
        <v>1527</v>
      </c>
      <c r="I632" s="6">
        <v>37</v>
      </c>
      <c r="J632" s="6">
        <v>48</v>
      </c>
      <c r="K632" s="6">
        <v>88</v>
      </c>
      <c r="L632" s="6">
        <v>38</v>
      </c>
      <c r="M632" s="10">
        <f t="shared" si="27"/>
        <v>231.57894736842104</v>
      </c>
      <c r="N632" s="10">
        <f t="shared" si="28"/>
        <v>232</v>
      </c>
      <c r="O632" s="6" t="s">
        <v>37</v>
      </c>
      <c r="P632" s="6">
        <v>3</v>
      </c>
      <c r="Q632" s="6">
        <v>0</v>
      </c>
      <c r="R632" s="6">
        <v>5</v>
      </c>
      <c r="S632" s="6">
        <v>8</v>
      </c>
      <c r="T632" s="6" t="str">
        <f t="shared" si="29"/>
        <v>Sexta</v>
      </c>
    </row>
    <row r="633" spans="1:20">
      <c r="A633" s="7" t="s">
        <v>1511</v>
      </c>
      <c r="B633" s="7" t="s">
        <v>507</v>
      </c>
      <c r="C633" s="8">
        <v>1</v>
      </c>
      <c r="D633" s="7" t="s">
        <v>1511</v>
      </c>
      <c r="E633" s="7" t="s">
        <v>1522</v>
      </c>
      <c r="F633">
        <v>1208</v>
      </c>
      <c r="G633" s="6">
        <v>28457</v>
      </c>
      <c r="H633" s="11" t="s">
        <v>1523</v>
      </c>
      <c r="I633" s="6">
        <v>44</v>
      </c>
      <c r="J633" s="6">
        <v>4</v>
      </c>
      <c r="K633" s="6">
        <v>10</v>
      </c>
      <c r="L633" s="6">
        <v>63</v>
      </c>
      <c r="M633" s="10">
        <f t="shared" si="27"/>
        <v>15.873015873015873</v>
      </c>
      <c r="N633" s="10">
        <f t="shared" si="28"/>
        <v>16</v>
      </c>
      <c r="O633" s="6" t="s">
        <v>192</v>
      </c>
      <c r="P633" s="6">
        <v>1</v>
      </c>
      <c r="Q633" s="6">
        <v>0</v>
      </c>
      <c r="R633" s="6">
        <v>0</v>
      </c>
      <c r="S633" s="6">
        <v>1</v>
      </c>
      <c r="T633" s="6" t="str">
        <f t="shared" si="29"/>
        <v>Quinta</v>
      </c>
    </row>
    <row r="634" spans="1:20">
      <c r="A634" s="7" t="s">
        <v>1511</v>
      </c>
      <c r="B634" s="7" t="s">
        <v>507</v>
      </c>
      <c r="C634" s="8">
        <v>1</v>
      </c>
      <c r="D634" s="7" t="s">
        <v>1511</v>
      </c>
      <c r="E634" s="7" t="s">
        <v>1518</v>
      </c>
      <c r="F634">
        <v>1250</v>
      </c>
      <c r="G634" s="6">
        <v>14450</v>
      </c>
      <c r="H634" s="11" t="s">
        <v>1519</v>
      </c>
      <c r="I634" s="6">
        <v>26</v>
      </c>
      <c r="J634" s="6">
        <v>59</v>
      </c>
      <c r="K634" s="6">
        <v>171</v>
      </c>
      <c r="L634" s="6">
        <v>58</v>
      </c>
      <c r="M634" s="10">
        <f t="shared" si="27"/>
        <v>294.82758620689657</v>
      </c>
      <c r="N634" s="10">
        <f t="shared" si="28"/>
        <v>295</v>
      </c>
      <c r="O634" s="6" t="s">
        <v>191</v>
      </c>
      <c r="P634" s="6">
        <v>10</v>
      </c>
      <c r="Q634" s="6">
        <v>3</v>
      </c>
      <c r="R634" s="6">
        <v>16</v>
      </c>
      <c r="S634" s="6">
        <v>29</v>
      </c>
      <c r="T634" s="6" t="str">
        <f t="shared" si="29"/>
        <v>Quinta</v>
      </c>
    </row>
    <row r="635" spans="1:20">
      <c r="A635" s="7" t="s">
        <v>1511</v>
      </c>
      <c r="B635" s="7" t="s">
        <v>507</v>
      </c>
      <c r="C635" s="8">
        <v>1</v>
      </c>
      <c r="D635" s="7" t="s">
        <v>1511</v>
      </c>
      <c r="E635" s="7" t="s">
        <v>1524</v>
      </c>
      <c r="F635">
        <v>1250</v>
      </c>
      <c r="G635" s="6">
        <v>14451</v>
      </c>
      <c r="H635" s="11" t="s">
        <v>1525</v>
      </c>
      <c r="I635" s="6">
        <v>26</v>
      </c>
      <c r="J635" s="6">
        <v>52</v>
      </c>
      <c r="K635" s="6">
        <v>122</v>
      </c>
      <c r="L635" s="6">
        <v>47</v>
      </c>
      <c r="M635" s="10">
        <f t="shared" si="27"/>
        <v>259.57446808510639</v>
      </c>
      <c r="N635" s="10">
        <f t="shared" si="28"/>
        <v>260</v>
      </c>
      <c r="O635" s="6" t="s">
        <v>193</v>
      </c>
      <c r="P635" s="6">
        <v>3</v>
      </c>
      <c r="Q635" s="6">
        <v>4</v>
      </c>
      <c r="R635" s="6">
        <v>4</v>
      </c>
      <c r="S635" s="6">
        <v>11</v>
      </c>
      <c r="T635" s="6" t="str">
        <f t="shared" si="29"/>
        <v>Quinta</v>
      </c>
    </row>
    <row r="636" spans="1:20">
      <c r="A636" s="7" t="s">
        <v>1511</v>
      </c>
      <c r="B636" s="7" t="s">
        <v>507</v>
      </c>
      <c r="C636" s="8">
        <v>1</v>
      </c>
      <c r="D636" s="7" t="s">
        <v>1511</v>
      </c>
      <c r="E636" s="7" t="s">
        <v>1528</v>
      </c>
      <c r="F636">
        <v>1144</v>
      </c>
      <c r="G636" s="6">
        <v>24608</v>
      </c>
      <c r="H636" s="11" t="s">
        <v>1529</v>
      </c>
      <c r="I636" s="6">
        <v>52</v>
      </c>
      <c r="J636" s="6">
        <v>19</v>
      </c>
      <c r="K636" s="6">
        <v>48</v>
      </c>
      <c r="L636" s="6">
        <v>64</v>
      </c>
      <c r="M636" s="10">
        <f t="shared" si="27"/>
        <v>75</v>
      </c>
      <c r="N636" s="10">
        <f t="shared" si="28"/>
        <v>75</v>
      </c>
      <c r="O636" s="6" t="s">
        <v>21</v>
      </c>
      <c r="P636" s="6">
        <v>1</v>
      </c>
      <c r="Q636" s="6">
        <v>1</v>
      </c>
      <c r="R636" s="6">
        <v>5</v>
      </c>
      <c r="S636" s="6">
        <v>7</v>
      </c>
      <c r="T636" s="6" t="str">
        <f t="shared" si="29"/>
        <v>Sexta</v>
      </c>
    </row>
    <row r="637" spans="1:20">
      <c r="A637" s="7" t="s">
        <v>1511</v>
      </c>
      <c r="B637" s="7" t="s">
        <v>507</v>
      </c>
      <c r="C637" s="8">
        <v>1</v>
      </c>
      <c r="D637" s="7" t="s">
        <v>1511</v>
      </c>
      <c r="E637" s="7" t="s">
        <v>1530</v>
      </c>
      <c r="F637">
        <v>1211</v>
      </c>
      <c r="G637" s="6">
        <v>15091</v>
      </c>
      <c r="H637" s="11" t="s">
        <v>1531</v>
      </c>
      <c r="I637" s="6">
        <v>46</v>
      </c>
      <c r="J637" s="6">
        <v>7</v>
      </c>
      <c r="K637" s="6">
        <v>8</v>
      </c>
      <c r="L637" s="6">
        <v>33</v>
      </c>
      <c r="M637" s="10">
        <f t="shared" si="27"/>
        <v>24.242424242424242</v>
      </c>
      <c r="N637" s="10">
        <f t="shared" si="28"/>
        <v>25</v>
      </c>
      <c r="O637" s="6" t="s">
        <v>194</v>
      </c>
      <c r="P637" s="6">
        <v>0</v>
      </c>
      <c r="Q637" s="6">
        <v>0</v>
      </c>
      <c r="R637" s="6">
        <v>0</v>
      </c>
      <c r="S637" s="6">
        <v>0</v>
      </c>
      <c r="T637" s="6" t="str">
        <f t="shared" si="29"/>
        <v>Quinta</v>
      </c>
    </row>
    <row r="638" spans="1:20">
      <c r="A638" s="7" t="s">
        <v>1511</v>
      </c>
      <c r="B638" s="7" t="s">
        <v>507</v>
      </c>
      <c r="C638" s="8">
        <v>1</v>
      </c>
      <c r="D638" s="7" t="s">
        <v>1511</v>
      </c>
      <c r="E638" s="7" t="s">
        <v>1532</v>
      </c>
      <c r="F638">
        <v>1155</v>
      </c>
      <c r="G638" s="6">
        <v>24548</v>
      </c>
      <c r="H638" s="11" t="s">
        <v>1533</v>
      </c>
      <c r="I638" s="6">
        <v>60</v>
      </c>
      <c r="J638" s="6">
        <v>16</v>
      </c>
      <c r="K638" s="6">
        <v>47</v>
      </c>
      <c r="L638" s="6">
        <v>58</v>
      </c>
      <c r="M638" s="10">
        <f t="shared" si="27"/>
        <v>81.034482758620683</v>
      </c>
      <c r="N638" s="10">
        <f t="shared" si="28"/>
        <v>82</v>
      </c>
      <c r="O638" s="6" t="s">
        <v>192</v>
      </c>
      <c r="P638" s="6">
        <v>1</v>
      </c>
      <c r="Q638" s="6">
        <v>1</v>
      </c>
      <c r="R638" s="6">
        <v>5</v>
      </c>
      <c r="S638" s="6">
        <v>7</v>
      </c>
      <c r="T638" s="6" t="str">
        <f t="shared" si="29"/>
        <v>Sexta</v>
      </c>
    </row>
    <row r="639" spans="1:20">
      <c r="A639" s="7" t="s">
        <v>1511</v>
      </c>
      <c r="B639" s="7" t="s">
        <v>507</v>
      </c>
      <c r="C639" s="8">
        <v>1</v>
      </c>
      <c r="D639" s="7" t="s">
        <v>1511</v>
      </c>
      <c r="E639" s="7" t="s">
        <v>1534</v>
      </c>
      <c r="F639">
        <v>1000</v>
      </c>
      <c r="G639" s="6">
        <v>11114</v>
      </c>
      <c r="H639" s="11" t="s">
        <v>1535</v>
      </c>
      <c r="I639" s="6">
        <v>36</v>
      </c>
      <c r="J639" s="6">
        <v>0</v>
      </c>
      <c r="K639" s="6">
        <v>0</v>
      </c>
      <c r="L639" s="6">
        <v>0</v>
      </c>
      <c r="M639" s="10">
        <f t="shared" si="27"/>
        <v>0</v>
      </c>
      <c r="N639" s="10">
        <f t="shared" si="28"/>
        <v>0</v>
      </c>
      <c r="P639" s="6">
        <v>0</v>
      </c>
      <c r="Q639" s="6">
        <v>0</v>
      </c>
      <c r="R639" s="6">
        <v>0</v>
      </c>
      <c r="S639" s="6">
        <v>0</v>
      </c>
      <c r="T639" s="6" t="str">
        <f t="shared" si="29"/>
        <v>Septima</v>
      </c>
    </row>
    <row r="640" spans="1:20">
      <c r="A640" s="7" t="s">
        <v>1511</v>
      </c>
      <c r="B640" s="7" t="s">
        <v>507</v>
      </c>
      <c r="C640" s="8">
        <v>1</v>
      </c>
      <c r="D640" s="7" t="s">
        <v>1511</v>
      </c>
      <c r="E640" s="7" t="s">
        <v>1526</v>
      </c>
      <c r="F640">
        <v>1116</v>
      </c>
      <c r="G640" s="6">
        <v>24618</v>
      </c>
      <c r="H640" s="11" t="s">
        <v>1527</v>
      </c>
      <c r="I640" s="6">
        <v>37</v>
      </c>
      <c r="J640" s="6">
        <v>48</v>
      </c>
      <c r="K640" s="6">
        <v>88</v>
      </c>
      <c r="L640" s="6">
        <v>38</v>
      </c>
      <c r="M640" s="10">
        <f t="shared" si="27"/>
        <v>231.57894736842104</v>
      </c>
      <c r="N640" s="10">
        <f t="shared" si="28"/>
        <v>232</v>
      </c>
      <c r="O640" s="6" t="s">
        <v>37</v>
      </c>
      <c r="P640" s="6">
        <v>3</v>
      </c>
      <c r="Q640" s="6">
        <v>0</v>
      </c>
      <c r="R640" s="6">
        <v>5</v>
      </c>
      <c r="S640" s="6">
        <v>8</v>
      </c>
      <c r="T640" s="6" t="str">
        <f t="shared" si="29"/>
        <v>Sexta</v>
      </c>
    </row>
    <row r="641" spans="1:20">
      <c r="A641" s="7" t="s">
        <v>1536</v>
      </c>
      <c r="B641" s="7" t="s">
        <v>451</v>
      </c>
      <c r="C641" s="8">
        <v>1</v>
      </c>
      <c r="D641" s="7" t="s">
        <v>1536</v>
      </c>
      <c r="E641" s="7" t="s">
        <v>1537</v>
      </c>
      <c r="F641">
        <v>2118</v>
      </c>
      <c r="G641" s="6">
        <v>14764</v>
      </c>
      <c r="H641" s="11" t="s">
        <v>1538</v>
      </c>
      <c r="I641" s="6">
        <v>25</v>
      </c>
      <c r="J641" s="6">
        <v>89</v>
      </c>
      <c r="K641" s="6">
        <v>262</v>
      </c>
      <c r="L641" s="6">
        <v>63</v>
      </c>
      <c r="M641" s="10">
        <f t="shared" si="27"/>
        <v>415.87301587301585</v>
      </c>
      <c r="N641" s="10">
        <f t="shared" si="28"/>
        <v>416</v>
      </c>
      <c r="O641" s="6" t="s">
        <v>195</v>
      </c>
      <c r="P641" s="6">
        <v>13</v>
      </c>
      <c r="Q641" s="6">
        <v>7</v>
      </c>
      <c r="R641" s="6">
        <v>25</v>
      </c>
      <c r="S641" s="6">
        <v>45</v>
      </c>
      <c r="T641" s="6" t="str">
        <f t="shared" si="29"/>
        <v>Primera</v>
      </c>
    </row>
    <row r="642" spans="1:20">
      <c r="A642" s="7" t="s">
        <v>1536</v>
      </c>
      <c r="B642" s="7" t="s">
        <v>451</v>
      </c>
      <c r="C642" s="8">
        <v>1</v>
      </c>
      <c r="D642" s="7" t="s">
        <v>1536</v>
      </c>
      <c r="E642" s="7" t="s">
        <v>1539</v>
      </c>
      <c r="F642">
        <v>1809</v>
      </c>
      <c r="G642" s="6">
        <v>8252</v>
      </c>
      <c r="H642" s="11" t="s">
        <v>1540</v>
      </c>
      <c r="I642" s="6">
        <v>35</v>
      </c>
      <c r="J642" s="6">
        <v>51</v>
      </c>
      <c r="K642" s="6">
        <v>128</v>
      </c>
      <c r="L642" s="6">
        <v>58</v>
      </c>
      <c r="M642" s="10">
        <f t="shared" si="27"/>
        <v>220.68965517241378</v>
      </c>
      <c r="N642" s="10">
        <f t="shared" si="28"/>
        <v>221</v>
      </c>
      <c r="O642" s="6" t="s">
        <v>122</v>
      </c>
      <c r="P642" s="6">
        <v>3</v>
      </c>
      <c r="Q642" s="6">
        <v>3</v>
      </c>
      <c r="R642" s="6">
        <v>5</v>
      </c>
      <c r="S642" s="6">
        <v>11</v>
      </c>
      <c r="T642" s="6" t="str">
        <f t="shared" si="29"/>
        <v>Segunda</v>
      </c>
    </row>
    <row r="643" spans="1:20">
      <c r="A643" s="7" t="s">
        <v>1536</v>
      </c>
      <c r="B643" s="7" t="s">
        <v>451</v>
      </c>
      <c r="C643" s="8">
        <v>1</v>
      </c>
      <c r="D643" s="7" t="s">
        <v>1536</v>
      </c>
      <c r="E643" s="7" t="s">
        <v>1541</v>
      </c>
      <c r="F643">
        <v>1842</v>
      </c>
      <c r="G643" s="6">
        <v>14774</v>
      </c>
      <c r="H643" s="11" t="s">
        <v>1542</v>
      </c>
      <c r="I643" s="6">
        <v>53</v>
      </c>
      <c r="J643" s="6">
        <v>99</v>
      </c>
      <c r="K643" s="6">
        <v>245</v>
      </c>
      <c r="L643" s="6">
        <v>55</v>
      </c>
      <c r="M643" s="10">
        <f t="shared" ref="M643:M706" si="30">IF(K643+L643=0,0,(100*K643/L643))</f>
        <v>445.45454545454544</v>
      </c>
      <c r="N643" s="10">
        <f t="shared" ref="N643:N706" si="31">ROUNDUP(M643,0)</f>
        <v>446</v>
      </c>
      <c r="O643" s="6" t="s">
        <v>196</v>
      </c>
      <c r="P643" s="6">
        <v>3</v>
      </c>
      <c r="Q643" s="6">
        <v>6</v>
      </c>
      <c r="R643" s="6">
        <v>18</v>
      </c>
      <c r="S643" s="6">
        <v>27</v>
      </c>
      <c r="T643" s="6" t="str">
        <f t="shared" ref="T643:T706" si="32">IF(F643&gt;2100,"Primera",
IF(F643&gt;=1800,"Segunda",
IF(F643&gt;=1600,"Tercera",
IF(F643&gt;=1400,"Cuarta",
IF(F643&gt;=1200,"Quinta",
IF(F643&gt;=1080,"Sexta",
IF(F643&gt;=980,"Septima",
"Octava")))))))</f>
        <v>Segunda</v>
      </c>
    </row>
    <row r="644" spans="1:20">
      <c r="A644" s="7" t="s">
        <v>1536</v>
      </c>
      <c r="B644" s="7" t="s">
        <v>451</v>
      </c>
      <c r="C644" s="8">
        <v>1</v>
      </c>
      <c r="D644" s="7" t="s">
        <v>1536</v>
      </c>
      <c r="E644" s="7" t="s">
        <v>1543</v>
      </c>
      <c r="F644">
        <v>1700</v>
      </c>
      <c r="G644" s="6">
        <v>948</v>
      </c>
      <c r="H644" s="11" t="s">
        <v>1544</v>
      </c>
      <c r="I644" s="6">
        <v>42</v>
      </c>
      <c r="J644" s="6">
        <v>32</v>
      </c>
      <c r="K644" s="6">
        <v>112</v>
      </c>
      <c r="L644" s="6">
        <v>66</v>
      </c>
      <c r="M644" s="10">
        <f t="shared" si="30"/>
        <v>169.69696969696969</v>
      </c>
      <c r="N644" s="10">
        <f t="shared" si="31"/>
        <v>170</v>
      </c>
      <c r="O644" s="6" t="s">
        <v>197</v>
      </c>
      <c r="P644" s="6">
        <v>5</v>
      </c>
      <c r="Q644" s="6">
        <v>4</v>
      </c>
      <c r="R644" s="6">
        <v>4</v>
      </c>
      <c r="S644" s="6">
        <v>13</v>
      </c>
      <c r="T644" s="6" t="str">
        <f t="shared" si="32"/>
        <v>Tercera</v>
      </c>
    </row>
    <row r="645" spans="1:20">
      <c r="A645" s="7" t="s">
        <v>1536</v>
      </c>
      <c r="B645" s="7" t="s">
        <v>451</v>
      </c>
      <c r="C645" s="8">
        <v>1</v>
      </c>
      <c r="D645" s="7" t="s">
        <v>1536</v>
      </c>
      <c r="E645" s="7" t="s">
        <v>1545</v>
      </c>
      <c r="F645">
        <v>1600</v>
      </c>
      <c r="G645" s="6">
        <v>8123</v>
      </c>
      <c r="H645" s="11" t="s">
        <v>1546</v>
      </c>
      <c r="I645" s="6">
        <v>60</v>
      </c>
      <c r="J645" s="6">
        <v>86</v>
      </c>
      <c r="K645" s="6">
        <v>177</v>
      </c>
      <c r="L645" s="6">
        <v>51</v>
      </c>
      <c r="M645" s="10">
        <f t="shared" si="30"/>
        <v>347.05882352941177</v>
      </c>
      <c r="N645" s="10">
        <f t="shared" si="31"/>
        <v>348</v>
      </c>
      <c r="O645" s="6" t="s">
        <v>18</v>
      </c>
      <c r="P645" s="6">
        <v>9</v>
      </c>
      <c r="Q645" s="6">
        <v>5</v>
      </c>
      <c r="R645" s="6">
        <v>10</v>
      </c>
      <c r="S645" s="6">
        <v>24</v>
      </c>
      <c r="T645" s="6" t="str">
        <f t="shared" si="32"/>
        <v>Tercera</v>
      </c>
    </row>
    <row r="646" spans="1:20">
      <c r="A646" s="7" t="s">
        <v>1536</v>
      </c>
      <c r="B646" s="7" t="s">
        <v>496</v>
      </c>
      <c r="C646" s="8">
        <v>1</v>
      </c>
      <c r="D646" s="7" t="s">
        <v>1536</v>
      </c>
      <c r="E646" s="7" t="s">
        <v>1547</v>
      </c>
      <c r="F646">
        <v>1467</v>
      </c>
      <c r="G646" s="6">
        <v>26166</v>
      </c>
      <c r="H646" s="11" t="s">
        <v>1548</v>
      </c>
      <c r="I646" s="6">
        <v>42</v>
      </c>
      <c r="J646" s="6">
        <v>26</v>
      </c>
      <c r="K646" s="6">
        <v>86</v>
      </c>
      <c r="L646" s="6">
        <v>70</v>
      </c>
      <c r="M646" s="10">
        <f t="shared" si="30"/>
        <v>122.85714285714286</v>
      </c>
      <c r="N646" s="10">
        <f t="shared" si="31"/>
        <v>123</v>
      </c>
      <c r="O646" s="6" t="s">
        <v>9</v>
      </c>
      <c r="P646" s="6">
        <v>6</v>
      </c>
      <c r="Q646" s="6">
        <v>5</v>
      </c>
      <c r="R646" s="6">
        <v>6</v>
      </c>
      <c r="S646" s="6">
        <v>17</v>
      </c>
      <c r="T646" s="6" t="str">
        <f t="shared" si="32"/>
        <v>Cuarta</v>
      </c>
    </row>
    <row r="647" spans="1:20">
      <c r="A647" s="7" t="s">
        <v>1536</v>
      </c>
      <c r="B647" s="7" t="s">
        <v>496</v>
      </c>
      <c r="C647" s="8">
        <v>1</v>
      </c>
      <c r="D647" s="7" t="s">
        <v>1536</v>
      </c>
      <c r="E647" s="7" t="s">
        <v>1549</v>
      </c>
      <c r="F647">
        <v>1359</v>
      </c>
      <c r="G647" s="6">
        <v>26667</v>
      </c>
      <c r="H647" s="11" t="s">
        <v>1550</v>
      </c>
      <c r="I647" s="6">
        <v>31</v>
      </c>
      <c r="J647" s="6">
        <v>13</v>
      </c>
      <c r="K647" s="6">
        <v>46</v>
      </c>
      <c r="L647" s="6">
        <v>72</v>
      </c>
      <c r="M647" s="10">
        <f t="shared" si="30"/>
        <v>63.888888888888886</v>
      </c>
      <c r="N647" s="10">
        <f t="shared" si="31"/>
        <v>64</v>
      </c>
      <c r="O647" s="6" t="s">
        <v>21</v>
      </c>
      <c r="P647" s="6">
        <v>2</v>
      </c>
      <c r="Q647" s="6">
        <v>3</v>
      </c>
      <c r="R647" s="6">
        <v>5</v>
      </c>
      <c r="S647" s="6">
        <v>10</v>
      </c>
      <c r="T647" s="6" t="str">
        <f t="shared" si="32"/>
        <v>Quinta</v>
      </c>
    </row>
    <row r="648" spans="1:20">
      <c r="A648" s="7" t="s">
        <v>1536</v>
      </c>
      <c r="B648" s="7" t="s">
        <v>496</v>
      </c>
      <c r="C648" s="8">
        <v>1</v>
      </c>
      <c r="D648" s="7" t="s">
        <v>1536</v>
      </c>
      <c r="E648" s="7" t="s">
        <v>1551</v>
      </c>
      <c r="F648">
        <v>1320</v>
      </c>
      <c r="G648" s="6">
        <v>10079</v>
      </c>
      <c r="H648" s="11" t="s">
        <v>1552</v>
      </c>
      <c r="I648" s="6">
        <v>60</v>
      </c>
      <c r="J648" s="6">
        <v>95</v>
      </c>
      <c r="K648" s="6">
        <v>172</v>
      </c>
      <c r="L648" s="6">
        <v>39</v>
      </c>
      <c r="M648" s="10">
        <f t="shared" si="30"/>
        <v>441.02564102564105</v>
      </c>
      <c r="N648" s="10">
        <f t="shared" si="31"/>
        <v>442</v>
      </c>
      <c r="O648" s="6" t="s">
        <v>198</v>
      </c>
      <c r="P648" s="6">
        <v>3</v>
      </c>
      <c r="Q648" s="6">
        <v>5</v>
      </c>
      <c r="R648" s="6">
        <v>10</v>
      </c>
      <c r="S648" s="6">
        <v>18</v>
      </c>
      <c r="T648" s="6" t="str">
        <f t="shared" si="32"/>
        <v>Quinta</v>
      </c>
    </row>
    <row r="649" spans="1:20">
      <c r="A649" s="7" t="s">
        <v>1536</v>
      </c>
      <c r="B649" s="7" t="s">
        <v>496</v>
      </c>
      <c r="C649" s="8">
        <v>1</v>
      </c>
      <c r="D649" s="7" t="s">
        <v>1536</v>
      </c>
      <c r="E649" s="7" t="s">
        <v>1553</v>
      </c>
      <c r="F649">
        <v>1562</v>
      </c>
      <c r="G649" s="6">
        <v>22241</v>
      </c>
      <c r="H649" s="11" t="s">
        <v>1554</v>
      </c>
      <c r="I649" s="6">
        <v>45</v>
      </c>
      <c r="J649" s="6">
        <v>200</v>
      </c>
      <c r="K649" s="6">
        <v>516</v>
      </c>
      <c r="L649" s="6">
        <v>60</v>
      </c>
      <c r="M649" s="10">
        <f t="shared" si="30"/>
        <v>860</v>
      </c>
      <c r="N649" s="10">
        <f t="shared" si="31"/>
        <v>860</v>
      </c>
      <c r="O649" s="6" t="s">
        <v>199</v>
      </c>
      <c r="P649" s="6">
        <v>24</v>
      </c>
      <c r="Q649" s="6">
        <v>22</v>
      </c>
      <c r="R649" s="6">
        <v>43</v>
      </c>
      <c r="S649" s="6">
        <v>89</v>
      </c>
      <c r="T649" s="6" t="str">
        <f t="shared" si="32"/>
        <v>Cuarta</v>
      </c>
    </row>
    <row r="650" spans="1:20">
      <c r="A650" s="7" t="s">
        <v>1536</v>
      </c>
      <c r="B650" s="7" t="s">
        <v>496</v>
      </c>
      <c r="C650" s="8">
        <v>1</v>
      </c>
      <c r="D650" s="7" t="s">
        <v>1536</v>
      </c>
      <c r="E650" s="7" t="s">
        <v>1555</v>
      </c>
      <c r="F650">
        <v>1000</v>
      </c>
      <c r="G650" s="6">
        <v>21872</v>
      </c>
      <c r="H650" s="11" t="s">
        <v>1556</v>
      </c>
      <c r="I650" s="6">
        <v>57</v>
      </c>
      <c r="J650" s="6">
        <v>0</v>
      </c>
      <c r="K650" s="6">
        <v>0</v>
      </c>
      <c r="L650" s="6">
        <v>0</v>
      </c>
      <c r="M650" s="10">
        <f t="shared" si="30"/>
        <v>0</v>
      </c>
      <c r="N650" s="10">
        <f t="shared" si="31"/>
        <v>0</v>
      </c>
      <c r="P650" s="6">
        <v>0</v>
      </c>
      <c r="Q650" s="6">
        <v>0</v>
      </c>
      <c r="R650" s="6">
        <v>0</v>
      </c>
      <c r="S650" s="6">
        <v>0</v>
      </c>
      <c r="T650" s="6" t="str">
        <f t="shared" si="32"/>
        <v>Septima</v>
      </c>
    </row>
    <row r="651" spans="1:20">
      <c r="A651" s="7" t="s">
        <v>1536</v>
      </c>
      <c r="B651" s="7" t="s">
        <v>496</v>
      </c>
      <c r="C651" s="8">
        <v>1</v>
      </c>
      <c r="D651" s="7" t="s">
        <v>1536</v>
      </c>
      <c r="E651" s="7" t="s">
        <v>1557</v>
      </c>
      <c r="F651">
        <v>1223</v>
      </c>
      <c r="G651" s="6">
        <v>29240</v>
      </c>
      <c r="H651" s="11" t="s">
        <v>1558</v>
      </c>
      <c r="I651" s="6">
        <v>34</v>
      </c>
      <c r="J651" s="6">
        <v>2</v>
      </c>
      <c r="K651" s="6">
        <v>14</v>
      </c>
      <c r="L651" s="6">
        <v>88</v>
      </c>
      <c r="M651" s="10">
        <f t="shared" si="30"/>
        <v>15.909090909090908</v>
      </c>
      <c r="N651" s="10">
        <f t="shared" si="31"/>
        <v>16</v>
      </c>
      <c r="O651" s="6" t="s">
        <v>136</v>
      </c>
      <c r="P651" s="6">
        <v>1</v>
      </c>
      <c r="Q651" s="6">
        <v>1</v>
      </c>
      <c r="R651" s="6">
        <v>1</v>
      </c>
      <c r="S651" s="6">
        <v>3</v>
      </c>
      <c r="T651" s="6" t="str">
        <f t="shared" si="32"/>
        <v>Quinta</v>
      </c>
    </row>
    <row r="652" spans="1:20">
      <c r="A652" s="7" t="s">
        <v>1536</v>
      </c>
      <c r="B652" s="7" t="s">
        <v>496</v>
      </c>
      <c r="C652" s="8">
        <v>1</v>
      </c>
      <c r="D652" s="7" t="s">
        <v>1536</v>
      </c>
      <c r="E652" s="7" t="s">
        <v>1559</v>
      </c>
      <c r="F652">
        <v>1181</v>
      </c>
      <c r="G652" s="6">
        <v>24267</v>
      </c>
      <c r="H652" s="11" t="s">
        <v>1560</v>
      </c>
      <c r="I652" s="6">
        <v>49</v>
      </c>
      <c r="J652" s="6">
        <v>2</v>
      </c>
      <c r="K652" s="6">
        <v>13</v>
      </c>
      <c r="L652" s="6">
        <v>87</v>
      </c>
      <c r="M652" s="10">
        <f t="shared" si="30"/>
        <v>14.942528735632184</v>
      </c>
      <c r="N652" s="10">
        <f t="shared" si="31"/>
        <v>15</v>
      </c>
      <c r="O652" s="6" t="s">
        <v>40</v>
      </c>
      <c r="P652" s="6">
        <v>2</v>
      </c>
      <c r="Q652" s="6">
        <v>0</v>
      </c>
      <c r="R652" s="6">
        <v>0</v>
      </c>
      <c r="S652" s="6">
        <v>2</v>
      </c>
      <c r="T652" s="6" t="str">
        <f t="shared" si="32"/>
        <v>Sexta</v>
      </c>
    </row>
    <row r="653" spans="1:20">
      <c r="A653" s="7" t="s">
        <v>1536</v>
      </c>
      <c r="B653" s="7" t="s">
        <v>526</v>
      </c>
      <c r="C653" s="8">
        <v>1</v>
      </c>
      <c r="D653" s="7" t="s">
        <v>1561</v>
      </c>
      <c r="E653" s="7" t="s">
        <v>1562</v>
      </c>
      <c r="F653">
        <v>1598</v>
      </c>
      <c r="G653" s="6">
        <v>2417</v>
      </c>
      <c r="H653" s="11" t="s">
        <v>1563</v>
      </c>
      <c r="J653" s="6">
        <v>1</v>
      </c>
      <c r="K653" s="6">
        <v>2</v>
      </c>
      <c r="L653" s="6">
        <v>50</v>
      </c>
      <c r="M653" s="10">
        <f t="shared" si="30"/>
        <v>4</v>
      </c>
      <c r="N653" s="10">
        <f t="shared" si="31"/>
        <v>4</v>
      </c>
      <c r="O653" s="6" t="s">
        <v>200</v>
      </c>
      <c r="P653" s="6">
        <v>0</v>
      </c>
      <c r="Q653" s="6">
        <v>0</v>
      </c>
      <c r="R653" s="6">
        <v>0</v>
      </c>
      <c r="S653" s="6">
        <v>0</v>
      </c>
      <c r="T653" s="6" t="str">
        <f t="shared" si="32"/>
        <v>Cuarta</v>
      </c>
    </row>
    <row r="654" spans="1:20">
      <c r="A654" s="7" t="s">
        <v>1536</v>
      </c>
      <c r="B654" s="7" t="s">
        <v>526</v>
      </c>
      <c r="C654" s="8">
        <v>1</v>
      </c>
      <c r="D654" s="7" t="s">
        <v>1561</v>
      </c>
      <c r="E654" s="7" t="s">
        <v>1564</v>
      </c>
      <c r="F654">
        <v>1012</v>
      </c>
      <c r="G654" s="6">
        <v>27004</v>
      </c>
      <c r="H654" s="11" t="s">
        <v>1565</v>
      </c>
      <c r="I654" s="6">
        <v>51</v>
      </c>
      <c r="J654" s="6">
        <v>7</v>
      </c>
      <c r="K654" s="6">
        <v>10</v>
      </c>
      <c r="L654" s="6">
        <v>37</v>
      </c>
      <c r="M654" s="10">
        <f t="shared" si="30"/>
        <v>27.027027027027028</v>
      </c>
      <c r="N654" s="10">
        <f t="shared" si="31"/>
        <v>28</v>
      </c>
      <c r="O654" s="6" t="s">
        <v>21</v>
      </c>
      <c r="P654" s="6">
        <v>0</v>
      </c>
      <c r="Q654" s="6">
        <v>1</v>
      </c>
      <c r="R654" s="6">
        <v>0</v>
      </c>
      <c r="S654" s="6">
        <v>1</v>
      </c>
      <c r="T654" s="6" t="str">
        <f t="shared" si="32"/>
        <v>Septima</v>
      </c>
    </row>
    <row r="655" spans="1:20">
      <c r="A655" s="7" t="s">
        <v>1536</v>
      </c>
      <c r="B655" s="7" t="s">
        <v>526</v>
      </c>
      <c r="C655" s="8">
        <v>1</v>
      </c>
      <c r="D655" s="7" t="s">
        <v>1561</v>
      </c>
      <c r="E655" s="7" t="s">
        <v>1566</v>
      </c>
      <c r="F655">
        <v>1038</v>
      </c>
      <c r="G655" s="6">
        <v>24309</v>
      </c>
      <c r="H655" s="11" t="s">
        <v>1567</v>
      </c>
      <c r="I655" s="6">
        <v>52</v>
      </c>
      <c r="J655" s="6">
        <v>20</v>
      </c>
      <c r="K655" s="6">
        <v>51</v>
      </c>
      <c r="L655" s="6">
        <v>56</v>
      </c>
      <c r="M655" s="10">
        <f t="shared" si="30"/>
        <v>91.071428571428569</v>
      </c>
      <c r="N655" s="10">
        <f t="shared" si="31"/>
        <v>92</v>
      </c>
      <c r="O655" s="6" t="s">
        <v>136</v>
      </c>
      <c r="P655" s="6">
        <v>0</v>
      </c>
      <c r="Q655" s="6">
        <v>4</v>
      </c>
      <c r="R655" s="6">
        <v>5</v>
      </c>
      <c r="S655" s="6">
        <v>9</v>
      </c>
      <c r="T655" s="6" t="str">
        <f t="shared" si="32"/>
        <v>Septima</v>
      </c>
    </row>
    <row r="656" spans="1:20">
      <c r="A656" s="7" t="s">
        <v>1536</v>
      </c>
      <c r="B656" s="7" t="s">
        <v>526</v>
      </c>
      <c r="C656" s="8">
        <v>1</v>
      </c>
      <c r="D656" s="7" t="s">
        <v>1561</v>
      </c>
      <c r="E656" s="7" t="s">
        <v>1568</v>
      </c>
      <c r="F656">
        <v>1458</v>
      </c>
      <c r="G656" s="6">
        <v>1108</v>
      </c>
      <c r="H656" s="11" t="s">
        <v>1569</v>
      </c>
      <c r="I656" s="6">
        <v>58</v>
      </c>
      <c r="J656" s="6">
        <v>30</v>
      </c>
      <c r="K656" s="6">
        <v>49</v>
      </c>
      <c r="L656" s="6">
        <v>41</v>
      </c>
      <c r="M656" s="10">
        <f t="shared" si="30"/>
        <v>119.51219512195122</v>
      </c>
      <c r="N656" s="10">
        <f t="shared" si="31"/>
        <v>120</v>
      </c>
      <c r="O656" s="6" t="s">
        <v>13</v>
      </c>
      <c r="P656" s="6">
        <v>1</v>
      </c>
      <c r="Q656" s="6">
        <v>2</v>
      </c>
      <c r="R656" s="6">
        <v>2</v>
      </c>
      <c r="S656" s="6">
        <v>5</v>
      </c>
      <c r="T656" s="6" t="str">
        <f t="shared" si="32"/>
        <v>Cuarta</v>
      </c>
    </row>
    <row r="657" spans="1:20">
      <c r="A657" s="7" t="s">
        <v>1536</v>
      </c>
      <c r="B657" s="7" t="s">
        <v>526</v>
      </c>
      <c r="C657" s="8">
        <v>1</v>
      </c>
      <c r="D657" s="7" t="s">
        <v>1561</v>
      </c>
      <c r="E657" s="7" t="s">
        <v>1570</v>
      </c>
      <c r="F657">
        <v>905</v>
      </c>
      <c r="G657" s="6">
        <v>14887</v>
      </c>
      <c r="H657" s="11" t="s">
        <v>1571</v>
      </c>
      <c r="I657" s="6">
        <v>51</v>
      </c>
      <c r="J657" s="6">
        <v>5</v>
      </c>
      <c r="K657" s="6">
        <v>3</v>
      </c>
      <c r="L657" s="6">
        <v>18</v>
      </c>
      <c r="M657" s="10">
        <f t="shared" si="30"/>
        <v>16.666666666666668</v>
      </c>
      <c r="N657" s="10">
        <f t="shared" si="31"/>
        <v>17</v>
      </c>
      <c r="O657" s="6" t="s">
        <v>21</v>
      </c>
      <c r="P657" s="6">
        <v>0</v>
      </c>
      <c r="Q657" s="6">
        <v>0</v>
      </c>
      <c r="R657" s="6">
        <v>0</v>
      </c>
      <c r="S657" s="6">
        <v>0</v>
      </c>
      <c r="T657" s="6" t="str">
        <f t="shared" si="32"/>
        <v>Octava</v>
      </c>
    </row>
    <row r="658" spans="1:20">
      <c r="A658" s="7" t="s">
        <v>1536</v>
      </c>
      <c r="B658" s="7" t="s">
        <v>526</v>
      </c>
      <c r="C658" s="8">
        <v>1</v>
      </c>
      <c r="D658" s="7" t="s">
        <v>1561</v>
      </c>
      <c r="E658" s="7" t="s">
        <v>1572</v>
      </c>
      <c r="F658">
        <v>891</v>
      </c>
      <c r="G658" s="6">
        <v>23805</v>
      </c>
      <c r="H658" s="11" t="s">
        <v>1573</v>
      </c>
      <c r="I658" s="6">
        <v>63</v>
      </c>
      <c r="J658" s="6">
        <v>5</v>
      </c>
      <c r="K658" s="6">
        <v>1</v>
      </c>
      <c r="L658" s="6">
        <v>7</v>
      </c>
      <c r="M658" s="10">
        <f t="shared" si="30"/>
        <v>14.285714285714286</v>
      </c>
      <c r="N658" s="10">
        <f t="shared" si="31"/>
        <v>15</v>
      </c>
      <c r="O658" s="6" t="s">
        <v>201</v>
      </c>
      <c r="P658" s="6">
        <v>0</v>
      </c>
      <c r="Q658" s="6">
        <v>0</v>
      </c>
      <c r="R658" s="6">
        <v>0</v>
      </c>
      <c r="S658" s="6">
        <v>0</v>
      </c>
      <c r="T658" s="6" t="str">
        <f t="shared" si="32"/>
        <v>Octava</v>
      </c>
    </row>
    <row r="659" spans="1:20">
      <c r="A659" s="7" t="s">
        <v>1536</v>
      </c>
      <c r="B659" s="7" t="s">
        <v>526</v>
      </c>
      <c r="C659" s="8">
        <v>1</v>
      </c>
      <c r="D659" s="7" t="s">
        <v>1561</v>
      </c>
      <c r="E659" s="7" t="s">
        <v>1574</v>
      </c>
      <c r="F659">
        <v>1068</v>
      </c>
      <c r="G659" s="6">
        <v>24312</v>
      </c>
      <c r="H659" s="11" t="s">
        <v>1575</v>
      </c>
      <c r="I659" s="6">
        <v>45</v>
      </c>
      <c r="J659" s="6">
        <v>6</v>
      </c>
      <c r="K659" s="6">
        <v>15</v>
      </c>
      <c r="L659" s="6">
        <v>45</v>
      </c>
      <c r="M659" s="10">
        <f t="shared" si="30"/>
        <v>33.333333333333336</v>
      </c>
      <c r="N659" s="10">
        <f t="shared" si="31"/>
        <v>34</v>
      </c>
      <c r="O659" s="6" t="s">
        <v>21</v>
      </c>
      <c r="P659" s="6">
        <v>1</v>
      </c>
      <c r="Q659" s="6">
        <v>1</v>
      </c>
      <c r="R659" s="6">
        <v>0</v>
      </c>
      <c r="S659" s="6">
        <v>2</v>
      </c>
      <c r="T659" s="6" t="str">
        <f t="shared" si="32"/>
        <v>Septima</v>
      </c>
    </row>
    <row r="660" spans="1:20">
      <c r="A660" s="7" t="s">
        <v>1536</v>
      </c>
      <c r="B660" s="7" t="s">
        <v>526</v>
      </c>
      <c r="C660" s="8">
        <v>2</v>
      </c>
      <c r="D660" s="7" t="s">
        <v>1576</v>
      </c>
      <c r="E660" s="7" t="s">
        <v>1577</v>
      </c>
      <c r="F660">
        <v>1149</v>
      </c>
      <c r="G660" s="6">
        <v>27103</v>
      </c>
      <c r="H660" s="11" t="s">
        <v>1578</v>
      </c>
      <c r="I660" s="6">
        <v>33</v>
      </c>
      <c r="J660" s="6">
        <v>15</v>
      </c>
      <c r="K660" s="6">
        <v>37</v>
      </c>
      <c r="L660" s="6">
        <v>58</v>
      </c>
      <c r="M660" s="10">
        <f t="shared" si="30"/>
        <v>63.793103448275865</v>
      </c>
      <c r="N660" s="10">
        <f t="shared" si="31"/>
        <v>64</v>
      </c>
      <c r="O660" s="6" t="s">
        <v>202</v>
      </c>
      <c r="P660" s="6">
        <v>2</v>
      </c>
      <c r="Q660" s="6">
        <v>1</v>
      </c>
      <c r="R660" s="6">
        <v>4</v>
      </c>
      <c r="S660" s="6">
        <v>7</v>
      </c>
      <c r="T660" s="6" t="str">
        <f t="shared" si="32"/>
        <v>Sexta</v>
      </c>
    </row>
    <row r="661" spans="1:20">
      <c r="A661" s="7" t="s">
        <v>1536</v>
      </c>
      <c r="B661" s="7" t="s">
        <v>526</v>
      </c>
      <c r="C661" s="8">
        <v>2</v>
      </c>
      <c r="D661" s="7" t="s">
        <v>1576</v>
      </c>
      <c r="E661" s="7" t="s">
        <v>1579</v>
      </c>
      <c r="F661">
        <v>1107</v>
      </c>
      <c r="G661" s="6">
        <v>27104</v>
      </c>
      <c r="H661" s="11" t="s">
        <v>1580</v>
      </c>
      <c r="I661" s="6">
        <v>31</v>
      </c>
      <c r="J661" s="6">
        <v>4</v>
      </c>
      <c r="K661" s="6">
        <v>14</v>
      </c>
      <c r="L661" s="6">
        <v>67</v>
      </c>
      <c r="M661" s="10">
        <f t="shared" si="30"/>
        <v>20.895522388059703</v>
      </c>
      <c r="N661" s="10">
        <f t="shared" si="31"/>
        <v>21</v>
      </c>
      <c r="O661" s="6" t="s">
        <v>95</v>
      </c>
      <c r="P661" s="6">
        <v>1</v>
      </c>
      <c r="Q661" s="6">
        <v>1</v>
      </c>
      <c r="R661" s="6">
        <v>0</v>
      </c>
      <c r="S661" s="6">
        <v>2</v>
      </c>
      <c r="T661" s="6" t="str">
        <f t="shared" si="32"/>
        <v>Sexta</v>
      </c>
    </row>
    <row r="662" spans="1:20">
      <c r="A662" s="7" t="s">
        <v>1536</v>
      </c>
      <c r="B662" s="7" t="s">
        <v>526</v>
      </c>
      <c r="C662" s="8">
        <v>2</v>
      </c>
      <c r="D662" s="7" t="s">
        <v>1576</v>
      </c>
      <c r="E662" s="7" t="s">
        <v>1581</v>
      </c>
      <c r="F662">
        <v>1157</v>
      </c>
      <c r="G662" s="6">
        <v>26747</v>
      </c>
      <c r="H662" s="11" t="s">
        <v>1582</v>
      </c>
      <c r="I662" s="6">
        <v>59</v>
      </c>
      <c r="J662" s="6">
        <v>7</v>
      </c>
      <c r="K662" s="6">
        <v>20</v>
      </c>
      <c r="L662" s="6">
        <v>71</v>
      </c>
      <c r="M662" s="10">
        <f t="shared" si="30"/>
        <v>28.169014084507044</v>
      </c>
      <c r="N662" s="10">
        <f t="shared" si="31"/>
        <v>29</v>
      </c>
      <c r="O662" s="6" t="s">
        <v>203</v>
      </c>
      <c r="P662" s="6">
        <v>1</v>
      </c>
      <c r="Q662" s="6">
        <v>1</v>
      </c>
      <c r="R662" s="6">
        <v>3</v>
      </c>
      <c r="S662" s="6">
        <v>5</v>
      </c>
      <c r="T662" s="6" t="str">
        <f t="shared" si="32"/>
        <v>Sexta</v>
      </c>
    </row>
    <row r="663" spans="1:20">
      <c r="A663" s="7" t="s">
        <v>1536</v>
      </c>
      <c r="B663" s="7" t="s">
        <v>526</v>
      </c>
      <c r="C663" s="8">
        <v>2</v>
      </c>
      <c r="D663" s="7" t="s">
        <v>1576</v>
      </c>
      <c r="E663" s="7" t="s">
        <v>1583</v>
      </c>
      <c r="F663">
        <v>1014</v>
      </c>
      <c r="G663" s="6">
        <v>24154</v>
      </c>
      <c r="H663" s="11" t="s">
        <v>1584</v>
      </c>
      <c r="I663" s="6">
        <v>34</v>
      </c>
      <c r="J663" s="6">
        <v>9</v>
      </c>
      <c r="K663" s="6">
        <v>10</v>
      </c>
      <c r="L663" s="6">
        <v>31</v>
      </c>
      <c r="M663" s="10">
        <f t="shared" si="30"/>
        <v>32.258064516129032</v>
      </c>
      <c r="N663" s="10">
        <f t="shared" si="31"/>
        <v>33</v>
      </c>
      <c r="O663" s="6" t="s">
        <v>21</v>
      </c>
      <c r="P663" s="6">
        <v>0</v>
      </c>
      <c r="Q663" s="6">
        <v>1</v>
      </c>
      <c r="R663" s="6">
        <v>1</v>
      </c>
      <c r="S663" s="6">
        <v>2</v>
      </c>
      <c r="T663" s="6" t="str">
        <f t="shared" si="32"/>
        <v>Septima</v>
      </c>
    </row>
    <row r="664" spans="1:20">
      <c r="A664" s="7" t="s">
        <v>1536</v>
      </c>
      <c r="B664" s="7" t="s">
        <v>526</v>
      </c>
      <c r="C664" s="8">
        <v>2</v>
      </c>
      <c r="D664" s="7" t="s">
        <v>1576</v>
      </c>
      <c r="E664" s="7" t="s">
        <v>1585</v>
      </c>
      <c r="F664">
        <v>966</v>
      </c>
      <c r="G664" s="6">
        <v>26927</v>
      </c>
      <c r="H664" s="11" t="s">
        <v>1586</v>
      </c>
      <c r="I664" s="6">
        <v>40</v>
      </c>
      <c r="J664" s="6">
        <v>19</v>
      </c>
      <c r="K664" s="6">
        <v>21</v>
      </c>
      <c r="L664" s="6">
        <v>27</v>
      </c>
      <c r="M664" s="10">
        <f t="shared" si="30"/>
        <v>77.777777777777771</v>
      </c>
      <c r="N664" s="10">
        <f t="shared" si="31"/>
        <v>78</v>
      </c>
      <c r="O664" s="6" t="s">
        <v>79</v>
      </c>
      <c r="P664" s="6">
        <v>0</v>
      </c>
      <c r="Q664" s="6">
        <v>0</v>
      </c>
      <c r="R664" s="6">
        <v>4</v>
      </c>
      <c r="S664" s="6">
        <v>4</v>
      </c>
      <c r="T664" s="6" t="str">
        <f t="shared" si="32"/>
        <v>Octava</v>
      </c>
    </row>
    <row r="665" spans="1:20">
      <c r="A665" s="7" t="s">
        <v>1536</v>
      </c>
      <c r="B665" s="7" t="s">
        <v>526</v>
      </c>
      <c r="C665" s="8">
        <v>2</v>
      </c>
      <c r="D665" s="7" t="s">
        <v>1576</v>
      </c>
      <c r="E665" s="7" t="s">
        <v>1587</v>
      </c>
      <c r="F665">
        <v>1060</v>
      </c>
      <c r="G665" s="6">
        <v>26612</v>
      </c>
      <c r="H665" s="11" t="s">
        <v>1588</v>
      </c>
      <c r="I665" s="6">
        <v>39</v>
      </c>
      <c r="J665" s="6">
        <v>11</v>
      </c>
      <c r="K665" s="6">
        <v>19</v>
      </c>
      <c r="L665" s="6">
        <v>36</v>
      </c>
      <c r="M665" s="10">
        <f t="shared" si="30"/>
        <v>52.777777777777779</v>
      </c>
      <c r="N665" s="10">
        <f t="shared" si="31"/>
        <v>53</v>
      </c>
      <c r="O665" s="6" t="s">
        <v>79</v>
      </c>
      <c r="P665" s="6">
        <v>0</v>
      </c>
      <c r="Q665" s="6">
        <v>1</v>
      </c>
      <c r="R665" s="6">
        <v>3</v>
      </c>
      <c r="S665" s="6">
        <v>4</v>
      </c>
      <c r="T665" s="6" t="str">
        <f t="shared" si="32"/>
        <v>Septima</v>
      </c>
    </row>
    <row r="666" spans="1:20">
      <c r="A666" s="7" t="s">
        <v>1589</v>
      </c>
      <c r="B666" s="7" t="s">
        <v>468</v>
      </c>
      <c r="C666" s="8">
        <v>1</v>
      </c>
      <c r="D666" s="7" t="s">
        <v>1589</v>
      </c>
      <c r="E666" s="7" t="s">
        <v>1590</v>
      </c>
      <c r="F666">
        <v>1395</v>
      </c>
      <c r="G666" s="6">
        <v>4017</v>
      </c>
      <c r="H666" s="11" t="s">
        <v>1591</v>
      </c>
      <c r="I666" s="6">
        <v>37</v>
      </c>
      <c r="J666" s="6">
        <v>9</v>
      </c>
      <c r="K666" s="6">
        <v>10</v>
      </c>
      <c r="L666" s="6">
        <v>29</v>
      </c>
      <c r="M666" s="10">
        <f t="shared" si="30"/>
        <v>34.482758620689658</v>
      </c>
      <c r="N666" s="10">
        <f t="shared" si="31"/>
        <v>35</v>
      </c>
      <c r="O666" s="6" t="s">
        <v>204</v>
      </c>
      <c r="P666" s="6">
        <v>0</v>
      </c>
      <c r="Q666" s="6">
        <v>0</v>
      </c>
      <c r="R666" s="6">
        <v>0</v>
      </c>
      <c r="S666" s="6">
        <v>0</v>
      </c>
      <c r="T666" s="6" t="str">
        <f t="shared" si="32"/>
        <v>Quinta</v>
      </c>
    </row>
    <row r="667" spans="1:20">
      <c r="A667" s="7" t="s">
        <v>1589</v>
      </c>
      <c r="B667" s="7" t="s">
        <v>468</v>
      </c>
      <c r="C667" s="8">
        <v>1</v>
      </c>
      <c r="D667" s="7" t="s">
        <v>1589</v>
      </c>
      <c r="E667" s="7" t="s">
        <v>1592</v>
      </c>
      <c r="F667">
        <v>1716</v>
      </c>
      <c r="G667" s="6">
        <v>356</v>
      </c>
      <c r="H667" s="11" t="s">
        <v>1593</v>
      </c>
      <c r="I667" s="6">
        <v>37</v>
      </c>
      <c r="J667" s="6">
        <v>35</v>
      </c>
      <c r="K667" s="6">
        <v>64</v>
      </c>
      <c r="L667" s="6">
        <v>44</v>
      </c>
      <c r="M667" s="10">
        <f t="shared" si="30"/>
        <v>145.45454545454547</v>
      </c>
      <c r="N667" s="10">
        <f t="shared" si="31"/>
        <v>146</v>
      </c>
      <c r="O667" s="6" t="s">
        <v>147</v>
      </c>
      <c r="P667" s="6">
        <v>1</v>
      </c>
      <c r="Q667" s="6">
        <v>2</v>
      </c>
      <c r="R667" s="6">
        <v>2</v>
      </c>
      <c r="S667" s="6">
        <v>5</v>
      </c>
      <c r="T667" s="6" t="str">
        <f t="shared" si="32"/>
        <v>Tercera</v>
      </c>
    </row>
    <row r="668" spans="1:20">
      <c r="A668" s="7" t="s">
        <v>1589</v>
      </c>
      <c r="B668" s="7" t="s">
        <v>468</v>
      </c>
      <c r="C668" s="8">
        <v>1</v>
      </c>
      <c r="D668" s="7" t="s">
        <v>1589</v>
      </c>
      <c r="E668" s="7" t="s">
        <v>1594</v>
      </c>
      <c r="F668">
        <v>1580</v>
      </c>
      <c r="G668" s="6">
        <v>14537</v>
      </c>
      <c r="H668" s="11" t="s">
        <v>1595</v>
      </c>
      <c r="I668" s="6">
        <v>37</v>
      </c>
      <c r="J668" s="6">
        <v>72</v>
      </c>
      <c r="K668" s="6">
        <v>196</v>
      </c>
      <c r="L668" s="6">
        <v>56</v>
      </c>
      <c r="M668" s="10">
        <f t="shared" si="30"/>
        <v>350</v>
      </c>
      <c r="N668" s="10">
        <f t="shared" si="31"/>
        <v>350</v>
      </c>
      <c r="O668" s="6" t="s">
        <v>136</v>
      </c>
      <c r="P668" s="6">
        <v>2</v>
      </c>
      <c r="Q668" s="6">
        <v>5</v>
      </c>
      <c r="R668" s="6">
        <v>16</v>
      </c>
      <c r="S668" s="6">
        <v>23</v>
      </c>
      <c r="T668" s="6" t="str">
        <f t="shared" si="32"/>
        <v>Cuarta</v>
      </c>
    </row>
    <row r="669" spans="1:20">
      <c r="A669" s="7" t="s">
        <v>1589</v>
      </c>
      <c r="B669" s="7" t="s">
        <v>468</v>
      </c>
      <c r="C669" s="8">
        <v>1</v>
      </c>
      <c r="D669" s="7" t="s">
        <v>1589</v>
      </c>
      <c r="E669" s="7" t="s">
        <v>1596</v>
      </c>
      <c r="F669">
        <v>1562</v>
      </c>
      <c r="G669" s="6">
        <v>22377</v>
      </c>
      <c r="H669" s="11" t="s">
        <v>1597</v>
      </c>
      <c r="I669" s="6">
        <v>33</v>
      </c>
      <c r="J669" s="6">
        <v>105</v>
      </c>
      <c r="K669" s="6">
        <v>300</v>
      </c>
      <c r="L669" s="6">
        <v>50</v>
      </c>
      <c r="M669" s="10">
        <f t="shared" si="30"/>
        <v>600</v>
      </c>
      <c r="N669" s="10">
        <f t="shared" si="31"/>
        <v>600</v>
      </c>
      <c r="O669" s="6" t="s">
        <v>20</v>
      </c>
      <c r="P669" s="6">
        <v>9</v>
      </c>
      <c r="Q669" s="6">
        <v>8</v>
      </c>
      <c r="R669" s="6">
        <v>26</v>
      </c>
      <c r="S669" s="6">
        <v>43</v>
      </c>
      <c r="T669" s="6" t="str">
        <f t="shared" si="32"/>
        <v>Cuarta</v>
      </c>
    </row>
    <row r="670" spans="1:20">
      <c r="A670" s="7" t="s">
        <v>1589</v>
      </c>
      <c r="B670" s="7" t="s">
        <v>468</v>
      </c>
      <c r="C670" s="8">
        <v>1</v>
      </c>
      <c r="D670" s="7" t="s">
        <v>1589</v>
      </c>
      <c r="E670" s="7" t="s">
        <v>1598</v>
      </c>
      <c r="F670">
        <v>1621</v>
      </c>
      <c r="G670" s="6">
        <v>22116</v>
      </c>
      <c r="H670" s="11" t="s">
        <v>1599</v>
      </c>
      <c r="I670" s="6">
        <v>34</v>
      </c>
      <c r="J670" s="6">
        <v>55</v>
      </c>
      <c r="K670" s="6">
        <v>106</v>
      </c>
      <c r="L670" s="6">
        <v>48</v>
      </c>
      <c r="M670" s="10">
        <f t="shared" si="30"/>
        <v>220.83333333333334</v>
      </c>
      <c r="N670" s="10">
        <f t="shared" si="31"/>
        <v>221</v>
      </c>
      <c r="O670" s="6" t="s">
        <v>20</v>
      </c>
      <c r="P670" s="6">
        <v>2</v>
      </c>
      <c r="Q670" s="6">
        <v>1</v>
      </c>
      <c r="R670" s="6">
        <v>4</v>
      </c>
      <c r="S670" s="6">
        <v>7</v>
      </c>
      <c r="T670" s="6" t="str">
        <f t="shared" si="32"/>
        <v>Tercera</v>
      </c>
    </row>
    <row r="671" spans="1:20">
      <c r="A671" s="7" t="s">
        <v>1589</v>
      </c>
      <c r="B671" s="7" t="s">
        <v>468</v>
      </c>
      <c r="C671" s="8">
        <v>1</v>
      </c>
      <c r="D671" s="7" t="s">
        <v>1589</v>
      </c>
      <c r="E671" s="7" t="s">
        <v>1600</v>
      </c>
      <c r="F671">
        <v>1892</v>
      </c>
      <c r="G671" s="6">
        <v>2397</v>
      </c>
      <c r="H671" s="11" t="s">
        <v>1601</v>
      </c>
      <c r="I671" s="6">
        <v>80</v>
      </c>
      <c r="J671" s="6">
        <v>9</v>
      </c>
      <c r="K671" s="6">
        <v>18</v>
      </c>
      <c r="L671" s="6">
        <v>44</v>
      </c>
      <c r="M671" s="10">
        <f t="shared" si="30"/>
        <v>40.909090909090907</v>
      </c>
      <c r="N671" s="10">
        <f t="shared" si="31"/>
        <v>41</v>
      </c>
      <c r="O671" s="6" t="s">
        <v>205</v>
      </c>
      <c r="P671" s="6">
        <v>0</v>
      </c>
      <c r="Q671" s="6">
        <v>0</v>
      </c>
      <c r="R671" s="6">
        <v>1</v>
      </c>
      <c r="S671" s="6">
        <v>1</v>
      </c>
      <c r="T671" s="6" t="str">
        <f t="shared" si="32"/>
        <v>Segunda</v>
      </c>
    </row>
    <row r="672" spans="1:20">
      <c r="A672" s="7" t="s">
        <v>1589</v>
      </c>
      <c r="B672" s="7" t="s">
        <v>496</v>
      </c>
      <c r="C672" s="8">
        <v>1</v>
      </c>
      <c r="D672" s="7" t="s">
        <v>1589</v>
      </c>
      <c r="E672" s="7" t="s">
        <v>1602</v>
      </c>
      <c r="F672">
        <v>1434</v>
      </c>
      <c r="G672" s="6">
        <v>289</v>
      </c>
      <c r="H672" s="11" t="s">
        <v>1603</v>
      </c>
      <c r="I672" s="6">
        <v>50</v>
      </c>
      <c r="J672" s="6">
        <v>191</v>
      </c>
      <c r="K672" s="6">
        <v>449</v>
      </c>
      <c r="L672" s="6">
        <v>48</v>
      </c>
      <c r="M672" s="10">
        <f t="shared" si="30"/>
        <v>935.41666666666663</v>
      </c>
      <c r="N672" s="10">
        <f t="shared" si="31"/>
        <v>936</v>
      </c>
      <c r="O672" s="6" t="s">
        <v>144</v>
      </c>
      <c r="P672" s="6">
        <v>10</v>
      </c>
      <c r="Q672" s="6">
        <v>4</v>
      </c>
      <c r="R672" s="6">
        <v>25</v>
      </c>
      <c r="S672" s="6">
        <v>39</v>
      </c>
      <c r="T672" s="6" t="str">
        <f t="shared" si="32"/>
        <v>Cuarta</v>
      </c>
    </row>
    <row r="673" spans="1:20">
      <c r="A673" s="7" t="s">
        <v>1589</v>
      </c>
      <c r="B673" s="7" t="s">
        <v>496</v>
      </c>
      <c r="C673" s="8">
        <v>1</v>
      </c>
      <c r="D673" s="7" t="s">
        <v>1589</v>
      </c>
      <c r="E673" s="7" t="s">
        <v>1604</v>
      </c>
      <c r="F673">
        <v>1415</v>
      </c>
      <c r="G673" s="6">
        <v>23251</v>
      </c>
      <c r="H673" s="11" t="s">
        <v>1605</v>
      </c>
      <c r="I673" s="6">
        <v>40</v>
      </c>
      <c r="J673" s="6">
        <v>78</v>
      </c>
      <c r="K673" s="6">
        <v>183</v>
      </c>
      <c r="L673" s="6">
        <v>52</v>
      </c>
      <c r="M673" s="10">
        <f t="shared" si="30"/>
        <v>351.92307692307691</v>
      </c>
      <c r="N673" s="10">
        <f t="shared" si="31"/>
        <v>352</v>
      </c>
      <c r="O673" s="6" t="s">
        <v>19</v>
      </c>
      <c r="P673" s="6">
        <v>2</v>
      </c>
      <c r="Q673" s="6">
        <v>8</v>
      </c>
      <c r="R673" s="6">
        <v>17</v>
      </c>
      <c r="S673" s="6">
        <v>27</v>
      </c>
      <c r="T673" s="6" t="str">
        <f t="shared" si="32"/>
        <v>Cuarta</v>
      </c>
    </row>
    <row r="674" spans="1:20">
      <c r="A674" s="7" t="s">
        <v>1589</v>
      </c>
      <c r="B674" s="7" t="s">
        <v>496</v>
      </c>
      <c r="C674" s="8">
        <v>1</v>
      </c>
      <c r="D674" s="7" t="s">
        <v>1589</v>
      </c>
      <c r="E674" s="7" t="s">
        <v>1600</v>
      </c>
      <c r="F674">
        <v>1892</v>
      </c>
      <c r="G674" s="6">
        <v>2397</v>
      </c>
      <c r="H674" s="11" t="s">
        <v>1601</v>
      </c>
      <c r="I674" s="6">
        <v>80</v>
      </c>
      <c r="J674" s="6">
        <v>9</v>
      </c>
      <c r="K674" s="6">
        <v>18</v>
      </c>
      <c r="L674" s="6">
        <v>44</v>
      </c>
      <c r="M674" s="10">
        <f t="shared" si="30"/>
        <v>40.909090909090907</v>
      </c>
      <c r="N674" s="10">
        <f t="shared" si="31"/>
        <v>41</v>
      </c>
      <c r="O674" s="6" t="s">
        <v>205</v>
      </c>
      <c r="P674" s="6">
        <v>0</v>
      </c>
      <c r="Q674" s="6">
        <v>0</v>
      </c>
      <c r="R674" s="6">
        <v>1</v>
      </c>
      <c r="S674" s="6">
        <v>1</v>
      </c>
      <c r="T674" s="6" t="str">
        <f t="shared" si="32"/>
        <v>Segunda</v>
      </c>
    </row>
    <row r="675" spans="1:20">
      <c r="A675" s="7" t="s">
        <v>1589</v>
      </c>
      <c r="B675" s="7" t="s">
        <v>496</v>
      </c>
      <c r="C675" s="8">
        <v>1</v>
      </c>
      <c r="D675" s="7" t="s">
        <v>1589</v>
      </c>
      <c r="E675" s="7" t="s">
        <v>1606</v>
      </c>
      <c r="F675">
        <v>1507</v>
      </c>
      <c r="G675" s="6">
        <v>27128</v>
      </c>
      <c r="H675" s="11" t="s">
        <v>1607</v>
      </c>
      <c r="I675" s="6">
        <v>49</v>
      </c>
      <c r="J675" s="6">
        <v>24</v>
      </c>
      <c r="K675" s="6">
        <v>74</v>
      </c>
      <c r="L675" s="6">
        <v>63</v>
      </c>
      <c r="M675" s="10">
        <f t="shared" si="30"/>
        <v>117.46031746031746</v>
      </c>
      <c r="N675" s="10">
        <f t="shared" si="31"/>
        <v>118</v>
      </c>
      <c r="O675" s="6" t="s">
        <v>19</v>
      </c>
      <c r="P675" s="6">
        <v>2</v>
      </c>
      <c r="Q675" s="6">
        <v>6</v>
      </c>
      <c r="R675" s="6">
        <v>5</v>
      </c>
      <c r="S675" s="6">
        <v>13</v>
      </c>
      <c r="T675" s="6" t="str">
        <f t="shared" si="32"/>
        <v>Cuarta</v>
      </c>
    </row>
    <row r="676" spans="1:20">
      <c r="A676" s="7" t="s">
        <v>1589</v>
      </c>
      <c r="B676" s="7" t="s">
        <v>496</v>
      </c>
      <c r="C676" s="8">
        <v>1</v>
      </c>
      <c r="D676" s="7" t="s">
        <v>1589</v>
      </c>
      <c r="E676" s="7" t="s">
        <v>1608</v>
      </c>
      <c r="F676">
        <v>1431</v>
      </c>
      <c r="G676" s="6">
        <v>26584</v>
      </c>
      <c r="H676" s="11" t="s">
        <v>1609</v>
      </c>
      <c r="I676" s="6">
        <v>38</v>
      </c>
      <c r="J676" s="6">
        <v>49</v>
      </c>
      <c r="K676" s="6">
        <v>118</v>
      </c>
      <c r="L676" s="6">
        <v>46</v>
      </c>
      <c r="M676" s="10">
        <f t="shared" si="30"/>
        <v>256.52173913043481</v>
      </c>
      <c r="N676" s="10">
        <f t="shared" si="31"/>
        <v>257</v>
      </c>
      <c r="O676" s="6" t="s">
        <v>37</v>
      </c>
      <c r="P676" s="6">
        <v>6</v>
      </c>
      <c r="Q676" s="6">
        <v>4</v>
      </c>
      <c r="R676" s="6">
        <v>4</v>
      </c>
      <c r="S676" s="6">
        <v>14</v>
      </c>
      <c r="T676" s="6" t="str">
        <f t="shared" si="32"/>
        <v>Cuarta</v>
      </c>
    </row>
    <row r="677" spans="1:20">
      <c r="A677" s="7" t="s">
        <v>1589</v>
      </c>
      <c r="B677" s="7" t="s">
        <v>496</v>
      </c>
      <c r="C677" s="8">
        <v>1</v>
      </c>
      <c r="D677" s="7" t="s">
        <v>1589</v>
      </c>
      <c r="E677" s="7" t="s">
        <v>1610</v>
      </c>
      <c r="F677">
        <v>1226</v>
      </c>
      <c r="G677" s="6">
        <v>21417</v>
      </c>
      <c r="H677" s="11" t="s">
        <v>1611</v>
      </c>
      <c r="I677" s="6">
        <v>60</v>
      </c>
      <c r="J677" s="6">
        <v>25</v>
      </c>
      <c r="K677" s="6">
        <v>59</v>
      </c>
      <c r="L677" s="6">
        <v>56</v>
      </c>
      <c r="M677" s="10">
        <f t="shared" si="30"/>
        <v>105.35714285714286</v>
      </c>
      <c r="N677" s="10">
        <f t="shared" si="31"/>
        <v>106</v>
      </c>
      <c r="O677" s="6" t="s">
        <v>136</v>
      </c>
      <c r="P677" s="6">
        <v>2</v>
      </c>
      <c r="Q677" s="6">
        <v>2</v>
      </c>
      <c r="R677" s="6">
        <v>3</v>
      </c>
      <c r="S677" s="6">
        <v>7</v>
      </c>
      <c r="T677" s="6" t="str">
        <f t="shared" si="32"/>
        <v>Quinta</v>
      </c>
    </row>
    <row r="678" spans="1:20">
      <c r="A678" s="7" t="s">
        <v>1589</v>
      </c>
      <c r="B678" s="7" t="s">
        <v>496</v>
      </c>
      <c r="C678" s="8">
        <v>1</v>
      </c>
      <c r="D678" s="7" t="s">
        <v>1589</v>
      </c>
      <c r="E678" s="7" t="s">
        <v>1612</v>
      </c>
      <c r="F678">
        <v>1333</v>
      </c>
      <c r="G678" s="6">
        <v>28072</v>
      </c>
      <c r="H678" s="11" t="s">
        <v>1613</v>
      </c>
      <c r="I678" s="6">
        <v>29</v>
      </c>
      <c r="J678" s="6">
        <v>25</v>
      </c>
      <c r="K678" s="6">
        <v>62</v>
      </c>
      <c r="L678" s="6">
        <v>56</v>
      </c>
      <c r="M678" s="10">
        <f t="shared" si="30"/>
        <v>110.71428571428571</v>
      </c>
      <c r="N678" s="10">
        <f t="shared" si="31"/>
        <v>111</v>
      </c>
      <c r="O678" s="6" t="s">
        <v>12</v>
      </c>
      <c r="P678" s="6">
        <v>2</v>
      </c>
      <c r="Q678" s="6">
        <v>2</v>
      </c>
      <c r="R678" s="6">
        <v>2</v>
      </c>
      <c r="S678" s="6">
        <v>6</v>
      </c>
      <c r="T678" s="6" t="str">
        <f t="shared" si="32"/>
        <v>Quinta</v>
      </c>
    </row>
    <row r="679" spans="1:20">
      <c r="A679" s="7" t="s">
        <v>1589</v>
      </c>
      <c r="B679" s="7" t="s">
        <v>507</v>
      </c>
      <c r="C679" s="8">
        <v>1</v>
      </c>
      <c r="D679" s="7" t="s">
        <v>1589</v>
      </c>
      <c r="E679" s="7" t="s">
        <v>1604</v>
      </c>
      <c r="F679">
        <v>1415</v>
      </c>
      <c r="G679" s="6">
        <v>23251</v>
      </c>
      <c r="H679" s="11" t="s">
        <v>1605</v>
      </c>
      <c r="I679" s="6">
        <v>40</v>
      </c>
      <c r="J679" s="6">
        <v>78</v>
      </c>
      <c r="K679" s="6">
        <v>183</v>
      </c>
      <c r="L679" s="6">
        <v>52</v>
      </c>
      <c r="M679" s="10">
        <f t="shared" si="30"/>
        <v>351.92307692307691</v>
      </c>
      <c r="N679" s="10">
        <f t="shared" si="31"/>
        <v>352</v>
      </c>
      <c r="O679" s="6" t="s">
        <v>19</v>
      </c>
      <c r="P679" s="6">
        <v>2</v>
      </c>
      <c r="Q679" s="6">
        <v>8</v>
      </c>
      <c r="R679" s="6">
        <v>17</v>
      </c>
      <c r="S679" s="6">
        <v>27</v>
      </c>
      <c r="T679" s="6" t="str">
        <f t="shared" si="32"/>
        <v>Cuarta</v>
      </c>
    </row>
    <row r="680" spans="1:20">
      <c r="A680" s="7" t="s">
        <v>1589</v>
      </c>
      <c r="B680" s="7" t="s">
        <v>507</v>
      </c>
      <c r="C680" s="8">
        <v>1</v>
      </c>
      <c r="D680" s="7" t="s">
        <v>1589</v>
      </c>
      <c r="E680" s="7" t="s">
        <v>1614</v>
      </c>
      <c r="F680">
        <v>1253</v>
      </c>
      <c r="G680" s="6">
        <v>21743</v>
      </c>
      <c r="H680" s="11" t="s">
        <v>1615</v>
      </c>
      <c r="I680" s="6">
        <v>54</v>
      </c>
      <c r="J680" s="6">
        <v>19</v>
      </c>
      <c r="K680" s="6">
        <v>55</v>
      </c>
      <c r="L680" s="6">
        <v>49</v>
      </c>
      <c r="M680" s="10">
        <f t="shared" si="30"/>
        <v>112.24489795918367</v>
      </c>
      <c r="N680" s="10">
        <f t="shared" si="31"/>
        <v>113</v>
      </c>
      <c r="O680" s="6" t="s">
        <v>160</v>
      </c>
      <c r="P680" s="6">
        <v>1</v>
      </c>
      <c r="Q680" s="6">
        <v>2</v>
      </c>
      <c r="R680" s="6">
        <v>4</v>
      </c>
      <c r="S680" s="6">
        <v>7</v>
      </c>
      <c r="T680" s="6" t="str">
        <f t="shared" si="32"/>
        <v>Quinta</v>
      </c>
    </row>
    <row r="681" spans="1:20">
      <c r="A681" s="7" t="s">
        <v>1589</v>
      </c>
      <c r="B681" s="7" t="s">
        <v>507</v>
      </c>
      <c r="C681" s="8">
        <v>1</v>
      </c>
      <c r="D681" s="7" t="s">
        <v>1589</v>
      </c>
      <c r="E681" s="7" t="s">
        <v>1616</v>
      </c>
      <c r="F681">
        <v>1231</v>
      </c>
      <c r="G681" s="6">
        <v>26017</v>
      </c>
      <c r="H681" s="11" t="s">
        <v>1617</v>
      </c>
      <c r="I681" s="6">
        <v>53</v>
      </c>
      <c r="J681" s="6">
        <v>45</v>
      </c>
      <c r="K681" s="6">
        <v>109</v>
      </c>
      <c r="L681" s="6">
        <v>58</v>
      </c>
      <c r="M681" s="10">
        <f t="shared" si="30"/>
        <v>187.93103448275863</v>
      </c>
      <c r="N681" s="10">
        <f t="shared" si="31"/>
        <v>188</v>
      </c>
      <c r="O681" s="6" t="s">
        <v>26</v>
      </c>
      <c r="P681" s="6">
        <v>7</v>
      </c>
      <c r="Q681" s="6">
        <v>3</v>
      </c>
      <c r="R681" s="6">
        <v>8</v>
      </c>
      <c r="S681" s="6">
        <v>18</v>
      </c>
      <c r="T681" s="6" t="str">
        <f t="shared" si="32"/>
        <v>Quinta</v>
      </c>
    </row>
    <row r="682" spans="1:20">
      <c r="A682" s="7" t="s">
        <v>1589</v>
      </c>
      <c r="B682" s="7" t="s">
        <v>507</v>
      </c>
      <c r="C682" s="8">
        <v>1</v>
      </c>
      <c r="D682" s="7" t="s">
        <v>1589</v>
      </c>
      <c r="E682" s="7" t="s">
        <v>1618</v>
      </c>
      <c r="F682">
        <v>1211</v>
      </c>
      <c r="G682" s="6">
        <v>23194</v>
      </c>
      <c r="H682" s="11" t="s">
        <v>1619</v>
      </c>
      <c r="I682" s="6">
        <v>59</v>
      </c>
      <c r="J682" s="6">
        <v>22</v>
      </c>
      <c r="K682" s="6">
        <v>38</v>
      </c>
      <c r="L682" s="6">
        <v>41</v>
      </c>
      <c r="M682" s="10">
        <f t="shared" si="30"/>
        <v>92.682926829268297</v>
      </c>
      <c r="N682" s="10">
        <f t="shared" si="31"/>
        <v>93</v>
      </c>
      <c r="O682" s="6" t="s">
        <v>206</v>
      </c>
      <c r="P682" s="6">
        <v>0</v>
      </c>
      <c r="Q682" s="6">
        <v>1</v>
      </c>
      <c r="R682" s="6">
        <v>6</v>
      </c>
      <c r="S682" s="6">
        <v>7</v>
      </c>
      <c r="T682" s="6" t="str">
        <f t="shared" si="32"/>
        <v>Quinta</v>
      </c>
    </row>
    <row r="683" spans="1:20">
      <c r="A683" s="7" t="s">
        <v>1589</v>
      </c>
      <c r="B683" s="7" t="s">
        <v>507</v>
      </c>
      <c r="C683" s="8">
        <v>1</v>
      </c>
      <c r="D683" s="7" t="s">
        <v>1589</v>
      </c>
      <c r="E683" s="7" t="s">
        <v>1620</v>
      </c>
      <c r="F683">
        <v>1319</v>
      </c>
      <c r="G683" s="6">
        <v>6914</v>
      </c>
      <c r="H683" s="11" t="s">
        <v>1621</v>
      </c>
      <c r="I683" s="6">
        <v>30</v>
      </c>
      <c r="J683" s="6">
        <v>31</v>
      </c>
      <c r="K683" s="6">
        <v>66</v>
      </c>
      <c r="L683" s="6">
        <v>49</v>
      </c>
      <c r="M683" s="10">
        <f t="shared" si="30"/>
        <v>134.69387755102042</v>
      </c>
      <c r="N683" s="10">
        <f t="shared" si="31"/>
        <v>135</v>
      </c>
      <c r="O683" s="6" t="s">
        <v>26</v>
      </c>
      <c r="P683" s="6">
        <v>3</v>
      </c>
      <c r="Q683" s="6">
        <v>1</v>
      </c>
      <c r="R683" s="6">
        <v>8</v>
      </c>
      <c r="S683" s="6">
        <v>12</v>
      </c>
      <c r="T683" s="6" t="str">
        <f t="shared" si="32"/>
        <v>Quinta</v>
      </c>
    </row>
    <row r="684" spans="1:20">
      <c r="A684" s="7" t="s">
        <v>1589</v>
      </c>
      <c r="B684" s="7" t="s">
        <v>507</v>
      </c>
      <c r="C684" s="8">
        <v>1</v>
      </c>
      <c r="D684" s="7" t="s">
        <v>1589</v>
      </c>
      <c r="E684" s="7" t="s">
        <v>1622</v>
      </c>
      <c r="F684">
        <v>1232</v>
      </c>
      <c r="G684" s="6">
        <v>8705</v>
      </c>
      <c r="H684" s="11" t="s">
        <v>1623</v>
      </c>
      <c r="I684" s="6">
        <v>74</v>
      </c>
      <c r="J684" s="6">
        <v>76</v>
      </c>
      <c r="K684" s="6">
        <v>130</v>
      </c>
      <c r="L684" s="6">
        <v>42</v>
      </c>
      <c r="M684" s="10">
        <f t="shared" si="30"/>
        <v>309.52380952380952</v>
      </c>
      <c r="N684" s="10">
        <f t="shared" si="31"/>
        <v>310</v>
      </c>
      <c r="O684" s="6" t="s">
        <v>20</v>
      </c>
      <c r="P684" s="6">
        <v>2</v>
      </c>
      <c r="Q684" s="6">
        <v>2</v>
      </c>
      <c r="R684" s="6">
        <v>8</v>
      </c>
      <c r="S684" s="6">
        <v>12</v>
      </c>
      <c r="T684" s="6" t="str">
        <f t="shared" si="32"/>
        <v>Quinta</v>
      </c>
    </row>
    <row r="685" spans="1:20">
      <c r="A685" s="7" t="s">
        <v>1589</v>
      </c>
      <c r="B685" s="7" t="s">
        <v>507</v>
      </c>
      <c r="C685" s="8">
        <v>1</v>
      </c>
      <c r="D685" s="7" t="s">
        <v>1589</v>
      </c>
      <c r="E685" s="7" t="s">
        <v>1624</v>
      </c>
      <c r="F685">
        <v>1236</v>
      </c>
      <c r="G685" s="6">
        <v>16038</v>
      </c>
      <c r="H685" s="11" t="s">
        <v>1625</v>
      </c>
      <c r="I685" s="6">
        <v>56</v>
      </c>
      <c r="J685" s="6">
        <v>43</v>
      </c>
      <c r="K685" s="6">
        <v>64</v>
      </c>
      <c r="L685" s="6">
        <v>35</v>
      </c>
      <c r="M685" s="10">
        <f t="shared" si="30"/>
        <v>182.85714285714286</v>
      </c>
      <c r="N685" s="10">
        <f t="shared" si="31"/>
        <v>183</v>
      </c>
      <c r="O685" s="6" t="s">
        <v>37</v>
      </c>
      <c r="P685" s="6">
        <v>0</v>
      </c>
      <c r="Q685" s="6">
        <v>3</v>
      </c>
      <c r="R685" s="6">
        <v>3</v>
      </c>
      <c r="S685" s="6">
        <v>6</v>
      </c>
      <c r="T685" s="6" t="str">
        <f t="shared" si="32"/>
        <v>Quinta</v>
      </c>
    </row>
    <row r="686" spans="1:20">
      <c r="A686" s="7" t="s">
        <v>1589</v>
      </c>
      <c r="B686" s="7" t="s">
        <v>507</v>
      </c>
      <c r="C686" s="8">
        <v>1</v>
      </c>
      <c r="D686" s="7" t="s">
        <v>1589</v>
      </c>
      <c r="E686" s="7" t="s">
        <v>1610</v>
      </c>
      <c r="F686">
        <v>1226</v>
      </c>
      <c r="G686" s="6">
        <v>21417</v>
      </c>
      <c r="H686" s="11" t="s">
        <v>1611</v>
      </c>
      <c r="I686" s="6">
        <v>60</v>
      </c>
      <c r="J686" s="6">
        <v>25</v>
      </c>
      <c r="K686" s="6">
        <v>59</v>
      </c>
      <c r="L686" s="6">
        <v>56</v>
      </c>
      <c r="M686" s="10">
        <f t="shared" si="30"/>
        <v>105.35714285714286</v>
      </c>
      <c r="N686" s="10">
        <f t="shared" si="31"/>
        <v>106</v>
      </c>
      <c r="O686" s="6" t="s">
        <v>136</v>
      </c>
      <c r="P686" s="6">
        <v>2</v>
      </c>
      <c r="Q686" s="6">
        <v>2</v>
      </c>
      <c r="R686" s="6">
        <v>3</v>
      </c>
      <c r="S686" s="6">
        <v>7</v>
      </c>
      <c r="T686" s="6" t="str">
        <f t="shared" si="32"/>
        <v>Quinta</v>
      </c>
    </row>
    <row r="687" spans="1:20">
      <c r="A687" s="7" t="s">
        <v>1589</v>
      </c>
      <c r="B687" s="7" t="s">
        <v>526</v>
      </c>
      <c r="C687" s="8">
        <v>1</v>
      </c>
      <c r="D687" s="7" t="s">
        <v>1589</v>
      </c>
      <c r="E687" s="7" t="s">
        <v>1620</v>
      </c>
      <c r="F687">
        <v>1319</v>
      </c>
      <c r="G687" s="6">
        <v>6914</v>
      </c>
      <c r="H687" s="11" t="s">
        <v>1621</v>
      </c>
      <c r="I687" s="6">
        <v>30</v>
      </c>
      <c r="J687" s="6">
        <v>31</v>
      </c>
      <c r="K687" s="6">
        <v>66</v>
      </c>
      <c r="L687" s="6">
        <v>49</v>
      </c>
      <c r="M687" s="10">
        <f t="shared" si="30"/>
        <v>134.69387755102042</v>
      </c>
      <c r="N687" s="10">
        <f t="shared" si="31"/>
        <v>135</v>
      </c>
      <c r="O687" s="6" t="s">
        <v>26</v>
      </c>
      <c r="P687" s="6">
        <v>3</v>
      </c>
      <c r="Q687" s="6">
        <v>1</v>
      </c>
      <c r="R687" s="6">
        <v>8</v>
      </c>
      <c r="S687" s="6">
        <v>12</v>
      </c>
      <c r="T687" s="6" t="str">
        <f t="shared" si="32"/>
        <v>Quinta</v>
      </c>
    </row>
    <row r="688" spans="1:20">
      <c r="A688" s="7" t="s">
        <v>1589</v>
      </c>
      <c r="B688" s="7" t="s">
        <v>526</v>
      </c>
      <c r="C688" s="8">
        <v>1</v>
      </c>
      <c r="D688" s="7" t="s">
        <v>1589</v>
      </c>
      <c r="E688" s="7" t="s">
        <v>1626</v>
      </c>
      <c r="F688">
        <v>1087</v>
      </c>
      <c r="G688" s="6">
        <v>9082</v>
      </c>
      <c r="H688" s="11" t="s">
        <v>1627</v>
      </c>
      <c r="I688" s="6">
        <v>63</v>
      </c>
      <c r="J688" s="6">
        <v>62</v>
      </c>
      <c r="K688" s="6">
        <v>130</v>
      </c>
      <c r="L688" s="6">
        <v>43</v>
      </c>
      <c r="M688" s="10">
        <f t="shared" si="30"/>
        <v>302.32558139534882</v>
      </c>
      <c r="N688" s="10">
        <f t="shared" si="31"/>
        <v>303</v>
      </c>
      <c r="O688" s="6" t="s">
        <v>138</v>
      </c>
      <c r="P688" s="6">
        <v>5</v>
      </c>
      <c r="Q688" s="6">
        <v>7</v>
      </c>
      <c r="R688" s="6">
        <v>11</v>
      </c>
      <c r="S688" s="6">
        <v>23</v>
      </c>
      <c r="T688" s="6" t="str">
        <f t="shared" si="32"/>
        <v>Sexta</v>
      </c>
    </row>
    <row r="689" spans="1:20">
      <c r="A689" s="7" t="s">
        <v>1589</v>
      </c>
      <c r="B689" s="7" t="s">
        <v>526</v>
      </c>
      <c r="C689" s="8">
        <v>1</v>
      </c>
      <c r="D689" s="7" t="s">
        <v>1589</v>
      </c>
      <c r="E689" s="7" t="s">
        <v>1628</v>
      </c>
      <c r="F689">
        <v>1085</v>
      </c>
      <c r="G689" s="6">
        <v>28892</v>
      </c>
      <c r="H689" s="11" t="s">
        <v>1629</v>
      </c>
      <c r="I689" s="6">
        <v>30</v>
      </c>
      <c r="J689" s="6">
        <v>4</v>
      </c>
      <c r="K689" s="6">
        <v>13</v>
      </c>
      <c r="L689" s="6">
        <v>62</v>
      </c>
      <c r="M689" s="10">
        <f t="shared" si="30"/>
        <v>20.967741935483872</v>
      </c>
      <c r="N689" s="10">
        <f t="shared" si="31"/>
        <v>21</v>
      </c>
      <c r="O689" s="6" t="s">
        <v>207</v>
      </c>
      <c r="P689" s="6">
        <v>0</v>
      </c>
      <c r="Q689" s="6">
        <v>1</v>
      </c>
      <c r="R689" s="6">
        <v>0</v>
      </c>
      <c r="S689" s="6">
        <v>1</v>
      </c>
      <c r="T689" s="6" t="str">
        <f t="shared" si="32"/>
        <v>Sexta</v>
      </c>
    </row>
    <row r="690" spans="1:20">
      <c r="A690" s="7" t="s">
        <v>1589</v>
      </c>
      <c r="B690" s="7" t="s">
        <v>526</v>
      </c>
      <c r="C690" s="8">
        <v>1</v>
      </c>
      <c r="D690" s="7" t="s">
        <v>1589</v>
      </c>
      <c r="E690" s="7" t="s">
        <v>1630</v>
      </c>
      <c r="F690">
        <v>1178</v>
      </c>
      <c r="G690" s="6">
        <v>28018</v>
      </c>
      <c r="H690" s="11" t="s">
        <v>1631</v>
      </c>
      <c r="I690" s="6">
        <v>23</v>
      </c>
      <c r="J690" s="6">
        <v>34</v>
      </c>
      <c r="K690" s="6">
        <v>74</v>
      </c>
      <c r="L690" s="6">
        <v>42</v>
      </c>
      <c r="M690" s="10">
        <f t="shared" si="30"/>
        <v>176.1904761904762</v>
      </c>
      <c r="N690" s="10">
        <f t="shared" si="31"/>
        <v>177</v>
      </c>
      <c r="O690" s="6" t="s">
        <v>20</v>
      </c>
      <c r="P690" s="6">
        <v>2</v>
      </c>
      <c r="Q690" s="6">
        <v>1</v>
      </c>
      <c r="R690" s="6">
        <v>5</v>
      </c>
      <c r="S690" s="6">
        <v>8</v>
      </c>
      <c r="T690" s="6" t="str">
        <f t="shared" si="32"/>
        <v>Sexta</v>
      </c>
    </row>
    <row r="691" spans="1:20">
      <c r="A691" s="7" t="s">
        <v>1589</v>
      </c>
      <c r="B691" s="7" t="s">
        <v>526</v>
      </c>
      <c r="C691" s="8">
        <v>1</v>
      </c>
      <c r="D691" s="7" t="s">
        <v>1589</v>
      </c>
      <c r="E691" s="7" t="s">
        <v>1632</v>
      </c>
      <c r="F691">
        <v>922</v>
      </c>
      <c r="G691" s="6">
        <v>26051</v>
      </c>
      <c r="H691" s="11" t="s">
        <v>1633</v>
      </c>
      <c r="I691" s="6">
        <v>68</v>
      </c>
      <c r="J691" s="6">
        <v>45</v>
      </c>
      <c r="K691" s="6">
        <v>64</v>
      </c>
      <c r="L691" s="6">
        <v>34</v>
      </c>
      <c r="M691" s="10">
        <f t="shared" si="30"/>
        <v>188.23529411764707</v>
      </c>
      <c r="N691" s="10">
        <f t="shared" si="31"/>
        <v>189</v>
      </c>
      <c r="O691" s="6" t="s">
        <v>26</v>
      </c>
      <c r="P691" s="6">
        <v>0</v>
      </c>
      <c r="Q691" s="6">
        <v>2</v>
      </c>
      <c r="R691" s="6">
        <v>11</v>
      </c>
      <c r="S691" s="6">
        <v>13</v>
      </c>
      <c r="T691" s="6" t="str">
        <f t="shared" si="32"/>
        <v>Octava</v>
      </c>
    </row>
    <row r="692" spans="1:20">
      <c r="A692" s="7" t="s">
        <v>1589</v>
      </c>
      <c r="B692" s="7" t="s">
        <v>526</v>
      </c>
      <c r="C692" s="8">
        <v>1</v>
      </c>
      <c r="D692" s="7" t="s">
        <v>1589</v>
      </c>
      <c r="E692" s="7" t="s">
        <v>1634</v>
      </c>
      <c r="F692">
        <v>934</v>
      </c>
      <c r="G692" s="6">
        <v>27098</v>
      </c>
      <c r="H692" s="11" t="s">
        <v>1635</v>
      </c>
      <c r="I692" s="6">
        <v>32</v>
      </c>
      <c r="J692" s="6">
        <v>6</v>
      </c>
      <c r="K692" s="6">
        <v>7</v>
      </c>
      <c r="L692" s="6">
        <v>30</v>
      </c>
      <c r="M692" s="10">
        <f t="shared" si="30"/>
        <v>23.333333333333332</v>
      </c>
      <c r="N692" s="10">
        <f t="shared" si="31"/>
        <v>24</v>
      </c>
      <c r="O692" s="6" t="s">
        <v>160</v>
      </c>
      <c r="P692" s="6">
        <v>0</v>
      </c>
      <c r="Q692" s="6">
        <v>0</v>
      </c>
      <c r="R692" s="6">
        <v>0</v>
      </c>
      <c r="S692" s="6">
        <v>0</v>
      </c>
      <c r="T692" s="6" t="str">
        <f t="shared" si="32"/>
        <v>Octava</v>
      </c>
    </row>
    <row r="693" spans="1:20">
      <c r="A693" s="7" t="s">
        <v>1589</v>
      </c>
      <c r="B693" s="7" t="s">
        <v>526</v>
      </c>
      <c r="C693" s="8">
        <v>1</v>
      </c>
      <c r="D693" s="7" t="s">
        <v>1589</v>
      </c>
      <c r="E693" s="7" t="s">
        <v>1636</v>
      </c>
      <c r="F693">
        <v>1074</v>
      </c>
      <c r="G693" s="6">
        <v>26028</v>
      </c>
      <c r="H693" s="11" t="s">
        <v>1637</v>
      </c>
      <c r="I693" s="6">
        <v>44</v>
      </c>
      <c r="J693" s="6">
        <v>28</v>
      </c>
      <c r="K693" s="6">
        <v>55</v>
      </c>
      <c r="L693" s="6">
        <v>46</v>
      </c>
      <c r="M693" s="10">
        <f t="shared" si="30"/>
        <v>119.56521739130434</v>
      </c>
      <c r="N693" s="10">
        <f t="shared" si="31"/>
        <v>120</v>
      </c>
      <c r="O693" s="6" t="s">
        <v>79</v>
      </c>
      <c r="P693" s="6">
        <v>1</v>
      </c>
      <c r="Q693" s="6">
        <v>1</v>
      </c>
      <c r="R693" s="6">
        <v>5</v>
      </c>
      <c r="S693" s="6">
        <v>7</v>
      </c>
      <c r="T693" s="6" t="str">
        <f t="shared" si="32"/>
        <v>Septima</v>
      </c>
    </row>
    <row r="694" spans="1:20">
      <c r="A694" s="7" t="s">
        <v>1589</v>
      </c>
      <c r="B694" s="7" t="s">
        <v>526</v>
      </c>
      <c r="C694" s="8">
        <v>1</v>
      </c>
      <c r="D694" s="7" t="s">
        <v>1589</v>
      </c>
      <c r="E694" s="7" t="s">
        <v>1638</v>
      </c>
      <c r="F694">
        <v>952</v>
      </c>
      <c r="G694" s="6">
        <v>28260</v>
      </c>
      <c r="H694" s="11" t="s">
        <v>1639</v>
      </c>
      <c r="I694" s="6">
        <v>52</v>
      </c>
      <c r="J694" s="6">
        <v>2</v>
      </c>
      <c r="K694" s="6">
        <v>1</v>
      </c>
      <c r="L694" s="6">
        <v>14</v>
      </c>
      <c r="M694" s="10">
        <f t="shared" si="30"/>
        <v>7.1428571428571432</v>
      </c>
      <c r="N694" s="10">
        <f t="shared" si="31"/>
        <v>8</v>
      </c>
      <c r="O694" s="6" t="s">
        <v>160</v>
      </c>
      <c r="P694" s="6">
        <v>0</v>
      </c>
      <c r="Q694" s="6">
        <v>0</v>
      </c>
      <c r="R694" s="6">
        <v>0</v>
      </c>
      <c r="S694" s="6">
        <v>0</v>
      </c>
      <c r="T694" s="6" t="str">
        <f t="shared" si="32"/>
        <v>Octava</v>
      </c>
    </row>
    <row r="695" spans="1:20">
      <c r="A695" s="7" t="s">
        <v>1640</v>
      </c>
      <c r="B695" s="7" t="s">
        <v>434</v>
      </c>
      <c r="C695" s="8">
        <v>1</v>
      </c>
      <c r="D695" s="7" t="s">
        <v>1640</v>
      </c>
      <c r="E695" s="7" t="s">
        <v>1641</v>
      </c>
      <c r="F695">
        <v>2288</v>
      </c>
      <c r="G695" s="6">
        <v>4832</v>
      </c>
      <c r="H695" s="11" t="s">
        <v>1642</v>
      </c>
      <c r="I695" s="6">
        <v>47</v>
      </c>
      <c r="J695" s="6">
        <v>212</v>
      </c>
      <c r="K695" s="6">
        <v>672</v>
      </c>
      <c r="L695" s="6">
        <v>58</v>
      </c>
      <c r="M695" s="10">
        <f t="shared" si="30"/>
        <v>1158.6206896551723</v>
      </c>
      <c r="N695" s="10">
        <f t="shared" si="31"/>
        <v>1159</v>
      </c>
      <c r="O695" s="6" t="s">
        <v>43</v>
      </c>
      <c r="P695" s="6">
        <v>26</v>
      </c>
      <c r="Q695" s="6">
        <v>22</v>
      </c>
      <c r="R695" s="6">
        <v>38</v>
      </c>
      <c r="S695" s="6">
        <v>86</v>
      </c>
      <c r="T695" s="6" t="str">
        <f t="shared" si="32"/>
        <v>Primera</v>
      </c>
    </row>
    <row r="696" spans="1:20">
      <c r="A696" s="7" t="s">
        <v>1640</v>
      </c>
      <c r="B696" s="7" t="s">
        <v>434</v>
      </c>
      <c r="C696" s="8">
        <v>1</v>
      </c>
      <c r="D696" s="7" t="s">
        <v>1640</v>
      </c>
      <c r="E696" s="7" t="s">
        <v>1643</v>
      </c>
      <c r="F696">
        <v>2139</v>
      </c>
      <c r="G696" s="6">
        <v>13632</v>
      </c>
      <c r="H696" s="11" t="s">
        <v>1644</v>
      </c>
      <c r="I696" s="6">
        <v>52</v>
      </c>
      <c r="J696" s="6">
        <v>117</v>
      </c>
      <c r="K696" s="6">
        <v>373</v>
      </c>
      <c r="L696" s="6">
        <v>66</v>
      </c>
      <c r="M696" s="10">
        <f t="shared" si="30"/>
        <v>565.15151515151513</v>
      </c>
      <c r="N696" s="10">
        <f t="shared" si="31"/>
        <v>566</v>
      </c>
      <c r="O696" s="6" t="s">
        <v>64</v>
      </c>
      <c r="P696" s="6">
        <v>16</v>
      </c>
      <c r="Q696" s="6">
        <v>15</v>
      </c>
      <c r="R696" s="6">
        <v>23</v>
      </c>
      <c r="S696" s="6">
        <v>54</v>
      </c>
      <c r="T696" s="6" t="str">
        <f t="shared" si="32"/>
        <v>Primera</v>
      </c>
    </row>
    <row r="697" spans="1:20">
      <c r="A697" s="7" t="s">
        <v>1640</v>
      </c>
      <c r="B697" s="7" t="s">
        <v>434</v>
      </c>
      <c r="C697" s="8">
        <v>1</v>
      </c>
      <c r="D697" s="7" t="s">
        <v>1640</v>
      </c>
      <c r="E697" s="7" t="s">
        <v>1645</v>
      </c>
      <c r="F697">
        <v>2205</v>
      </c>
      <c r="G697" s="6">
        <v>2586</v>
      </c>
      <c r="H697" s="11" t="s">
        <v>1646</v>
      </c>
      <c r="I697" s="6">
        <v>32</v>
      </c>
      <c r="J697" s="6">
        <v>43</v>
      </c>
      <c r="K697" s="6">
        <v>153</v>
      </c>
      <c r="L697" s="6">
        <v>66</v>
      </c>
      <c r="M697" s="10">
        <f t="shared" si="30"/>
        <v>231.81818181818181</v>
      </c>
      <c r="N697" s="10">
        <f t="shared" si="31"/>
        <v>232</v>
      </c>
      <c r="O697" s="6" t="s">
        <v>208</v>
      </c>
      <c r="P697" s="6">
        <v>9</v>
      </c>
      <c r="Q697" s="6">
        <v>6</v>
      </c>
      <c r="R697" s="6">
        <v>10</v>
      </c>
      <c r="S697" s="6">
        <v>25</v>
      </c>
      <c r="T697" s="6" t="str">
        <f t="shared" si="32"/>
        <v>Primera</v>
      </c>
    </row>
    <row r="698" spans="1:20">
      <c r="A698" s="7" t="s">
        <v>1640</v>
      </c>
      <c r="B698" s="7" t="s">
        <v>434</v>
      </c>
      <c r="C698" s="8">
        <v>1</v>
      </c>
      <c r="D698" s="7" t="s">
        <v>1640</v>
      </c>
      <c r="E698" s="7" t="s">
        <v>1647</v>
      </c>
      <c r="F698">
        <v>2374</v>
      </c>
      <c r="G698" s="6">
        <v>1904</v>
      </c>
      <c r="H698" s="11" t="s">
        <v>1648</v>
      </c>
      <c r="I698" s="6">
        <v>68</v>
      </c>
      <c r="J698" s="6">
        <v>17</v>
      </c>
      <c r="K698" s="6">
        <v>63</v>
      </c>
      <c r="L698" s="6">
        <v>74</v>
      </c>
      <c r="M698" s="10">
        <f t="shared" si="30"/>
        <v>85.13513513513513</v>
      </c>
      <c r="N698" s="10">
        <f t="shared" si="31"/>
        <v>86</v>
      </c>
      <c r="O698" s="6" t="s">
        <v>209</v>
      </c>
      <c r="P698" s="6">
        <v>2</v>
      </c>
      <c r="Q698" s="6">
        <v>2</v>
      </c>
      <c r="R698" s="6">
        <v>5</v>
      </c>
      <c r="S698" s="6">
        <v>9</v>
      </c>
      <c r="T698" s="6" t="str">
        <f t="shared" si="32"/>
        <v>Primera</v>
      </c>
    </row>
    <row r="699" spans="1:20">
      <c r="A699" s="7" t="s">
        <v>1640</v>
      </c>
      <c r="B699" s="7" t="s">
        <v>434</v>
      </c>
      <c r="C699" s="8">
        <v>1</v>
      </c>
      <c r="D699" s="7" t="s">
        <v>1640</v>
      </c>
      <c r="E699" s="7" t="s">
        <v>1649</v>
      </c>
      <c r="F699">
        <v>2107</v>
      </c>
      <c r="G699" s="6">
        <v>8493</v>
      </c>
      <c r="H699" s="11" t="s">
        <v>1650</v>
      </c>
      <c r="I699" s="6">
        <v>54</v>
      </c>
      <c r="J699" s="6">
        <v>130</v>
      </c>
      <c r="K699" s="6">
        <v>421</v>
      </c>
      <c r="L699" s="6">
        <v>64</v>
      </c>
      <c r="M699" s="10">
        <f t="shared" si="30"/>
        <v>657.8125</v>
      </c>
      <c r="N699" s="10">
        <f t="shared" si="31"/>
        <v>658</v>
      </c>
      <c r="O699" s="6" t="s">
        <v>210</v>
      </c>
      <c r="P699" s="6">
        <v>16</v>
      </c>
      <c r="Q699" s="6">
        <v>13</v>
      </c>
      <c r="R699" s="6">
        <v>32</v>
      </c>
      <c r="S699" s="6">
        <v>61</v>
      </c>
      <c r="T699" s="6" t="str">
        <f t="shared" si="32"/>
        <v>Primera</v>
      </c>
    </row>
    <row r="700" spans="1:20">
      <c r="A700" s="7" t="s">
        <v>1640</v>
      </c>
      <c r="B700" s="7" t="s">
        <v>434</v>
      </c>
      <c r="C700" s="8">
        <v>1</v>
      </c>
      <c r="D700" s="7" t="s">
        <v>1640</v>
      </c>
      <c r="E700" s="7" t="s">
        <v>1651</v>
      </c>
      <c r="F700">
        <v>2138</v>
      </c>
      <c r="G700" s="6">
        <v>652</v>
      </c>
      <c r="H700" s="11" t="s">
        <v>1652</v>
      </c>
      <c r="I700" s="6">
        <v>52</v>
      </c>
      <c r="J700" s="6">
        <v>77</v>
      </c>
      <c r="K700" s="6">
        <v>226</v>
      </c>
      <c r="L700" s="6">
        <v>58</v>
      </c>
      <c r="M700" s="10">
        <f t="shared" si="30"/>
        <v>389.65517241379308</v>
      </c>
      <c r="N700" s="10">
        <f t="shared" si="31"/>
        <v>390</v>
      </c>
      <c r="O700" s="6" t="s">
        <v>27</v>
      </c>
      <c r="P700" s="6">
        <v>6</v>
      </c>
      <c r="Q700" s="6">
        <v>10</v>
      </c>
      <c r="R700" s="6">
        <v>12</v>
      </c>
      <c r="S700" s="6">
        <v>28</v>
      </c>
      <c r="T700" s="6" t="str">
        <f t="shared" si="32"/>
        <v>Primera</v>
      </c>
    </row>
    <row r="701" spans="1:20">
      <c r="A701" s="7" t="s">
        <v>1640</v>
      </c>
      <c r="B701" s="7" t="s">
        <v>451</v>
      </c>
      <c r="C701" s="8">
        <v>1</v>
      </c>
      <c r="D701" s="7" t="s">
        <v>1640</v>
      </c>
      <c r="E701" s="7" t="s">
        <v>1653</v>
      </c>
      <c r="F701">
        <v>2054</v>
      </c>
      <c r="G701" s="6">
        <v>16762</v>
      </c>
      <c r="H701" s="11" t="s">
        <v>1654</v>
      </c>
      <c r="I701" s="6">
        <v>54</v>
      </c>
      <c r="J701" s="6">
        <v>25</v>
      </c>
      <c r="K701" s="6">
        <v>81</v>
      </c>
      <c r="L701" s="6">
        <v>68</v>
      </c>
      <c r="M701" s="10">
        <f t="shared" si="30"/>
        <v>119.11764705882354</v>
      </c>
      <c r="N701" s="10">
        <f t="shared" si="31"/>
        <v>120</v>
      </c>
      <c r="O701" s="6" t="s">
        <v>147</v>
      </c>
      <c r="P701" s="6">
        <v>3</v>
      </c>
      <c r="Q701" s="6">
        <v>2</v>
      </c>
      <c r="R701" s="6">
        <v>5</v>
      </c>
      <c r="S701" s="6">
        <v>10</v>
      </c>
      <c r="T701" s="6" t="str">
        <f t="shared" si="32"/>
        <v>Segunda</v>
      </c>
    </row>
    <row r="702" spans="1:20">
      <c r="A702" s="7" t="s">
        <v>1640</v>
      </c>
      <c r="B702" s="7" t="s">
        <v>451</v>
      </c>
      <c r="C702" s="8">
        <v>1</v>
      </c>
      <c r="D702" s="7" t="s">
        <v>1640</v>
      </c>
      <c r="E702" s="7" t="s">
        <v>1651</v>
      </c>
      <c r="F702">
        <v>2138</v>
      </c>
      <c r="G702" s="6">
        <v>652</v>
      </c>
      <c r="H702" s="11" t="s">
        <v>1652</v>
      </c>
      <c r="I702" s="6">
        <v>52</v>
      </c>
      <c r="J702" s="6">
        <v>77</v>
      </c>
      <c r="K702" s="6">
        <v>226</v>
      </c>
      <c r="L702" s="6">
        <v>58</v>
      </c>
      <c r="M702" s="10">
        <f t="shared" si="30"/>
        <v>389.65517241379308</v>
      </c>
      <c r="N702" s="10">
        <f t="shared" si="31"/>
        <v>390</v>
      </c>
      <c r="O702" s="6" t="s">
        <v>27</v>
      </c>
      <c r="P702" s="6">
        <v>6</v>
      </c>
      <c r="Q702" s="6">
        <v>10</v>
      </c>
      <c r="R702" s="6">
        <v>12</v>
      </c>
      <c r="S702" s="6">
        <v>28</v>
      </c>
      <c r="T702" s="6" t="str">
        <f t="shared" si="32"/>
        <v>Primera</v>
      </c>
    </row>
    <row r="703" spans="1:20">
      <c r="A703" s="7" t="s">
        <v>1640</v>
      </c>
      <c r="B703" s="7" t="s">
        <v>451</v>
      </c>
      <c r="C703" s="8">
        <v>1</v>
      </c>
      <c r="D703" s="7" t="s">
        <v>1640</v>
      </c>
      <c r="E703" s="7" t="s">
        <v>1655</v>
      </c>
      <c r="F703">
        <v>2039</v>
      </c>
      <c r="G703" s="6">
        <v>7955</v>
      </c>
      <c r="H703" s="11" t="s">
        <v>1656</v>
      </c>
      <c r="I703" s="6">
        <v>63</v>
      </c>
      <c r="J703" s="6">
        <v>64</v>
      </c>
      <c r="K703" s="6">
        <v>219</v>
      </c>
      <c r="L703" s="6">
        <v>59</v>
      </c>
      <c r="M703" s="10">
        <f t="shared" si="30"/>
        <v>371.18644067796612</v>
      </c>
      <c r="N703" s="10">
        <f t="shared" si="31"/>
        <v>372</v>
      </c>
      <c r="O703" s="6" t="s">
        <v>188</v>
      </c>
      <c r="P703" s="6">
        <v>9</v>
      </c>
      <c r="Q703" s="6">
        <v>8</v>
      </c>
      <c r="R703" s="6">
        <v>10</v>
      </c>
      <c r="S703" s="6">
        <v>27</v>
      </c>
      <c r="T703" s="6" t="str">
        <f t="shared" si="32"/>
        <v>Segunda</v>
      </c>
    </row>
    <row r="704" spans="1:20">
      <c r="A704" s="7" t="s">
        <v>1640</v>
      </c>
      <c r="B704" s="7" t="s">
        <v>451</v>
      </c>
      <c r="C704" s="8">
        <v>1</v>
      </c>
      <c r="D704" s="7" t="s">
        <v>1640</v>
      </c>
      <c r="E704" s="7" t="s">
        <v>1657</v>
      </c>
      <c r="F704">
        <v>1944</v>
      </c>
      <c r="G704" s="6">
        <v>342</v>
      </c>
      <c r="H704" s="11" t="s">
        <v>1658</v>
      </c>
      <c r="I704" s="6">
        <v>36</v>
      </c>
      <c r="J704" s="6">
        <v>1</v>
      </c>
      <c r="K704" s="6">
        <v>3</v>
      </c>
      <c r="L704" s="6">
        <v>75</v>
      </c>
      <c r="M704" s="10">
        <f t="shared" si="30"/>
        <v>4</v>
      </c>
      <c r="N704" s="10">
        <f t="shared" si="31"/>
        <v>4</v>
      </c>
      <c r="O704" s="6" t="s">
        <v>211</v>
      </c>
      <c r="P704" s="6">
        <v>0</v>
      </c>
      <c r="Q704" s="6">
        <v>0</v>
      </c>
      <c r="R704" s="6">
        <v>0</v>
      </c>
      <c r="S704" s="6">
        <v>0</v>
      </c>
      <c r="T704" s="6" t="str">
        <f t="shared" si="32"/>
        <v>Segunda</v>
      </c>
    </row>
    <row r="705" spans="1:20">
      <c r="A705" s="7" t="s">
        <v>1640</v>
      </c>
      <c r="B705" s="7" t="s">
        <v>451</v>
      </c>
      <c r="C705" s="8">
        <v>1</v>
      </c>
      <c r="D705" s="7" t="s">
        <v>1640</v>
      </c>
      <c r="E705" s="7" t="s">
        <v>1659</v>
      </c>
      <c r="F705">
        <v>0</v>
      </c>
      <c r="G705" s="6">
        <v>24200</v>
      </c>
      <c r="H705" s="11" t="s">
        <v>1660</v>
      </c>
      <c r="I705" s="6">
        <v>51</v>
      </c>
      <c r="M705" s="10">
        <f t="shared" si="30"/>
        <v>0</v>
      </c>
      <c r="N705" s="10">
        <f t="shared" si="31"/>
        <v>0</v>
      </c>
      <c r="P705" s="6">
        <v>0</v>
      </c>
      <c r="Q705" s="6">
        <v>0</v>
      </c>
      <c r="R705" s="6">
        <v>0</v>
      </c>
      <c r="S705" s="6">
        <v>0</v>
      </c>
      <c r="T705" s="6" t="str">
        <f t="shared" si="32"/>
        <v>Octava</v>
      </c>
    </row>
    <row r="706" spans="1:20">
      <c r="A706" s="7" t="s">
        <v>1640</v>
      </c>
      <c r="B706" s="7" t="s">
        <v>451</v>
      </c>
      <c r="C706" s="8">
        <v>1</v>
      </c>
      <c r="D706" s="7" t="s">
        <v>1640</v>
      </c>
      <c r="E706" s="7" t="s">
        <v>1661</v>
      </c>
      <c r="F706">
        <v>1856</v>
      </c>
      <c r="G706" s="6">
        <v>8094</v>
      </c>
      <c r="H706" s="11" t="s">
        <v>1662</v>
      </c>
      <c r="I706" s="6">
        <v>52</v>
      </c>
      <c r="J706" s="6">
        <v>88</v>
      </c>
      <c r="K706" s="6">
        <v>147</v>
      </c>
      <c r="L706" s="6">
        <v>40</v>
      </c>
      <c r="M706" s="10">
        <f t="shared" si="30"/>
        <v>367.5</v>
      </c>
      <c r="N706" s="10">
        <f t="shared" si="31"/>
        <v>368</v>
      </c>
      <c r="O706" s="6" t="s">
        <v>212</v>
      </c>
      <c r="P706" s="6">
        <v>2</v>
      </c>
      <c r="Q706" s="6">
        <v>4</v>
      </c>
      <c r="R706" s="6">
        <v>10</v>
      </c>
      <c r="S706" s="6">
        <v>16</v>
      </c>
      <c r="T706" s="6" t="str">
        <f t="shared" si="32"/>
        <v>Segunda</v>
      </c>
    </row>
    <row r="707" spans="1:20">
      <c r="A707" s="7" t="s">
        <v>1640</v>
      </c>
      <c r="B707" s="7" t="s">
        <v>468</v>
      </c>
      <c r="C707" s="8">
        <v>1</v>
      </c>
      <c r="D707" s="7" t="s">
        <v>1640</v>
      </c>
      <c r="E707" s="7" t="s">
        <v>1663</v>
      </c>
      <c r="F707">
        <v>1830</v>
      </c>
      <c r="G707" s="6">
        <v>359</v>
      </c>
      <c r="H707" s="11" t="s">
        <v>1664</v>
      </c>
      <c r="I707" s="6">
        <v>62</v>
      </c>
      <c r="J707" s="6">
        <v>18</v>
      </c>
      <c r="K707" s="6">
        <v>44</v>
      </c>
      <c r="L707" s="6">
        <v>57</v>
      </c>
      <c r="M707" s="10">
        <f t="shared" ref="M707:M770" si="33">IF(K707+L707=0,0,(100*K707/L707))</f>
        <v>77.192982456140356</v>
      </c>
      <c r="N707" s="10">
        <f t="shared" ref="N707:N770" si="34">ROUNDUP(M707,0)</f>
        <v>78</v>
      </c>
      <c r="O707" s="6" t="s">
        <v>83</v>
      </c>
      <c r="P707" s="6">
        <v>1</v>
      </c>
      <c r="Q707" s="6">
        <v>1</v>
      </c>
      <c r="R707" s="6">
        <v>3</v>
      </c>
      <c r="S707" s="6">
        <v>5</v>
      </c>
      <c r="T707" s="6" t="str">
        <f t="shared" ref="T707:T770" si="35">IF(F707&gt;2100,"Primera",
IF(F707&gt;=1800,"Segunda",
IF(F707&gt;=1600,"Tercera",
IF(F707&gt;=1400,"Cuarta",
IF(F707&gt;=1200,"Quinta",
IF(F707&gt;=1080,"Sexta",
IF(F707&gt;=980,"Septima",
"Octava")))))))</f>
        <v>Segunda</v>
      </c>
    </row>
    <row r="708" spans="1:20">
      <c r="A708" s="7" t="s">
        <v>1640</v>
      </c>
      <c r="B708" s="7" t="s">
        <v>468</v>
      </c>
      <c r="C708" s="8">
        <v>1</v>
      </c>
      <c r="D708" s="7" t="s">
        <v>1640</v>
      </c>
      <c r="E708" s="7" t="s">
        <v>1665</v>
      </c>
      <c r="F708">
        <v>2120</v>
      </c>
      <c r="G708" s="6">
        <v>1348</v>
      </c>
      <c r="H708" s="11" t="s">
        <v>1666</v>
      </c>
      <c r="J708" s="6">
        <v>1</v>
      </c>
      <c r="K708" s="6">
        <v>2</v>
      </c>
      <c r="L708" s="6">
        <v>67</v>
      </c>
      <c r="M708" s="10">
        <f t="shared" si="33"/>
        <v>2.9850746268656718</v>
      </c>
      <c r="N708" s="10">
        <f t="shared" si="34"/>
        <v>3</v>
      </c>
      <c r="O708" s="6" t="s">
        <v>213</v>
      </c>
      <c r="P708" s="6">
        <v>0</v>
      </c>
      <c r="Q708" s="6">
        <v>0</v>
      </c>
      <c r="R708" s="6">
        <v>1</v>
      </c>
      <c r="S708" s="6">
        <v>1</v>
      </c>
      <c r="T708" s="6" t="str">
        <f t="shared" si="35"/>
        <v>Primera</v>
      </c>
    </row>
    <row r="709" spans="1:20">
      <c r="A709" s="7" t="s">
        <v>1640</v>
      </c>
      <c r="B709" s="7" t="s">
        <v>468</v>
      </c>
      <c r="C709" s="8">
        <v>1</v>
      </c>
      <c r="D709" s="7" t="s">
        <v>1640</v>
      </c>
      <c r="E709" s="7" t="s">
        <v>1667</v>
      </c>
      <c r="F709">
        <v>1590</v>
      </c>
      <c r="G709" s="6">
        <v>26178</v>
      </c>
      <c r="H709" s="11" t="s">
        <v>1668</v>
      </c>
      <c r="I709" s="6">
        <v>13</v>
      </c>
      <c r="J709" s="6">
        <v>11</v>
      </c>
      <c r="K709" s="6">
        <v>60</v>
      </c>
      <c r="L709" s="6">
        <v>86</v>
      </c>
      <c r="M709" s="10">
        <f t="shared" si="33"/>
        <v>69.767441860465112</v>
      </c>
      <c r="N709" s="10">
        <f t="shared" si="34"/>
        <v>70</v>
      </c>
      <c r="O709" s="6" t="s">
        <v>114</v>
      </c>
      <c r="P709" s="6">
        <v>5</v>
      </c>
      <c r="Q709" s="6">
        <v>3</v>
      </c>
      <c r="R709" s="6">
        <v>1</v>
      </c>
      <c r="S709" s="6">
        <v>9</v>
      </c>
      <c r="T709" s="6" t="str">
        <f t="shared" si="35"/>
        <v>Cuarta</v>
      </c>
    </row>
    <row r="710" spans="1:20">
      <c r="A710" s="7" t="s">
        <v>1640</v>
      </c>
      <c r="B710" s="7" t="s">
        <v>468</v>
      </c>
      <c r="C710" s="8">
        <v>1</v>
      </c>
      <c r="D710" s="7" t="s">
        <v>1640</v>
      </c>
      <c r="E710" s="7" t="s">
        <v>1669</v>
      </c>
      <c r="F710">
        <v>1069</v>
      </c>
      <c r="G710" s="6">
        <v>25506</v>
      </c>
      <c r="H710" s="11" t="s">
        <v>1670</v>
      </c>
      <c r="I710" s="6">
        <v>36</v>
      </c>
      <c r="J710" s="6">
        <v>18</v>
      </c>
      <c r="K710" s="6">
        <v>35</v>
      </c>
      <c r="L710" s="6">
        <v>48</v>
      </c>
      <c r="M710" s="10">
        <f t="shared" si="33"/>
        <v>72.916666666666671</v>
      </c>
      <c r="N710" s="10">
        <f t="shared" si="34"/>
        <v>73</v>
      </c>
      <c r="O710" s="6" t="s">
        <v>214</v>
      </c>
      <c r="P710" s="6">
        <v>0</v>
      </c>
      <c r="Q710" s="6">
        <v>0</v>
      </c>
      <c r="R710" s="6">
        <v>4</v>
      </c>
      <c r="S710" s="6">
        <v>4</v>
      </c>
      <c r="T710" s="6" t="str">
        <f t="shared" si="35"/>
        <v>Septima</v>
      </c>
    </row>
    <row r="711" spans="1:20">
      <c r="A711" s="7" t="s">
        <v>1640</v>
      </c>
      <c r="B711" s="7" t="s">
        <v>468</v>
      </c>
      <c r="C711" s="8">
        <v>1</v>
      </c>
      <c r="D711" s="7" t="s">
        <v>1640</v>
      </c>
      <c r="E711" s="7" t="s">
        <v>1671</v>
      </c>
      <c r="F711">
        <v>1644</v>
      </c>
      <c r="G711" s="6">
        <v>10710</v>
      </c>
      <c r="H711" s="11" t="s">
        <v>1672</v>
      </c>
      <c r="I711" s="6">
        <v>49</v>
      </c>
      <c r="J711" s="6">
        <v>111</v>
      </c>
      <c r="K711" s="6">
        <v>252</v>
      </c>
      <c r="L711" s="6">
        <v>42</v>
      </c>
      <c r="M711" s="10">
        <f t="shared" si="33"/>
        <v>600</v>
      </c>
      <c r="N711" s="10">
        <f t="shared" si="34"/>
        <v>600</v>
      </c>
      <c r="O711" s="6" t="s">
        <v>43</v>
      </c>
      <c r="P711" s="6">
        <v>4</v>
      </c>
      <c r="Q711" s="6">
        <v>9</v>
      </c>
      <c r="R711" s="6">
        <v>11</v>
      </c>
      <c r="S711" s="6">
        <v>24</v>
      </c>
      <c r="T711" s="6" t="str">
        <f t="shared" si="35"/>
        <v>Tercera</v>
      </c>
    </row>
    <row r="712" spans="1:20">
      <c r="A712" s="7" t="s">
        <v>1640</v>
      </c>
      <c r="B712" s="7" t="s">
        <v>468</v>
      </c>
      <c r="C712" s="8">
        <v>1</v>
      </c>
      <c r="D712" s="7" t="s">
        <v>1640</v>
      </c>
      <c r="E712" s="7" t="s">
        <v>1673</v>
      </c>
      <c r="F712">
        <v>1470</v>
      </c>
      <c r="G712" s="6">
        <v>9114</v>
      </c>
      <c r="H712" s="11" t="s">
        <v>1674</v>
      </c>
      <c r="I712" s="6">
        <v>50</v>
      </c>
      <c r="J712" s="6">
        <v>9</v>
      </c>
      <c r="K712" s="6">
        <v>23</v>
      </c>
      <c r="L712" s="6">
        <v>56</v>
      </c>
      <c r="M712" s="10">
        <f t="shared" si="33"/>
        <v>41.071428571428569</v>
      </c>
      <c r="N712" s="10">
        <f t="shared" si="34"/>
        <v>42</v>
      </c>
      <c r="O712" s="6" t="s">
        <v>114</v>
      </c>
      <c r="P712" s="6">
        <v>1</v>
      </c>
      <c r="Q712" s="6">
        <v>0</v>
      </c>
      <c r="R712" s="6">
        <v>2</v>
      </c>
      <c r="S712" s="6">
        <v>3</v>
      </c>
      <c r="T712" s="6" t="str">
        <f t="shared" si="35"/>
        <v>Cuarta</v>
      </c>
    </row>
    <row r="713" spans="1:20">
      <c r="A713" s="7" t="s">
        <v>1640</v>
      </c>
      <c r="B713" s="7" t="s">
        <v>483</v>
      </c>
      <c r="C713" s="8">
        <v>1</v>
      </c>
      <c r="D713" s="7" t="s">
        <v>1640</v>
      </c>
      <c r="E713" s="7" t="s">
        <v>1667</v>
      </c>
      <c r="F713">
        <v>1590</v>
      </c>
      <c r="G713" s="6">
        <v>26178</v>
      </c>
      <c r="H713" s="11" t="s">
        <v>1668</v>
      </c>
      <c r="I713" s="6">
        <v>13</v>
      </c>
      <c r="J713" s="6">
        <v>11</v>
      </c>
      <c r="K713" s="6">
        <v>60</v>
      </c>
      <c r="L713" s="6">
        <v>86</v>
      </c>
      <c r="M713" s="10">
        <f t="shared" si="33"/>
        <v>69.767441860465112</v>
      </c>
      <c r="N713" s="10">
        <f t="shared" si="34"/>
        <v>70</v>
      </c>
      <c r="O713" s="6" t="s">
        <v>114</v>
      </c>
      <c r="P713" s="6">
        <v>5</v>
      </c>
      <c r="Q713" s="6">
        <v>3</v>
      </c>
      <c r="R713" s="6">
        <v>1</v>
      </c>
      <c r="S713" s="6">
        <v>9</v>
      </c>
      <c r="T713" s="6" t="str">
        <f t="shared" si="35"/>
        <v>Cuarta</v>
      </c>
    </row>
    <row r="714" spans="1:20">
      <c r="A714" s="7" t="s">
        <v>1640</v>
      </c>
      <c r="B714" s="7" t="s">
        <v>483</v>
      </c>
      <c r="C714" s="8">
        <v>1</v>
      </c>
      <c r="D714" s="7" t="s">
        <v>1640</v>
      </c>
      <c r="E714" s="7" t="s">
        <v>1671</v>
      </c>
      <c r="F714">
        <v>1644</v>
      </c>
      <c r="G714" s="6">
        <v>10710</v>
      </c>
      <c r="H714" s="11" t="s">
        <v>1672</v>
      </c>
      <c r="I714" s="6">
        <v>49</v>
      </c>
      <c r="J714" s="6">
        <v>111</v>
      </c>
      <c r="K714" s="6">
        <v>252</v>
      </c>
      <c r="L714" s="6">
        <v>42</v>
      </c>
      <c r="M714" s="10">
        <f t="shared" si="33"/>
        <v>600</v>
      </c>
      <c r="N714" s="10">
        <f t="shared" si="34"/>
        <v>600</v>
      </c>
      <c r="O714" s="6" t="s">
        <v>43</v>
      </c>
      <c r="P714" s="6">
        <v>4</v>
      </c>
      <c r="Q714" s="6">
        <v>9</v>
      </c>
      <c r="R714" s="6">
        <v>11</v>
      </c>
      <c r="S714" s="6">
        <v>24</v>
      </c>
      <c r="T714" s="6" t="str">
        <f t="shared" si="35"/>
        <v>Tercera</v>
      </c>
    </row>
    <row r="715" spans="1:20">
      <c r="A715" s="7" t="s">
        <v>1640</v>
      </c>
      <c r="B715" s="7" t="s">
        <v>483</v>
      </c>
      <c r="C715" s="8">
        <v>1</v>
      </c>
      <c r="D715" s="7" t="s">
        <v>1640</v>
      </c>
      <c r="E715" s="7" t="s">
        <v>1673</v>
      </c>
      <c r="F715">
        <v>1470</v>
      </c>
      <c r="G715" s="6">
        <v>9114</v>
      </c>
      <c r="H715" s="11" t="s">
        <v>1674</v>
      </c>
      <c r="I715" s="6">
        <v>50</v>
      </c>
      <c r="J715" s="6">
        <v>9</v>
      </c>
      <c r="K715" s="6">
        <v>23</v>
      </c>
      <c r="L715" s="6">
        <v>56</v>
      </c>
      <c r="M715" s="10">
        <f t="shared" si="33"/>
        <v>41.071428571428569</v>
      </c>
      <c r="N715" s="10">
        <f t="shared" si="34"/>
        <v>42</v>
      </c>
      <c r="O715" s="6" t="s">
        <v>114</v>
      </c>
      <c r="P715" s="6">
        <v>1</v>
      </c>
      <c r="Q715" s="6">
        <v>0</v>
      </c>
      <c r="R715" s="6">
        <v>2</v>
      </c>
      <c r="S715" s="6">
        <v>3</v>
      </c>
      <c r="T715" s="6" t="str">
        <f t="shared" si="35"/>
        <v>Cuarta</v>
      </c>
    </row>
    <row r="716" spans="1:20">
      <c r="A716" s="7" t="s">
        <v>1640</v>
      </c>
      <c r="B716" s="7" t="s">
        <v>483</v>
      </c>
      <c r="C716" s="8">
        <v>1</v>
      </c>
      <c r="D716" s="7" t="s">
        <v>1640</v>
      </c>
      <c r="E716" s="7" t="s">
        <v>1675</v>
      </c>
      <c r="F716">
        <v>0</v>
      </c>
      <c r="G716" s="6">
        <v>26475</v>
      </c>
      <c r="H716" s="11" t="s">
        <v>1676</v>
      </c>
      <c r="I716" s="6">
        <v>47</v>
      </c>
      <c r="M716" s="10">
        <f t="shared" si="33"/>
        <v>0</v>
      </c>
      <c r="N716" s="10">
        <f t="shared" si="34"/>
        <v>0</v>
      </c>
      <c r="P716" s="6">
        <v>0</v>
      </c>
      <c r="Q716" s="6">
        <v>0</v>
      </c>
      <c r="R716" s="6">
        <v>0</v>
      </c>
      <c r="S716" s="6">
        <v>0</v>
      </c>
      <c r="T716" s="6" t="str">
        <f t="shared" si="35"/>
        <v>Octava</v>
      </c>
    </row>
    <row r="717" spans="1:20">
      <c r="A717" s="7" t="s">
        <v>1640</v>
      </c>
      <c r="B717" s="7" t="s">
        <v>483</v>
      </c>
      <c r="C717" s="8">
        <v>1</v>
      </c>
      <c r="D717" s="7" t="s">
        <v>1640</v>
      </c>
      <c r="E717" s="7" t="s">
        <v>1677</v>
      </c>
      <c r="F717">
        <v>1466</v>
      </c>
      <c r="G717" s="6">
        <v>24792</v>
      </c>
      <c r="H717" s="11" t="s">
        <v>1678</v>
      </c>
      <c r="I717" s="6">
        <v>39</v>
      </c>
      <c r="J717" s="6">
        <v>20</v>
      </c>
      <c r="K717" s="6">
        <v>75</v>
      </c>
      <c r="L717" s="6">
        <v>74</v>
      </c>
      <c r="M717" s="10">
        <f t="shared" si="33"/>
        <v>101.35135135135135</v>
      </c>
      <c r="N717" s="10">
        <f t="shared" si="34"/>
        <v>102</v>
      </c>
      <c r="O717" s="6" t="s">
        <v>43</v>
      </c>
      <c r="P717" s="6">
        <v>4</v>
      </c>
      <c r="Q717" s="6">
        <v>5</v>
      </c>
      <c r="R717" s="6">
        <v>2</v>
      </c>
      <c r="S717" s="6">
        <v>11</v>
      </c>
      <c r="T717" s="6" t="str">
        <f t="shared" si="35"/>
        <v>Cuarta</v>
      </c>
    </row>
    <row r="718" spans="1:20">
      <c r="A718" s="7" t="s">
        <v>1640</v>
      </c>
      <c r="B718" s="7" t="s">
        <v>483</v>
      </c>
      <c r="C718" s="8">
        <v>1</v>
      </c>
      <c r="D718" s="7" t="s">
        <v>1640</v>
      </c>
      <c r="E718" s="7" t="s">
        <v>1679</v>
      </c>
      <c r="F718">
        <v>1166</v>
      </c>
      <c r="G718" s="6">
        <v>4667</v>
      </c>
      <c r="H718" s="11" t="s">
        <v>1680</v>
      </c>
      <c r="I718" s="6">
        <v>71</v>
      </c>
      <c r="J718" s="6">
        <v>664</v>
      </c>
      <c r="K718" s="6">
        <v>1366</v>
      </c>
      <c r="L718" s="6">
        <v>45</v>
      </c>
      <c r="M718" s="10">
        <f t="shared" si="33"/>
        <v>3035.5555555555557</v>
      </c>
      <c r="N718" s="10">
        <f t="shared" si="34"/>
        <v>3036</v>
      </c>
      <c r="O718" s="6" t="s">
        <v>37</v>
      </c>
      <c r="P718" s="6">
        <v>18</v>
      </c>
      <c r="Q718" s="6">
        <v>39</v>
      </c>
      <c r="R718" s="6">
        <v>110</v>
      </c>
      <c r="S718" s="6">
        <v>167</v>
      </c>
      <c r="T718" s="6" t="str">
        <f t="shared" si="35"/>
        <v>Sexta</v>
      </c>
    </row>
    <row r="719" spans="1:20">
      <c r="A719" s="7" t="s">
        <v>1640</v>
      </c>
      <c r="B719" s="7" t="s">
        <v>526</v>
      </c>
      <c r="C719" s="8">
        <v>1</v>
      </c>
      <c r="D719" s="7" t="s">
        <v>1640</v>
      </c>
      <c r="E719" s="7" t="s">
        <v>1681</v>
      </c>
      <c r="F719">
        <v>1428</v>
      </c>
      <c r="G719" s="6">
        <v>10145</v>
      </c>
      <c r="H719" s="11" t="s">
        <v>1682</v>
      </c>
      <c r="I719" s="6">
        <v>54</v>
      </c>
      <c r="J719" s="6">
        <v>4</v>
      </c>
      <c r="K719" s="6">
        <v>9</v>
      </c>
      <c r="L719" s="6">
        <v>43</v>
      </c>
      <c r="M719" s="10">
        <f t="shared" si="33"/>
        <v>20.930232558139537</v>
      </c>
      <c r="N719" s="10">
        <f t="shared" si="34"/>
        <v>21</v>
      </c>
      <c r="O719" s="6" t="s">
        <v>215</v>
      </c>
      <c r="P719" s="6">
        <v>0</v>
      </c>
      <c r="Q719" s="6">
        <v>1</v>
      </c>
      <c r="R719" s="6">
        <v>0</v>
      </c>
      <c r="S719" s="6">
        <v>1</v>
      </c>
      <c r="T719" s="6" t="str">
        <f t="shared" si="35"/>
        <v>Cuarta</v>
      </c>
    </row>
    <row r="720" spans="1:20">
      <c r="A720" s="7" t="s">
        <v>1640</v>
      </c>
      <c r="B720" s="7" t="s">
        <v>526</v>
      </c>
      <c r="C720" s="8">
        <v>1</v>
      </c>
      <c r="D720" s="7" t="s">
        <v>1640</v>
      </c>
      <c r="E720" s="7" t="s">
        <v>1679</v>
      </c>
      <c r="F720">
        <v>1166</v>
      </c>
      <c r="G720" s="6">
        <v>4667</v>
      </c>
      <c r="H720" s="11" t="s">
        <v>1680</v>
      </c>
      <c r="I720" s="6">
        <v>71</v>
      </c>
      <c r="J720" s="6">
        <v>664</v>
      </c>
      <c r="K720" s="6">
        <v>1366</v>
      </c>
      <c r="L720" s="6">
        <v>45</v>
      </c>
      <c r="M720" s="10">
        <f t="shared" si="33"/>
        <v>3035.5555555555557</v>
      </c>
      <c r="N720" s="10">
        <f t="shared" si="34"/>
        <v>3036</v>
      </c>
      <c r="O720" s="6" t="s">
        <v>37</v>
      </c>
      <c r="P720" s="6">
        <v>18</v>
      </c>
      <c r="Q720" s="6">
        <v>39</v>
      </c>
      <c r="R720" s="6">
        <v>110</v>
      </c>
      <c r="S720" s="6">
        <v>167</v>
      </c>
      <c r="T720" s="6" t="str">
        <f t="shared" si="35"/>
        <v>Sexta</v>
      </c>
    </row>
    <row r="721" spans="1:20">
      <c r="A721" s="7" t="s">
        <v>1640</v>
      </c>
      <c r="B721" s="7" t="s">
        <v>526</v>
      </c>
      <c r="C721" s="8">
        <v>1</v>
      </c>
      <c r="D721" s="7" t="s">
        <v>1640</v>
      </c>
      <c r="E721" s="7" t="s">
        <v>1683</v>
      </c>
      <c r="F721">
        <v>1110</v>
      </c>
      <c r="G721" s="6">
        <v>13426</v>
      </c>
      <c r="H721" s="11" t="s">
        <v>1684</v>
      </c>
      <c r="I721" s="6">
        <v>33</v>
      </c>
      <c r="J721" s="6">
        <v>16</v>
      </c>
      <c r="K721" s="6">
        <v>43</v>
      </c>
      <c r="L721" s="6">
        <v>48</v>
      </c>
      <c r="M721" s="10">
        <f t="shared" si="33"/>
        <v>89.583333333333329</v>
      </c>
      <c r="N721" s="10">
        <f t="shared" si="34"/>
        <v>90</v>
      </c>
      <c r="O721" s="6" t="s">
        <v>27</v>
      </c>
      <c r="P721" s="6">
        <v>1</v>
      </c>
      <c r="Q721" s="6">
        <v>2</v>
      </c>
      <c r="R721" s="6">
        <v>4</v>
      </c>
      <c r="S721" s="6">
        <v>7</v>
      </c>
      <c r="T721" s="6" t="str">
        <f t="shared" si="35"/>
        <v>Sexta</v>
      </c>
    </row>
    <row r="722" spans="1:20">
      <c r="A722" s="7" t="s">
        <v>1640</v>
      </c>
      <c r="B722" s="7" t="s">
        <v>526</v>
      </c>
      <c r="C722" s="8">
        <v>1</v>
      </c>
      <c r="D722" s="7" t="s">
        <v>1640</v>
      </c>
      <c r="E722" s="7" t="s">
        <v>1685</v>
      </c>
      <c r="F722">
        <v>1036</v>
      </c>
      <c r="G722" s="6">
        <v>28586</v>
      </c>
      <c r="H722" s="11" t="s">
        <v>1686</v>
      </c>
      <c r="I722" s="6">
        <v>32</v>
      </c>
      <c r="J722" s="6">
        <v>2</v>
      </c>
      <c r="K722" s="6">
        <v>6</v>
      </c>
      <c r="L722" s="6">
        <v>67</v>
      </c>
      <c r="M722" s="10">
        <f t="shared" si="33"/>
        <v>8.9552238805970141</v>
      </c>
      <c r="N722" s="10">
        <f t="shared" si="34"/>
        <v>9</v>
      </c>
      <c r="O722" s="6" t="s">
        <v>27</v>
      </c>
      <c r="P722" s="6">
        <v>0</v>
      </c>
      <c r="Q722" s="6">
        <v>0</v>
      </c>
      <c r="R722" s="6">
        <v>1</v>
      </c>
      <c r="S722" s="6">
        <v>1</v>
      </c>
      <c r="T722" s="6" t="str">
        <f t="shared" si="35"/>
        <v>Septima</v>
      </c>
    </row>
    <row r="723" spans="1:20">
      <c r="A723" s="7" t="s">
        <v>1640</v>
      </c>
      <c r="B723" s="7" t="s">
        <v>526</v>
      </c>
      <c r="C723" s="8">
        <v>1</v>
      </c>
      <c r="D723" s="7" t="s">
        <v>1640</v>
      </c>
      <c r="E723" s="7" t="s">
        <v>1687</v>
      </c>
      <c r="F723">
        <v>1130</v>
      </c>
      <c r="G723" s="6">
        <v>17878</v>
      </c>
      <c r="H723" s="11" t="s">
        <v>1688</v>
      </c>
      <c r="I723" s="6">
        <v>62</v>
      </c>
      <c r="J723" s="6">
        <v>7</v>
      </c>
      <c r="K723" s="6">
        <v>3</v>
      </c>
      <c r="L723" s="6">
        <v>14</v>
      </c>
      <c r="M723" s="10">
        <f t="shared" si="33"/>
        <v>21.428571428571427</v>
      </c>
      <c r="N723" s="10">
        <f t="shared" si="34"/>
        <v>22</v>
      </c>
      <c r="O723" s="6" t="s">
        <v>216</v>
      </c>
      <c r="P723" s="6">
        <v>0</v>
      </c>
      <c r="Q723" s="6">
        <v>0</v>
      </c>
      <c r="R723" s="6">
        <v>0</v>
      </c>
      <c r="S723" s="6">
        <v>0</v>
      </c>
      <c r="T723" s="6" t="str">
        <f t="shared" si="35"/>
        <v>Sexta</v>
      </c>
    </row>
    <row r="724" spans="1:20">
      <c r="A724" s="7" t="s">
        <v>1640</v>
      </c>
      <c r="B724" s="7" t="s">
        <v>526</v>
      </c>
      <c r="C724" s="8">
        <v>1</v>
      </c>
      <c r="D724" s="7" t="s">
        <v>1640</v>
      </c>
      <c r="E724" s="7" t="s">
        <v>1689</v>
      </c>
      <c r="F724">
        <v>0</v>
      </c>
      <c r="G724" s="6">
        <v>28383</v>
      </c>
      <c r="H724" s="11" t="s">
        <v>1690</v>
      </c>
      <c r="I724" s="6">
        <v>33</v>
      </c>
      <c r="M724" s="10">
        <f t="shared" si="33"/>
        <v>0</v>
      </c>
      <c r="N724" s="10">
        <f t="shared" si="34"/>
        <v>0</v>
      </c>
      <c r="P724" s="6">
        <v>0</v>
      </c>
      <c r="Q724" s="6">
        <v>0</v>
      </c>
      <c r="R724" s="6">
        <v>0</v>
      </c>
      <c r="S724" s="6">
        <v>0</v>
      </c>
      <c r="T724" s="6" t="str">
        <f t="shared" si="35"/>
        <v>Octava</v>
      </c>
    </row>
    <row r="725" spans="1:20">
      <c r="A725" s="7" t="s">
        <v>1691</v>
      </c>
      <c r="B725" s="7" t="s">
        <v>468</v>
      </c>
      <c r="C725" s="8">
        <v>1</v>
      </c>
      <c r="D725" s="7" t="s">
        <v>1691</v>
      </c>
      <c r="E725" s="7" t="s">
        <v>1692</v>
      </c>
      <c r="F725">
        <v>1974</v>
      </c>
      <c r="G725" s="6">
        <v>1264</v>
      </c>
      <c r="H725" s="11" t="s">
        <v>1693</v>
      </c>
      <c r="I725" s="6">
        <v>33</v>
      </c>
      <c r="J725" s="6">
        <v>11</v>
      </c>
      <c r="K725" s="6">
        <v>9</v>
      </c>
      <c r="L725" s="6">
        <v>26</v>
      </c>
      <c r="M725" s="10">
        <f t="shared" si="33"/>
        <v>34.615384615384613</v>
      </c>
      <c r="N725" s="10">
        <f t="shared" si="34"/>
        <v>35</v>
      </c>
      <c r="O725" s="6" t="s">
        <v>217</v>
      </c>
      <c r="P725" s="6">
        <v>0</v>
      </c>
      <c r="Q725" s="6">
        <v>0</v>
      </c>
      <c r="R725" s="6">
        <v>1</v>
      </c>
      <c r="S725" s="6">
        <v>1</v>
      </c>
      <c r="T725" s="6" t="str">
        <f t="shared" si="35"/>
        <v>Segunda</v>
      </c>
    </row>
    <row r="726" spans="1:20">
      <c r="A726" s="7" t="s">
        <v>1691</v>
      </c>
      <c r="B726" s="7" t="s">
        <v>468</v>
      </c>
      <c r="C726" s="8">
        <v>1</v>
      </c>
      <c r="D726" s="7" t="s">
        <v>1691</v>
      </c>
      <c r="E726" s="7" t="s">
        <v>1694</v>
      </c>
      <c r="F726">
        <v>1664</v>
      </c>
      <c r="G726" s="6">
        <v>10409</v>
      </c>
      <c r="H726" s="11" t="s">
        <v>1695</v>
      </c>
      <c r="I726" s="6">
        <v>58</v>
      </c>
      <c r="J726" s="6">
        <v>62</v>
      </c>
      <c r="K726" s="6">
        <v>138</v>
      </c>
      <c r="L726" s="6">
        <v>52</v>
      </c>
      <c r="M726" s="10">
        <f t="shared" si="33"/>
        <v>265.38461538461536</v>
      </c>
      <c r="N726" s="10">
        <f t="shared" si="34"/>
        <v>266</v>
      </c>
      <c r="O726" s="6" t="s">
        <v>218</v>
      </c>
      <c r="P726" s="6">
        <v>0</v>
      </c>
      <c r="Q726" s="6">
        <v>5</v>
      </c>
      <c r="R726" s="6">
        <v>4</v>
      </c>
      <c r="S726" s="6">
        <v>9</v>
      </c>
      <c r="T726" s="6" t="str">
        <f t="shared" si="35"/>
        <v>Tercera</v>
      </c>
    </row>
    <row r="727" spans="1:20">
      <c r="A727" s="7" t="s">
        <v>1691</v>
      </c>
      <c r="B727" s="7" t="s">
        <v>468</v>
      </c>
      <c r="C727" s="8">
        <v>1</v>
      </c>
      <c r="D727" s="7" t="s">
        <v>1691</v>
      </c>
      <c r="E727" s="7" t="s">
        <v>1696</v>
      </c>
      <c r="F727">
        <v>1921</v>
      </c>
      <c r="G727" s="6">
        <v>6896</v>
      </c>
      <c r="H727" s="11" t="s">
        <v>1697</v>
      </c>
      <c r="I727" s="6">
        <v>38</v>
      </c>
      <c r="J727" s="6">
        <v>185</v>
      </c>
      <c r="K727" s="6">
        <v>456</v>
      </c>
      <c r="L727" s="6">
        <v>56</v>
      </c>
      <c r="M727" s="10">
        <f t="shared" si="33"/>
        <v>814.28571428571433</v>
      </c>
      <c r="N727" s="10">
        <f t="shared" si="34"/>
        <v>815</v>
      </c>
      <c r="O727" s="6" t="s">
        <v>26</v>
      </c>
      <c r="P727" s="6">
        <v>8</v>
      </c>
      <c r="Q727" s="6">
        <v>15</v>
      </c>
      <c r="R727" s="6">
        <v>29</v>
      </c>
      <c r="S727" s="6">
        <v>52</v>
      </c>
      <c r="T727" s="6" t="str">
        <f t="shared" si="35"/>
        <v>Segunda</v>
      </c>
    </row>
    <row r="728" spans="1:20">
      <c r="A728" s="7" t="s">
        <v>1691</v>
      </c>
      <c r="B728" s="7" t="s">
        <v>468</v>
      </c>
      <c r="C728" s="8">
        <v>1</v>
      </c>
      <c r="D728" s="7" t="s">
        <v>1691</v>
      </c>
      <c r="E728" s="7" t="s">
        <v>1698</v>
      </c>
      <c r="F728">
        <v>1807</v>
      </c>
      <c r="G728" s="6">
        <v>19288</v>
      </c>
      <c r="H728" s="11" t="s">
        <v>1699</v>
      </c>
      <c r="I728" s="6">
        <v>61</v>
      </c>
      <c r="J728" s="6">
        <v>6</v>
      </c>
      <c r="K728" s="6">
        <v>12</v>
      </c>
      <c r="L728" s="6">
        <v>46</v>
      </c>
      <c r="M728" s="10">
        <f t="shared" si="33"/>
        <v>26.086956521739129</v>
      </c>
      <c r="N728" s="10">
        <f t="shared" si="34"/>
        <v>27</v>
      </c>
      <c r="O728" s="6" t="s">
        <v>217</v>
      </c>
      <c r="P728" s="6">
        <v>1</v>
      </c>
      <c r="Q728" s="6">
        <v>0</v>
      </c>
      <c r="R728" s="6">
        <v>1</v>
      </c>
      <c r="S728" s="6">
        <v>2</v>
      </c>
      <c r="T728" s="6" t="str">
        <f t="shared" si="35"/>
        <v>Segunda</v>
      </c>
    </row>
    <row r="729" spans="1:20">
      <c r="A729" s="7" t="s">
        <v>1691</v>
      </c>
      <c r="B729" s="7" t="s">
        <v>468</v>
      </c>
      <c r="C729" s="8">
        <v>1</v>
      </c>
      <c r="D729" s="7" t="s">
        <v>1691</v>
      </c>
      <c r="E729" s="7" t="s">
        <v>1700</v>
      </c>
      <c r="F729">
        <v>1673</v>
      </c>
      <c r="G729" s="6">
        <v>15168</v>
      </c>
      <c r="H729" s="11" t="s">
        <v>1701</v>
      </c>
      <c r="I729" s="6">
        <v>36</v>
      </c>
      <c r="J729" s="6">
        <v>94</v>
      </c>
      <c r="K729" s="6">
        <v>242</v>
      </c>
      <c r="L729" s="6">
        <v>50</v>
      </c>
      <c r="M729" s="10">
        <f t="shared" si="33"/>
        <v>484</v>
      </c>
      <c r="N729" s="10">
        <f t="shared" si="34"/>
        <v>484</v>
      </c>
      <c r="O729" s="6" t="s">
        <v>145</v>
      </c>
      <c r="P729" s="6">
        <v>4</v>
      </c>
      <c r="Q729" s="6">
        <v>5</v>
      </c>
      <c r="R729" s="6">
        <v>25</v>
      </c>
      <c r="S729" s="6">
        <v>34</v>
      </c>
      <c r="T729" s="6" t="str">
        <f t="shared" si="35"/>
        <v>Tercera</v>
      </c>
    </row>
    <row r="730" spans="1:20">
      <c r="A730" s="7" t="s">
        <v>1691</v>
      </c>
      <c r="B730" s="7" t="s">
        <v>468</v>
      </c>
      <c r="C730" s="8">
        <v>1</v>
      </c>
      <c r="D730" s="7" t="s">
        <v>1691</v>
      </c>
      <c r="E730" s="7" t="s">
        <v>1702</v>
      </c>
      <c r="F730">
        <v>1000</v>
      </c>
      <c r="G730" s="6">
        <v>19449</v>
      </c>
      <c r="H730" s="11" t="s">
        <v>1703</v>
      </c>
      <c r="I730" s="6">
        <v>24</v>
      </c>
      <c r="J730" s="6">
        <v>0</v>
      </c>
      <c r="K730" s="6">
        <v>0</v>
      </c>
      <c r="L730" s="6">
        <v>0</v>
      </c>
      <c r="M730" s="10">
        <f t="shared" si="33"/>
        <v>0</v>
      </c>
      <c r="N730" s="10">
        <f t="shared" si="34"/>
        <v>0</v>
      </c>
      <c r="P730" s="6">
        <v>0</v>
      </c>
      <c r="Q730" s="6">
        <v>0</v>
      </c>
      <c r="R730" s="6">
        <v>0</v>
      </c>
      <c r="S730" s="6">
        <v>0</v>
      </c>
      <c r="T730" s="6" t="str">
        <f t="shared" si="35"/>
        <v>Septima</v>
      </c>
    </row>
    <row r="731" spans="1:20">
      <c r="A731" s="7" t="s">
        <v>1691</v>
      </c>
      <c r="B731" s="7" t="s">
        <v>468</v>
      </c>
      <c r="C731" s="8">
        <v>1</v>
      </c>
      <c r="D731" s="7" t="s">
        <v>1691</v>
      </c>
      <c r="E731" s="7" t="s">
        <v>1704</v>
      </c>
      <c r="F731">
        <v>1380</v>
      </c>
      <c r="G731" s="6">
        <v>20668</v>
      </c>
      <c r="H731" s="11" t="s">
        <v>1705</v>
      </c>
      <c r="I731" s="6">
        <v>19</v>
      </c>
      <c r="J731" s="6">
        <v>35</v>
      </c>
      <c r="K731" s="6">
        <v>84</v>
      </c>
      <c r="L731" s="6">
        <v>57</v>
      </c>
      <c r="M731" s="10">
        <f t="shared" si="33"/>
        <v>147.36842105263159</v>
      </c>
      <c r="N731" s="10">
        <f t="shared" si="34"/>
        <v>148</v>
      </c>
      <c r="O731" s="6" t="s">
        <v>22</v>
      </c>
      <c r="P731" s="6">
        <v>5</v>
      </c>
      <c r="Q731" s="6">
        <v>2</v>
      </c>
      <c r="R731" s="6">
        <v>3</v>
      </c>
      <c r="S731" s="6">
        <v>10</v>
      </c>
      <c r="T731" s="6" t="str">
        <f t="shared" si="35"/>
        <v>Quinta</v>
      </c>
    </row>
    <row r="732" spans="1:20">
      <c r="A732" s="7" t="s">
        <v>1691</v>
      </c>
      <c r="B732" s="7" t="s">
        <v>496</v>
      </c>
      <c r="C732" s="8">
        <v>1</v>
      </c>
      <c r="D732" s="7" t="s">
        <v>1691</v>
      </c>
      <c r="E732" s="7" t="s">
        <v>1706</v>
      </c>
      <c r="F732">
        <v>1481</v>
      </c>
      <c r="G732" s="6">
        <v>25486</v>
      </c>
      <c r="H732" s="11" t="s">
        <v>1707</v>
      </c>
      <c r="I732" s="6">
        <v>43</v>
      </c>
      <c r="J732" s="6">
        <v>58</v>
      </c>
      <c r="K732" s="6">
        <v>158</v>
      </c>
      <c r="L732" s="6">
        <v>58</v>
      </c>
      <c r="M732" s="10">
        <f t="shared" si="33"/>
        <v>272.41379310344826</v>
      </c>
      <c r="N732" s="10">
        <f t="shared" si="34"/>
        <v>273</v>
      </c>
      <c r="O732" s="6" t="s">
        <v>219</v>
      </c>
      <c r="P732" s="6">
        <v>6</v>
      </c>
      <c r="Q732" s="6">
        <v>4</v>
      </c>
      <c r="R732" s="6">
        <v>10</v>
      </c>
      <c r="S732" s="6">
        <v>20</v>
      </c>
      <c r="T732" s="6" t="str">
        <f t="shared" si="35"/>
        <v>Cuarta</v>
      </c>
    </row>
    <row r="733" spans="1:20">
      <c r="A733" s="7" t="s">
        <v>1691</v>
      </c>
      <c r="B733" s="7" t="s">
        <v>496</v>
      </c>
      <c r="C733" s="8">
        <v>1</v>
      </c>
      <c r="D733" s="7" t="s">
        <v>1691</v>
      </c>
      <c r="E733" s="7" t="s">
        <v>1708</v>
      </c>
      <c r="F733">
        <v>1523</v>
      </c>
      <c r="G733" s="6">
        <v>17867</v>
      </c>
      <c r="H733" s="11" t="s">
        <v>1709</v>
      </c>
      <c r="I733" s="6">
        <v>58</v>
      </c>
      <c r="J733" s="6">
        <v>58</v>
      </c>
      <c r="K733" s="6">
        <v>143</v>
      </c>
      <c r="L733" s="6">
        <v>58</v>
      </c>
      <c r="M733" s="10">
        <f t="shared" si="33"/>
        <v>246.55172413793105</v>
      </c>
      <c r="N733" s="10">
        <f t="shared" si="34"/>
        <v>247</v>
      </c>
      <c r="O733" s="6" t="s">
        <v>145</v>
      </c>
      <c r="P733" s="6">
        <v>4</v>
      </c>
      <c r="Q733" s="6">
        <v>3</v>
      </c>
      <c r="R733" s="6">
        <v>9</v>
      </c>
      <c r="S733" s="6">
        <v>16</v>
      </c>
      <c r="T733" s="6" t="str">
        <f t="shared" si="35"/>
        <v>Cuarta</v>
      </c>
    </row>
    <row r="734" spans="1:20">
      <c r="A734" s="7" t="s">
        <v>1691</v>
      </c>
      <c r="B734" s="7" t="s">
        <v>496</v>
      </c>
      <c r="C734" s="8">
        <v>1</v>
      </c>
      <c r="D734" s="7" t="s">
        <v>1691</v>
      </c>
      <c r="E734" s="7" t="s">
        <v>1710</v>
      </c>
      <c r="F734">
        <v>1581</v>
      </c>
      <c r="G734" s="6">
        <v>25485</v>
      </c>
      <c r="H734" s="11" t="s">
        <v>1711</v>
      </c>
      <c r="I734" s="6">
        <v>40</v>
      </c>
      <c r="J734" s="6">
        <v>123</v>
      </c>
      <c r="K734" s="6">
        <v>357</v>
      </c>
      <c r="L734" s="6">
        <v>62</v>
      </c>
      <c r="M734" s="10">
        <f t="shared" si="33"/>
        <v>575.80645161290317</v>
      </c>
      <c r="N734" s="10">
        <f t="shared" si="34"/>
        <v>576</v>
      </c>
      <c r="O734" s="6" t="s">
        <v>18</v>
      </c>
      <c r="P734" s="6">
        <v>9</v>
      </c>
      <c r="Q734" s="6">
        <v>12</v>
      </c>
      <c r="R734" s="6">
        <v>29</v>
      </c>
      <c r="S734" s="6">
        <v>50</v>
      </c>
      <c r="T734" s="6" t="str">
        <f t="shared" si="35"/>
        <v>Cuarta</v>
      </c>
    </row>
    <row r="735" spans="1:20">
      <c r="A735" s="7" t="s">
        <v>1691</v>
      </c>
      <c r="B735" s="7" t="s">
        <v>496</v>
      </c>
      <c r="C735" s="8">
        <v>1</v>
      </c>
      <c r="D735" s="7" t="s">
        <v>1691</v>
      </c>
      <c r="E735" s="7" t="s">
        <v>1712</v>
      </c>
      <c r="F735">
        <v>1000</v>
      </c>
      <c r="G735" s="6">
        <v>4482</v>
      </c>
      <c r="H735" s="11" t="s">
        <v>1713</v>
      </c>
      <c r="I735" s="6">
        <v>34</v>
      </c>
      <c r="J735" s="6">
        <v>0</v>
      </c>
      <c r="K735" s="6">
        <v>0</v>
      </c>
      <c r="L735" s="6">
        <v>0</v>
      </c>
      <c r="M735" s="10">
        <f t="shared" si="33"/>
        <v>0</v>
      </c>
      <c r="N735" s="10">
        <f t="shared" si="34"/>
        <v>0</v>
      </c>
      <c r="P735" s="6">
        <v>0</v>
      </c>
      <c r="Q735" s="6">
        <v>0</v>
      </c>
      <c r="R735" s="6">
        <v>0</v>
      </c>
      <c r="S735" s="6">
        <v>0</v>
      </c>
      <c r="T735" s="6" t="str">
        <f t="shared" si="35"/>
        <v>Septima</v>
      </c>
    </row>
    <row r="736" spans="1:20">
      <c r="A736" s="7" t="s">
        <v>1691</v>
      </c>
      <c r="B736" s="7" t="s">
        <v>496</v>
      </c>
      <c r="C736" s="8">
        <v>1</v>
      </c>
      <c r="D736" s="7" t="s">
        <v>1691</v>
      </c>
      <c r="E736" s="7" t="s">
        <v>1714</v>
      </c>
      <c r="F736">
        <v>1524</v>
      </c>
      <c r="G736" s="6">
        <v>27355</v>
      </c>
      <c r="H736" s="11" t="s">
        <v>1715</v>
      </c>
      <c r="I736" s="6">
        <v>46</v>
      </c>
      <c r="J736" s="6">
        <v>65</v>
      </c>
      <c r="K736" s="6">
        <v>156</v>
      </c>
      <c r="L736" s="6">
        <v>60</v>
      </c>
      <c r="M736" s="10">
        <f t="shared" si="33"/>
        <v>260</v>
      </c>
      <c r="N736" s="10">
        <f t="shared" si="34"/>
        <v>260</v>
      </c>
      <c r="O736" s="6" t="s">
        <v>18</v>
      </c>
      <c r="P736" s="6">
        <v>4</v>
      </c>
      <c r="Q736" s="6">
        <v>2</v>
      </c>
      <c r="R736" s="6">
        <v>9</v>
      </c>
      <c r="S736" s="6">
        <v>15</v>
      </c>
      <c r="T736" s="6" t="str">
        <f t="shared" si="35"/>
        <v>Cuarta</v>
      </c>
    </row>
    <row r="737" spans="1:20">
      <c r="A737" s="7" t="s">
        <v>1691</v>
      </c>
      <c r="B737" s="7" t="s">
        <v>496</v>
      </c>
      <c r="C737" s="8">
        <v>1</v>
      </c>
      <c r="D737" s="7" t="s">
        <v>1691</v>
      </c>
      <c r="E737" s="7" t="s">
        <v>1716</v>
      </c>
      <c r="F737">
        <v>1403</v>
      </c>
      <c r="G737" s="6">
        <v>15079</v>
      </c>
      <c r="H737" s="11" t="s">
        <v>1717</v>
      </c>
      <c r="I737" s="6">
        <v>49</v>
      </c>
      <c r="J737" s="6">
        <v>124</v>
      </c>
      <c r="K737" s="6">
        <v>273</v>
      </c>
      <c r="L737" s="6">
        <v>54</v>
      </c>
      <c r="M737" s="10">
        <f t="shared" si="33"/>
        <v>505.55555555555554</v>
      </c>
      <c r="N737" s="10">
        <f t="shared" si="34"/>
        <v>506</v>
      </c>
      <c r="O737" s="6" t="s">
        <v>12</v>
      </c>
      <c r="P737" s="6">
        <v>3</v>
      </c>
      <c r="Q737" s="6">
        <v>9</v>
      </c>
      <c r="R737" s="6">
        <v>24</v>
      </c>
      <c r="S737" s="6">
        <v>36</v>
      </c>
      <c r="T737" s="6" t="str">
        <f t="shared" si="35"/>
        <v>Cuarta</v>
      </c>
    </row>
    <row r="738" spans="1:20">
      <c r="A738" s="7" t="s">
        <v>1691</v>
      </c>
      <c r="B738" s="7" t="s">
        <v>496</v>
      </c>
      <c r="C738" s="8">
        <v>1</v>
      </c>
      <c r="D738" s="7" t="s">
        <v>1691</v>
      </c>
      <c r="E738" s="7" t="s">
        <v>1718</v>
      </c>
      <c r="F738">
        <v>1418</v>
      </c>
      <c r="G738" s="6">
        <v>25122</v>
      </c>
      <c r="H738" s="11" t="s">
        <v>1719</v>
      </c>
      <c r="I738" s="6">
        <v>54</v>
      </c>
      <c r="J738" s="6">
        <v>39</v>
      </c>
      <c r="K738" s="6">
        <v>111</v>
      </c>
      <c r="L738" s="6">
        <v>65</v>
      </c>
      <c r="M738" s="10">
        <f t="shared" si="33"/>
        <v>170.76923076923077</v>
      </c>
      <c r="N738" s="10">
        <f t="shared" si="34"/>
        <v>171</v>
      </c>
      <c r="O738" s="6" t="s">
        <v>219</v>
      </c>
      <c r="P738" s="6">
        <v>5</v>
      </c>
      <c r="Q738" s="6">
        <v>4</v>
      </c>
      <c r="R738" s="6">
        <v>6</v>
      </c>
      <c r="S738" s="6">
        <v>15</v>
      </c>
      <c r="T738" s="6" t="str">
        <f t="shared" si="35"/>
        <v>Cuarta</v>
      </c>
    </row>
    <row r="739" spans="1:20">
      <c r="A739" s="7" t="s">
        <v>1691</v>
      </c>
      <c r="B739" s="7" t="s">
        <v>496</v>
      </c>
      <c r="C739" s="8">
        <v>1</v>
      </c>
      <c r="D739" s="7" t="s">
        <v>1691</v>
      </c>
      <c r="E739" s="7" t="s">
        <v>1720</v>
      </c>
      <c r="F739">
        <v>1737</v>
      </c>
      <c r="G739" s="6">
        <v>5947</v>
      </c>
      <c r="H739" s="11" t="s">
        <v>1721</v>
      </c>
      <c r="I739" s="6">
        <v>33</v>
      </c>
      <c r="J739" s="6">
        <v>66</v>
      </c>
      <c r="K739" s="6">
        <v>163</v>
      </c>
      <c r="L739" s="6">
        <v>50</v>
      </c>
      <c r="M739" s="10">
        <f t="shared" si="33"/>
        <v>326</v>
      </c>
      <c r="N739" s="10">
        <f t="shared" si="34"/>
        <v>326</v>
      </c>
      <c r="O739" s="6" t="s">
        <v>36</v>
      </c>
      <c r="P739" s="6">
        <v>3</v>
      </c>
      <c r="Q739" s="6">
        <v>7</v>
      </c>
      <c r="R739" s="6">
        <v>12</v>
      </c>
      <c r="S739" s="6">
        <v>22</v>
      </c>
      <c r="T739" s="6" t="str">
        <f t="shared" si="35"/>
        <v>Tercera</v>
      </c>
    </row>
    <row r="740" spans="1:20">
      <c r="A740" s="7" t="s">
        <v>1691</v>
      </c>
      <c r="B740" s="7" t="s">
        <v>507</v>
      </c>
      <c r="C740" s="8">
        <v>1</v>
      </c>
      <c r="D740" s="7" t="s">
        <v>1691</v>
      </c>
      <c r="E740" s="7" t="s">
        <v>1722</v>
      </c>
      <c r="F740">
        <v>1345</v>
      </c>
      <c r="G740" s="6">
        <v>22853</v>
      </c>
      <c r="H740" s="11" t="s">
        <v>1723</v>
      </c>
      <c r="I740" s="6">
        <v>38</v>
      </c>
      <c r="J740" s="6">
        <v>31</v>
      </c>
      <c r="K740" s="6">
        <v>70</v>
      </c>
      <c r="L740" s="6">
        <v>55</v>
      </c>
      <c r="M740" s="10">
        <f t="shared" si="33"/>
        <v>127.27272727272727</v>
      </c>
      <c r="N740" s="10">
        <f t="shared" si="34"/>
        <v>128</v>
      </c>
      <c r="O740" s="6" t="s">
        <v>220</v>
      </c>
      <c r="P740" s="6">
        <v>3</v>
      </c>
      <c r="Q740" s="6">
        <v>3</v>
      </c>
      <c r="R740" s="6">
        <v>4</v>
      </c>
      <c r="S740" s="6">
        <v>10</v>
      </c>
      <c r="T740" s="6" t="str">
        <f t="shared" si="35"/>
        <v>Quinta</v>
      </c>
    </row>
    <row r="741" spans="1:20">
      <c r="A741" s="7" t="s">
        <v>1691</v>
      </c>
      <c r="B741" s="7" t="s">
        <v>507</v>
      </c>
      <c r="C741" s="8">
        <v>1</v>
      </c>
      <c r="D741" s="7" t="s">
        <v>1691</v>
      </c>
      <c r="E741" s="7" t="s">
        <v>1724</v>
      </c>
      <c r="F741">
        <v>1179</v>
      </c>
      <c r="G741" s="6">
        <v>23489</v>
      </c>
      <c r="H741" s="11" t="s">
        <v>1725</v>
      </c>
      <c r="I741" s="6">
        <v>68</v>
      </c>
      <c r="J741" s="6">
        <v>52</v>
      </c>
      <c r="K741" s="6">
        <v>89</v>
      </c>
      <c r="L741" s="6">
        <v>43</v>
      </c>
      <c r="M741" s="10">
        <f t="shared" si="33"/>
        <v>206.97674418604652</v>
      </c>
      <c r="N741" s="10">
        <f t="shared" si="34"/>
        <v>207</v>
      </c>
      <c r="O741" s="6" t="s">
        <v>12</v>
      </c>
      <c r="P741" s="6">
        <v>2</v>
      </c>
      <c r="Q741" s="6">
        <v>3</v>
      </c>
      <c r="R741" s="6">
        <v>4</v>
      </c>
      <c r="S741" s="6">
        <v>9</v>
      </c>
      <c r="T741" s="6" t="str">
        <f t="shared" si="35"/>
        <v>Sexta</v>
      </c>
    </row>
    <row r="742" spans="1:20">
      <c r="A742" s="7" t="s">
        <v>1691</v>
      </c>
      <c r="B742" s="7" t="s">
        <v>507</v>
      </c>
      <c r="C742" s="8">
        <v>1</v>
      </c>
      <c r="D742" s="7" t="s">
        <v>1691</v>
      </c>
      <c r="E742" s="7" t="s">
        <v>1726</v>
      </c>
      <c r="F742">
        <v>1319</v>
      </c>
      <c r="G742" s="6">
        <v>28272</v>
      </c>
      <c r="H742" s="11" t="s">
        <v>1727</v>
      </c>
      <c r="I742" s="6">
        <v>17</v>
      </c>
      <c r="J742" s="6">
        <v>23</v>
      </c>
      <c r="K742" s="6">
        <v>57</v>
      </c>
      <c r="L742" s="6">
        <v>58</v>
      </c>
      <c r="M742" s="10">
        <f t="shared" si="33"/>
        <v>98.275862068965523</v>
      </c>
      <c r="N742" s="10">
        <f t="shared" si="34"/>
        <v>99</v>
      </c>
      <c r="O742" s="6" t="s">
        <v>221</v>
      </c>
      <c r="P742" s="6">
        <v>1</v>
      </c>
      <c r="Q742" s="6">
        <v>4</v>
      </c>
      <c r="R742" s="6">
        <v>4</v>
      </c>
      <c r="S742" s="6">
        <v>9</v>
      </c>
      <c r="T742" s="6" t="str">
        <f t="shared" si="35"/>
        <v>Quinta</v>
      </c>
    </row>
    <row r="743" spans="1:20">
      <c r="A743" s="7" t="s">
        <v>1691</v>
      </c>
      <c r="B743" s="7" t="s">
        <v>507</v>
      </c>
      <c r="C743" s="8">
        <v>1</v>
      </c>
      <c r="D743" s="7" t="s">
        <v>1691</v>
      </c>
      <c r="E743" s="7" t="s">
        <v>1728</v>
      </c>
      <c r="F743">
        <v>1062</v>
      </c>
      <c r="G743" s="6">
        <v>15276</v>
      </c>
      <c r="H743" s="11" t="s">
        <v>1729</v>
      </c>
      <c r="I743" s="6">
        <v>35</v>
      </c>
      <c r="J743" s="6">
        <v>28</v>
      </c>
      <c r="K743" s="6">
        <v>40</v>
      </c>
      <c r="L743" s="6">
        <v>39</v>
      </c>
      <c r="M743" s="10">
        <f t="shared" si="33"/>
        <v>102.56410256410257</v>
      </c>
      <c r="N743" s="10">
        <f t="shared" si="34"/>
        <v>103</v>
      </c>
      <c r="O743" s="6" t="s">
        <v>19</v>
      </c>
      <c r="P743" s="6">
        <v>1</v>
      </c>
      <c r="Q743" s="6">
        <v>2</v>
      </c>
      <c r="R743" s="6">
        <v>3</v>
      </c>
      <c r="S743" s="6">
        <v>6</v>
      </c>
      <c r="T743" s="6" t="str">
        <f t="shared" si="35"/>
        <v>Septima</v>
      </c>
    </row>
    <row r="744" spans="1:20">
      <c r="A744" s="7" t="s">
        <v>1691</v>
      </c>
      <c r="B744" s="7" t="s">
        <v>507</v>
      </c>
      <c r="C744" s="8">
        <v>1</v>
      </c>
      <c r="D744" s="7" t="s">
        <v>1691</v>
      </c>
      <c r="E744" s="7" t="s">
        <v>1730</v>
      </c>
      <c r="F744">
        <v>1153</v>
      </c>
      <c r="G744" s="6">
        <v>23514</v>
      </c>
      <c r="H744" s="11" t="s">
        <v>1731</v>
      </c>
      <c r="I744" s="6">
        <v>30</v>
      </c>
      <c r="J744" s="6">
        <v>41</v>
      </c>
      <c r="K744" s="6">
        <v>68</v>
      </c>
      <c r="L744" s="6">
        <v>42</v>
      </c>
      <c r="M744" s="10">
        <f t="shared" si="33"/>
        <v>161.9047619047619</v>
      </c>
      <c r="N744" s="10">
        <f t="shared" si="34"/>
        <v>162</v>
      </c>
      <c r="O744" s="6" t="s">
        <v>203</v>
      </c>
      <c r="P744" s="6">
        <v>3</v>
      </c>
      <c r="Q744" s="6">
        <v>1</v>
      </c>
      <c r="R744" s="6">
        <v>4</v>
      </c>
      <c r="S744" s="6">
        <v>8</v>
      </c>
      <c r="T744" s="6" t="str">
        <f t="shared" si="35"/>
        <v>Sexta</v>
      </c>
    </row>
    <row r="745" spans="1:20">
      <c r="A745" s="7" t="s">
        <v>1691</v>
      </c>
      <c r="B745" s="7" t="s">
        <v>507</v>
      </c>
      <c r="C745" s="8">
        <v>1</v>
      </c>
      <c r="D745" s="7" t="s">
        <v>1691</v>
      </c>
      <c r="E745" s="7" t="s">
        <v>1732</v>
      </c>
      <c r="F745">
        <v>980</v>
      </c>
      <c r="G745" s="6">
        <v>28744</v>
      </c>
      <c r="H745" s="11" t="s">
        <v>1733</v>
      </c>
      <c r="I745" s="6">
        <v>59</v>
      </c>
      <c r="J745" s="6">
        <v>1</v>
      </c>
      <c r="K745" s="6">
        <v>0</v>
      </c>
      <c r="L745" s="6">
        <v>0</v>
      </c>
      <c r="M745" s="10">
        <f t="shared" si="33"/>
        <v>0</v>
      </c>
      <c r="N745" s="10">
        <f t="shared" si="34"/>
        <v>0</v>
      </c>
      <c r="O745" s="6" t="s">
        <v>97</v>
      </c>
      <c r="P745" s="6">
        <v>0</v>
      </c>
      <c r="Q745" s="6">
        <v>0</v>
      </c>
      <c r="R745" s="6">
        <v>0</v>
      </c>
      <c r="S745" s="6">
        <v>0</v>
      </c>
      <c r="T745" s="6" t="str">
        <f t="shared" si="35"/>
        <v>Septima</v>
      </c>
    </row>
    <row r="746" spans="1:20">
      <c r="A746" s="7" t="s">
        <v>1691</v>
      </c>
      <c r="B746" s="7" t="s">
        <v>507</v>
      </c>
      <c r="C746" s="8">
        <v>1</v>
      </c>
      <c r="D746" s="7" t="s">
        <v>1691</v>
      </c>
      <c r="E746" s="7" t="s">
        <v>1734</v>
      </c>
      <c r="F746">
        <v>1091</v>
      </c>
      <c r="G746" s="6">
        <v>27174</v>
      </c>
      <c r="H746" s="11" t="s">
        <v>1735</v>
      </c>
      <c r="I746" s="6">
        <v>43</v>
      </c>
      <c r="J746" s="6">
        <v>8</v>
      </c>
      <c r="K746" s="6">
        <v>19</v>
      </c>
      <c r="L746" s="6">
        <v>54</v>
      </c>
      <c r="M746" s="10">
        <f t="shared" si="33"/>
        <v>35.185185185185183</v>
      </c>
      <c r="N746" s="10">
        <f t="shared" si="34"/>
        <v>36</v>
      </c>
      <c r="O746" s="6" t="s">
        <v>222</v>
      </c>
      <c r="P746" s="6">
        <v>1</v>
      </c>
      <c r="Q746" s="6">
        <v>1</v>
      </c>
      <c r="R746" s="6">
        <v>1</v>
      </c>
      <c r="S746" s="6">
        <v>3</v>
      </c>
      <c r="T746" s="6" t="str">
        <f t="shared" si="35"/>
        <v>Sexta</v>
      </c>
    </row>
    <row r="747" spans="1:20">
      <c r="A747" s="7" t="s">
        <v>1691</v>
      </c>
      <c r="B747" s="7" t="s">
        <v>507</v>
      </c>
      <c r="C747" s="8">
        <v>1</v>
      </c>
      <c r="D747" s="7" t="s">
        <v>1691</v>
      </c>
      <c r="E747" s="7" t="s">
        <v>1736</v>
      </c>
      <c r="F747">
        <v>1113</v>
      </c>
      <c r="G747" s="6">
        <v>25862</v>
      </c>
      <c r="H747" s="11" t="s">
        <v>1737</v>
      </c>
      <c r="I747" s="6">
        <v>51</v>
      </c>
      <c r="J747" s="6">
        <v>18</v>
      </c>
      <c r="K747" s="6">
        <v>33</v>
      </c>
      <c r="L747" s="6">
        <v>45</v>
      </c>
      <c r="M747" s="10">
        <f t="shared" si="33"/>
        <v>73.333333333333329</v>
      </c>
      <c r="N747" s="10">
        <f t="shared" si="34"/>
        <v>74</v>
      </c>
      <c r="O747" s="6" t="s">
        <v>12</v>
      </c>
      <c r="P747" s="6">
        <v>1</v>
      </c>
      <c r="Q747" s="6">
        <v>2</v>
      </c>
      <c r="R747" s="6">
        <v>2</v>
      </c>
      <c r="S747" s="6">
        <v>5</v>
      </c>
      <c r="T747" s="6" t="str">
        <f t="shared" si="35"/>
        <v>Sexta</v>
      </c>
    </row>
    <row r="748" spans="1:20">
      <c r="A748" s="7" t="s">
        <v>1738</v>
      </c>
      <c r="B748" s="7" t="s">
        <v>421</v>
      </c>
      <c r="C748" s="8">
        <v>1</v>
      </c>
      <c r="D748" s="7" t="s">
        <v>1738</v>
      </c>
      <c r="E748" s="7" t="s">
        <v>1739</v>
      </c>
      <c r="F748">
        <v>2543</v>
      </c>
      <c r="G748" s="6">
        <v>13182</v>
      </c>
      <c r="H748" s="11" t="s">
        <v>1740</v>
      </c>
      <c r="I748" s="6">
        <v>20</v>
      </c>
      <c r="J748" s="6">
        <v>43</v>
      </c>
      <c r="K748" s="6">
        <v>177</v>
      </c>
      <c r="L748" s="6">
        <v>75</v>
      </c>
      <c r="M748" s="10">
        <f t="shared" si="33"/>
        <v>236</v>
      </c>
      <c r="N748" s="10">
        <f t="shared" si="34"/>
        <v>236</v>
      </c>
      <c r="O748" s="6" t="s">
        <v>58</v>
      </c>
      <c r="P748" s="6">
        <v>12</v>
      </c>
      <c r="Q748" s="6">
        <v>5</v>
      </c>
      <c r="R748" s="6">
        <v>5</v>
      </c>
      <c r="S748" s="6">
        <v>22</v>
      </c>
      <c r="T748" s="6" t="str">
        <f t="shared" si="35"/>
        <v>Primera</v>
      </c>
    </row>
    <row r="749" spans="1:20">
      <c r="A749" s="7" t="s">
        <v>1738</v>
      </c>
      <c r="B749" s="7" t="s">
        <v>421</v>
      </c>
      <c r="C749" s="8">
        <v>1</v>
      </c>
      <c r="D749" s="7" t="s">
        <v>1738</v>
      </c>
      <c r="E749" s="7" t="s">
        <v>1741</v>
      </c>
      <c r="F749">
        <v>2406</v>
      </c>
      <c r="G749" s="6">
        <v>16903</v>
      </c>
      <c r="H749" s="11" t="s">
        <v>1742</v>
      </c>
      <c r="I749" s="6">
        <v>20</v>
      </c>
      <c r="J749" s="6">
        <v>63</v>
      </c>
      <c r="K749" s="6">
        <v>213</v>
      </c>
      <c r="L749" s="6">
        <v>67</v>
      </c>
      <c r="M749" s="10">
        <f t="shared" si="33"/>
        <v>317.91044776119401</v>
      </c>
      <c r="N749" s="10">
        <f t="shared" si="34"/>
        <v>318</v>
      </c>
      <c r="O749" s="6" t="s">
        <v>62</v>
      </c>
      <c r="P749" s="6">
        <v>9</v>
      </c>
      <c r="Q749" s="6">
        <v>5</v>
      </c>
      <c r="R749" s="6">
        <v>17</v>
      </c>
      <c r="S749" s="6">
        <v>31</v>
      </c>
      <c r="T749" s="6" t="str">
        <f t="shared" si="35"/>
        <v>Primera</v>
      </c>
    </row>
    <row r="750" spans="1:20">
      <c r="A750" s="7" t="s">
        <v>1738</v>
      </c>
      <c r="B750" s="7" t="s">
        <v>421</v>
      </c>
      <c r="C750" s="8">
        <v>1</v>
      </c>
      <c r="D750" s="7" t="s">
        <v>1738</v>
      </c>
      <c r="E750" s="7" t="s">
        <v>1743</v>
      </c>
      <c r="F750">
        <v>2403</v>
      </c>
      <c r="G750" s="6">
        <v>5208</v>
      </c>
      <c r="H750" s="11" t="s">
        <v>1744</v>
      </c>
      <c r="I750" s="6">
        <v>29</v>
      </c>
      <c r="J750" s="6">
        <v>129</v>
      </c>
      <c r="K750" s="6">
        <v>419</v>
      </c>
      <c r="L750" s="6">
        <v>62</v>
      </c>
      <c r="M750" s="10">
        <f t="shared" si="33"/>
        <v>675.80645161290317</v>
      </c>
      <c r="N750" s="10">
        <f t="shared" si="34"/>
        <v>676</v>
      </c>
      <c r="O750" s="6" t="s">
        <v>223</v>
      </c>
      <c r="P750" s="6">
        <v>12</v>
      </c>
      <c r="Q750" s="6">
        <v>18</v>
      </c>
      <c r="R750" s="6">
        <v>21</v>
      </c>
      <c r="S750" s="6">
        <v>51</v>
      </c>
      <c r="T750" s="6" t="str">
        <f t="shared" si="35"/>
        <v>Primera</v>
      </c>
    </row>
    <row r="751" spans="1:20">
      <c r="A751" s="7" t="s">
        <v>1738</v>
      </c>
      <c r="B751" s="7" t="s">
        <v>421</v>
      </c>
      <c r="C751" s="8">
        <v>1</v>
      </c>
      <c r="D751" s="7" t="s">
        <v>1738</v>
      </c>
      <c r="E751" s="7" t="s">
        <v>1745</v>
      </c>
      <c r="F751">
        <v>2154</v>
      </c>
      <c r="G751" s="6">
        <v>20119</v>
      </c>
      <c r="H751" s="11" t="s">
        <v>1746</v>
      </c>
      <c r="I751" s="6">
        <v>16</v>
      </c>
      <c r="J751" s="6">
        <v>45</v>
      </c>
      <c r="K751" s="6">
        <v>140</v>
      </c>
      <c r="L751" s="6">
        <v>65</v>
      </c>
      <c r="M751" s="10">
        <f t="shared" si="33"/>
        <v>215.38461538461539</v>
      </c>
      <c r="N751" s="10">
        <f t="shared" si="34"/>
        <v>216</v>
      </c>
      <c r="O751" s="6" t="s">
        <v>19</v>
      </c>
      <c r="P751" s="6">
        <v>10</v>
      </c>
      <c r="Q751" s="6">
        <v>1</v>
      </c>
      <c r="R751" s="6">
        <v>6</v>
      </c>
      <c r="S751" s="6">
        <v>17</v>
      </c>
      <c r="T751" s="6" t="str">
        <f t="shared" si="35"/>
        <v>Primera</v>
      </c>
    </row>
    <row r="752" spans="1:20">
      <c r="A752" s="7" t="s">
        <v>1738</v>
      </c>
      <c r="B752" s="7" t="s">
        <v>421</v>
      </c>
      <c r="C752" s="8">
        <v>1</v>
      </c>
      <c r="D752" s="7" t="s">
        <v>1738</v>
      </c>
      <c r="E752" s="7" t="s">
        <v>1747</v>
      </c>
      <c r="F752">
        <v>2317</v>
      </c>
      <c r="G752" s="6">
        <v>21519</v>
      </c>
      <c r="H752" s="11" t="s">
        <v>1748</v>
      </c>
      <c r="I752" s="6">
        <v>13</v>
      </c>
      <c r="J752" s="6">
        <v>41</v>
      </c>
      <c r="K752" s="6">
        <v>171</v>
      </c>
      <c r="L752" s="6">
        <v>72</v>
      </c>
      <c r="M752" s="10">
        <f t="shared" si="33"/>
        <v>237.5</v>
      </c>
      <c r="N752" s="10">
        <f t="shared" si="34"/>
        <v>238</v>
      </c>
      <c r="O752" s="6" t="s">
        <v>20</v>
      </c>
      <c r="P752" s="6">
        <v>11</v>
      </c>
      <c r="Q752" s="6">
        <v>4</v>
      </c>
      <c r="R752" s="6">
        <v>12</v>
      </c>
      <c r="S752" s="6">
        <v>27</v>
      </c>
      <c r="T752" s="6" t="str">
        <f t="shared" si="35"/>
        <v>Primera</v>
      </c>
    </row>
    <row r="753" spans="1:20">
      <c r="A753" s="7" t="s">
        <v>1738</v>
      </c>
      <c r="B753" s="7" t="s">
        <v>421</v>
      </c>
      <c r="C753" s="8">
        <v>1</v>
      </c>
      <c r="D753" s="7" t="s">
        <v>1738</v>
      </c>
      <c r="E753" s="7" t="s">
        <v>1749</v>
      </c>
      <c r="F753">
        <v>1996</v>
      </c>
      <c r="G753" s="6">
        <v>20105</v>
      </c>
      <c r="H753" s="11" t="s">
        <v>1750</v>
      </c>
      <c r="I753" s="6">
        <v>17</v>
      </c>
      <c r="J753" s="6">
        <v>65</v>
      </c>
      <c r="K753" s="6">
        <v>179</v>
      </c>
      <c r="L753" s="6">
        <v>61</v>
      </c>
      <c r="M753" s="10">
        <f t="shared" si="33"/>
        <v>293.44262295081967</v>
      </c>
      <c r="N753" s="10">
        <f t="shared" si="34"/>
        <v>294</v>
      </c>
      <c r="O753" s="6" t="s">
        <v>122</v>
      </c>
      <c r="P753" s="6">
        <v>7</v>
      </c>
      <c r="Q753" s="6">
        <v>10</v>
      </c>
      <c r="R753" s="6">
        <v>9</v>
      </c>
      <c r="S753" s="6">
        <v>26</v>
      </c>
      <c r="T753" s="6" t="str">
        <f t="shared" si="35"/>
        <v>Segunda</v>
      </c>
    </row>
    <row r="754" spans="1:20">
      <c r="A754" s="7" t="s">
        <v>1738</v>
      </c>
      <c r="B754" s="7" t="s">
        <v>434</v>
      </c>
      <c r="C754" s="8">
        <v>1</v>
      </c>
      <c r="D754" s="7" t="s">
        <v>1738</v>
      </c>
      <c r="E754" s="7" t="s">
        <v>1751</v>
      </c>
      <c r="F754">
        <v>1228</v>
      </c>
      <c r="G754" s="6">
        <v>17113</v>
      </c>
      <c r="H754" s="11" t="s">
        <v>1752</v>
      </c>
      <c r="I754" s="6">
        <v>12</v>
      </c>
      <c r="J754" s="6">
        <v>5</v>
      </c>
      <c r="K754" s="6">
        <v>13</v>
      </c>
      <c r="L754" s="6">
        <v>45</v>
      </c>
      <c r="M754" s="10">
        <f t="shared" si="33"/>
        <v>28.888888888888889</v>
      </c>
      <c r="N754" s="10">
        <f t="shared" si="34"/>
        <v>29</v>
      </c>
      <c r="O754" s="6" t="s">
        <v>224</v>
      </c>
      <c r="P754" s="6">
        <v>0</v>
      </c>
      <c r="Q754" s="6">
        <v>1</v>
      </c>
      <c r="R754" s="6">
        <v>1</v>
      </c>
      <c r="S754" s="6">
        <v>2</v>
      </c>
      <c r="T754" s="6" t="str">
        <f t="shared" si="35"/>
        <v>Quinta</v>
      </c>
    </row>
    <row r="755" spans="1:20">
      <c r="A755" s="7" t="s">
        <v>1738</v>
      </c>
      <c r="B755" s="7" t="s">
        <v>434</v>
      </c>
      <c r="C755" s="8">
        <v>1</v>
      </c>
      <c r="D755" s="7" t="s">
        <v>1738</v>
      </c>
      <c r="E755" s="7" t="s">
        <v>1749</v>
      </c>
      <c r="F755">
        <v>1996</v>
      </c>
      <c r="G755" s="6">
        <v>20105</v>
      </c>
      <c r="H755" s="11" t="s">
        <v>1750</v>
      </c>
      <c r="I755" s="6">
        <v>17</v>
      </c>
      <c r="J755" s="6">
        <v>65</v>
      </c>
      <c r="K755" s="6">
        <v>179</v>
      </c>
      <c r="L755" s="6">
        <v>61</v>
      </c>
      <c r="M755" s="10">
        <f t="shared" si="33"/>
        <v>293.44262295081967</v>
      </c>
      <c r="N755" s="10">
        <f t="shared" si="34"/>
        <v>294</v>
      </c>
      <c r="O755" s="6" t="s">
        <v>122</v>
      </c>
      <c r="P755" s="6">
        <v>7</v>
      </c>
      <c r="Q755" s="6">
        <v>10</v>
      </c>
      <c r="R755" s="6">
        <v>9</v>
      </c>
      <c r="S755" s="6">
        <v>26</v>
      </c>
      <c r="T755" s="6" t="str">
        <f t="shared" si="35"/>
        <v>Segunda</v>
      </c>
    </row>
    <row r="756" spans="1:20">
      <c r="A756" s="7" t="s">
        <v>1738</v>
      </c>
      <c r="B756" s="7" t="s">
        <v>434</v>
      </c>
      <c r="C756" s="8">
        <v>1</v>
      </c>
      <c r="D756" s="7" t="s">
        <v>1738</v>
      </c>
      <c r="E756" s="7" t="s">
        <v>1753</v>
      </c>
      <c r="F756">
        <v>2164</v>
      </c>
      <c r="G756" s="6">
        <v>1418</v>
      </c>
      <c r="H756" s="11" t="s">
        <v>1754</v>
      </c>
      <c r="I756" s="6">
        <v>34</v>
      </c>
      <c r="J756" s="6">
        <v>230</v>
      </c>
      <c r="K756" s="6">
        <v>676</v>
      </c>
      <c r="L756" s="6">
        <v>64</v>
      </c>
      <c r="M756" s="10">
        <f t="shared" si="33"/>
        <v>1056.25</v>
      </c>
      <c r="N756" s="10">
        <f t="shared" si="34"/>
        <v>1057</v>
      </c>
      <c r="O756" s="6" t="s">
        <v>225</v>
      </c>
      <c r="P756" s="6">
        <v>25</v>
      </c>
      <c r="Q756" s="6">
        <v>25</v>
      </c>
      <c r="R756" s="6">
        <v>51</v>
      </c>
      <c r="S756" s="6">
        <v>101</v>
      </c>
      <c r="T756" s="6" t="str">
        <f t="shared" si="35"/>
        <v>Primera</v>
      </c>
    </row>
    <row r="757" spans="1:20">
      <c r="A757" s="7" t="s">
        <v>1738</v>
      </c>
      <c r="B757" s="7" t="s">
        <v>434</v>
      </c>
      <c r="C757" s="8">
        <v>1</v>
      </c>
      <c r="D757" s="7" t="s">
        <v>1738</v>
      </c>
      <c r="E757" s="7" t="s">
        <v>1755</v>
      </c>
      <c r="F757">
        <v>1856</v>
      </c>
      <c r="G757" s="6">
        <v>22329</v>
      </c>
      <c r="H757" s="11" t="s">
        <v>1756</v>
      </c>
      <c r="I757" s="6">
        <v>39</v>
      </c>
      <c r="J757" s="6">
        <v>44</v>
      </c>
      <c r="K757" s="6">
        <v>107</v>
      </c>
      <c r="L757" s="6">
        <v>44</v>
      </c>
      <c r="M757" s="10">
        <f t="shared" si="33"/>
        <v>243.18181818181819</v>
      </c>
      <c r="N757" s="10">
        <f t="shared" si="34"/>
        <v>244</v>
      </c>
      <c r="O757" s="6" t="s">
        <v>20</v>
      </c>
      <c r="P757" s="6">
        <v>4</v>
      </c>
      <c r="Q757" s="6">
        <v>2</v>
      </c>
      <c r="R757" s="6">
        <v>7</v>
      </c>
      <c r="S757" s="6">
        <v>13</v>
      </c>
      <c r="T757" s="6" t="str">
        <f t="shared" si="35"/>
        <v>Segunda</v>
      </c>
    </row>
    <row r="758" spans="1:20">
      <c r="A758" s="7" t="s">
        <v>1738</v>
      </c>
      <c r="B758" s="7" t="s">
        <v>434</v>
      </c>
      <c r="C758" s="8">
        <v>1</v>
      </c>
      <c r="D758" s="7" t="s">
        <v>1738</v>
      </c>
      <c r="E758" s="7" t="s">
        <v>1757</v>
      </c>
      <c r="F758">
        <v>2098</v>
      </c>
      <c r="G758" s="6">
        <v>27122</v>
      </c>
      <c r="H758" s="11" t="s">
        <v>1758</v>
      </c>
      <c r="I758" s="6">
        <v>54</v>
      </c>
      <c r="J758" s="6">
        <v>194</v>
      </c>
      <c r="K758" s="6">
        <v>528</v>
      </c>
      <c r="L758" s="6">
        <v>54</v>
      </c>
      <c r="M758" s="10">
        <f t="shared" si="33"/>
        <v>977.77777777777783</v>
      </c>
      <c r="N758" s="10">
        <f t="shared" si="34"/>
        <v>978</v>
      </c>
      <c r="O758" s="6" t="s">
        <v>26</v>
      </c>
      <c r="P758" s="6">
        <v>19</v>
      </c>
      <c r="Q758" s="6">
        <v>24</v>
      </c>
      <c r="R758" s="6">
        <v>45</v>
      </c>
      <c r="S758" s="6">
        <v>88</v>
      </c>
      <c r="T758" s="6" t="str">
        <f t="shared" si="35"/>
        <v>Segunda</v>
      </c>
    </row>
    <row r="759" spans="1:20">
      <c r="A759" s="7" t="s">
        <v>1738</v>
      </c>
      <c r="B759" s="7" t="s">
        <v>781</v>
      </c>
      <c r="C759" s="8">
        <v>1</v>
      </c>
      <c r="D759" s="7" t="s">
        <v>1759</v>
      </c>
      <c r="E759" s="7" t="s">
        <v>1755</v>
      </c>
      <c r="F759">
        <v>1856</v>
      </c>
      <c r="G759" s="6">
        <v>22329</v>
      </c>
      <c r="H759" s="11" t="s">
        <v>1756</v>
      </c>
      <c r="I759" s="6">
        <v>39</v>
      </c>
      <c r="J759" s="6">
        <v>44</v>
      </c>
      <c r="K759" s="6">
        <v>107</v>
      </c>
      <c r="L759" s="6">
        <v>44</v>
      </c>
      <c r="M759" s="10">
        <f t="shared" si="33"/>
        <v>243.18181818181819</v>
      </c>
      <c r="N759" s="10">
        <f t="shared" si="34"/>
        <v>244</v>
      </c>
      <c r="O759" s="6" t="s">
        <v>20</v>
      </c>
      <c r="P759" s="6">
        <v>4</v>
      </c>
      <c r="Q759" s="6">
        <v>2</v>
      </c>
      <c r="R759" s="6">
        <v>7</v>
      </c>
      <c r="S759" s="6">
        <v>13</v>
      </c>
      <c r="T759" s="6" t="str">
        <f t="shared" si="35"/>
        <v>Segunda</v>
      </c>
    </row>
    <row r="760" spans="1:20">
      <c r="A760" s="7" t="s">
        <v>1738</v>
      </c>
      <c r="B760" s="7" t="s">
        <v>781</v>
      </c>
      <c r="C760" s="8">
        <v>1</v>
      </c>
      <c r="D760" s="7" t="s">
        <v>1759</v>
      </c>
      <c r="E760" s="7" t="s">
        <v>1760</v>
      </c>
      <c r="F760">
        <v>1802</v>
      </c>
      <c r="G760" s="6">
        <v>14549</v>
      </c>
      <c r="H760" s="11" t="s">
        <v>1761</v>
      </c>
      <c r="I760" s="6">
        <v>31</v>
      </c>
      <c r="J760" s="6">
        <v>83</v>
      </c>
      <c r="K760" s="6">
        <v>196</v>
      </c>
      <c r="L760" s="6">
        <v>49</v>
      </c>
      <c r="M760" s="10">
        <f t="shared" si="33"/>
        <v>400</v>
      </c>
      <c r="N760" s="10">
        <f t="shared" si="34"/>
        <v>400</v>
      </c>
      <c r="O760" s="6" t="s">
        <v>37</v>
      </c>
      <c r="P760" s="6">
        <v>6</v>
      </c>
      <c r="Q760" s="6">
        <v>8</v>
      </c>
      <c r="R760" s="6">
        <v>11</v>
      </c>
      <c r="S760" s="6">
        <v>25</v>
      </c>
      <c r="T760" s="6" t="str">
        <f t="shared" si="35"/>
        <v>Segunda</v>
      </c>
    </row>
    <row r="761" spans="1:20">
      <c r="A761" s="7" t="s">
        <v>1738</v>
      </c>
      <c r="B761" s="7" t="s">
        <v>781</v>
      </c>
      <c r="C761" s="8">
        <v>1</v>
      </c>
      <c r="D761" s="7" t="s">
        <v>1759</v>
      </c>
      <c r="E761" s="7" t="s">
        <v>1762</v>
      </c>
      <c r="F761">
        <v>1812</v>
      </c>
      <c r="G761" s="6">
        <v>18013</v>
      </c>
      <c r="H761" s="11" t="s">
        <v>1763</v>
      </c>
      <c r="I761" s="6">
        <v>26</v>
      </c>
      <c r="J761" s="6">
        <v>61</v>
      </c>
      <c r="K761" s="6">
        <v>153</v>
      </c>
      <c r="L761" s="6">
        <v>46</v>
      </c>
      <c r="M761" s="10">
        <f t="shared" si="33"/>
        <v>332.60869565217394</v>
      </c>
      <c r="N761" s="10">
        <f t="shared" si="34"/>
        <v>333</v>
      </c>
      <c r="O761" s="6" t="s">
        <v>45</v>
      </c>
      <c r="P761" s="6">
        <v>7</v>
      </c>
      <c r="Q761" s="6">
        <v>7</v>
      </c>
      <c r="R761" s="6">
        <v>3</v>
      </c>
      <c r="S761" s="6">
        <v>17</v>
      </c>
      <c r="T761" s="6" t="str">
        <f t="shared" si="35"/>
        <v>Segunda</v>
      </c>
    </row>
    <row r="762" spans="1:20">
      <c r="A762" s="7" t="s">
        <v>1738</v>
      </c>
      <c r="B762" s="7" t="s">
        <v>781</v>
      </c>
      <c r="C762" s="8">
        <v>1</v>
      </c>
      <c r="D762" s="7" t="s">
        <v>1759</v>
      </c>
      <c r="E762" s="7" t="s">
        <v>1764</v>
      </c>
      <c r="F762">
        <v>1712</v>
      </c>
      <c r="G762" s="6">
        <v>7842</v>
      </c>
      <c r="H762" s="11" t="s">
        <v>1765</v>
      </c>
      <c r="I762" s="6">
        <v>62</v>
      </c>
      <c r="J762" s="6">
        <v>157</v>
      </c>
      <c r="K762" s="6">
        <v>396</v>
      </c>
      <c r="L762" s="6">
        <v>50</v>
      </c>
      <c r="M762" s="10">
        <f t="shared" si="33"/>
        <v>792</v>
      </c>
      <c r="N762" s="10">
        <f t="shared" si="34"/>
        <v>792</v>
      </c>
      <c r="O762" s="6" t="s">
        <v>36</v>
      </c>
      <c r="P762" s="6">
        <v>4</v>
      </c>
      <c r="Q762" s="6">
        <v>8</v>
      </c>
      <c r="R762" s="6">
        <v>35</v>
      </c>
      <c r="S762" s="6">
        <v>47</v>
      </c>
      <c r="T762" s="6" t="str">
        <f t="shared" si="35"/>
        <v>Tercera</v>
      </c>
    </row>
    <row r="763" spans="1:20">
      <c r="A763" s="7" t="s">
        <v>1738</v>
      </c>
      <c r="B763" s="7" t="s">
        <v>781</v>
      </c>
      <c r="C763" s="8">
        <v>1</v>
      </c>
      <c r="D763" s="7" t="s">
        <v>1759</v>
      </c>
      <c r="E763" s="7" t="s">
        <v>1766</v>
      </c>
      <c r="F763">
        <v>1442</v>
      </c>
      <c r="G763" s="6">
        <v>18373</v>
      </c>
      <c r="H763" s="11" t="s">
        <v>1767</v>
      </c>
      <c r="I763" s="6">
        <v>14</v>
      </c>
      <c r="J763" s="6">
        <v>41</v>
      </c>
      <c r="K763" s="6">
        <v>105</v>
      </c>
      <c r="L763" s="6">
        <v>53</v>
      </c>
      <c r="M763" s="10">
        <f t="shared" si="33"/>
        <v>198.11320754716982</v>
      </c>
      <c r="N763" s="10">
        <f t="shared" si="34"/>
        <v>199</v>
      </c>
      <c r="O763" s="6" t="s">
        <v>38</v>
      </c>
      <c r="P763" s="6">
        <v>5</v>
      </c>
      <c r="Q763" s="6">
        <v>2</v>
      </c>
      <c r="R763" s="6">
        <v>7</v>
      </c>
      <c r="S763" s="6">
        <v>14</v>
      </c>
      <c r="T763" s="6" t="str">
        <f t="shared" si="35"/>
        <v>Cuarta</v>
      </c>
    </row>
    <row r="764" spans="1:20">
      <c r="A764" s="7" t="s">
        <v>1738</v>
      </c>
      <c r="B764" s="7" t="s">
        <v>781</v>
      </c>
      <c r="C764" s="8">
        <v>2</v>
      </c>
      <c r="D764" s="7" t="s">
        <v>1768</v>
      </c>
      <c r="E764" s="7" t="s">
        <v>1769</v>
      </c>
      <c r="F764">
        <v>1944</v>
      </c>
      <c r="G764" s="6">
        <v>3652</v>
      </c>
      <c r="H764" s="11" t="s">
        <v>1770</v>
      </c>
      <c r="I764" s="6">
        <v>37</v>
      </c>
      <c r="J764" s="6">
        <v>13</v>
      </c>
      <c r="K764" s="6">
        <v>25</v>
      </c>
      <c r="L764" s="6">
        <v>50</v>
      </c>
      <c r="M764" s="10">
        <f t="shared" si="33"/>
        <v>50</v>
      </c>
      <c r="N764" s="10">
        <f t="shared" si="34"/>
        <v>50</v>
      </c>
      <c r="O764" s="6" t="s">
        <v>19</v>
      </c>
      <c r="P764" s="6">
        <v>0</v>
      </c>
      <c r="Q764" s="6">
        <v>0</v>
      </c>
      <c r="R764" s="6">
        <v>0</v>
      </c>
      <c r="S764" s="6">
        <v>0</v>
      </c>
      <c r="T764" s="6" t="str">
        <f t="shared" si="35"/>
        <v>Segunda</v>
      </c>
    </row>
    <row r="765" spans="1:20">
      <c r="A765" s="7" t="s">
        <v>1738</v>
      </c>
      <c r="B765" s="7" t="s">
        <v>781</v>
      </c>
      <c r="C765" s="8">
        <v>2</v>
      </c>
      <c r="D765" s="7" t="s">
        <v>1768</v>
      </c>
      <c r="E765" s="7" t="s">
        <v>1771</v>
      </c>
      <c r="F765">
        <v>1780</v>
      </c>
      <c r="G765" s="6">
        <v>23198</v>
      </c>
      <c r="H765" s="11" t="s">
        <v>1772</v>
      </c>
      <c r="I765" s="6">
        <v>13</v>
      </c>
      <c r="J765" s="6">
        <v>59</v>
      </c>
      <c r="K765" s="6">
        <v>161</v>
      </c>
      <c r="L765" s="6">
        <v>56</v>
      </c>
      <c r="M765" s="10">
        <f t="shared" si="33"/>
        <v>287.5</v>
      </c>
      <c r="N765" s="10">
        <f t="shared" si="34"/>
        <v>288</v>
      </c>
      <c r="O765" s="6" t="s">
        <v>37</v>
      </c>
      <c r="P765" s="6">
        <v>6</v>
      </c>
      <c r="Q765" s="6">
        <v>4</v>
      </c>
      <c r="R765" s="6">
        <v>9</v>
      </c>
      <c r="S765" s="6">
        <v>19</v>
      </c>
      <c r="T765" s="6" t="str">
        <f t="shared" si="35"/>
        <v>Tercera</v>
      </c>
    </row>
    <row r="766" spans="1:20">
      <c r="A766" s="7" t="s">
        <v>1738</v>
      </c>
      <c r="B766" s="7" t="s">
        <v>781</v>
      </c>
      <c r="C766" s="8">
        <v>2</v>
      </c>
      <c r="D766" s="7" t="s">
        <v>1768</v>
      </c>
      <c r="E766" s="7" t="s">
        <v>1757</v>
      </c>
      <c r="F766">
        <v>2098</v>
      </c>
      <c r="G766" s="6">
        <v>27122</v>
      </c>
      <c r="H766" s="11" t="s">
        <v>1758</v>
      </c>
      <c r="I766" s="6">
        <v>54</v>
      </c>
      <c r="J766" s="6">
        <v>194</v>
      </c>
      <c r="K766" s="6">
        <v>528</v>
      </c>
      <c r="L766" s="6">
        <v>54</v>
      </c>
      <c r="M766" s="10">
        <f t="shared" si="33"/>
        <v>977.77777777777783</v>
      </c>
      <c r="N766" s="10">
        <f t="shared" si="34"/>
        <v>978</v>
      </c>
      <c r="O766" s="6" t="s">
        <v>26</v>
      </c>
      <c r="P766" s="6">
        <v>19</v>
      </c>
      <c r="Q766" s="6">
        <v>24</v>
      </c>
      <c r="R766" s="6">
        <v>45</v>
      </c>
      <c r="S766" s="6">
        <v>88</v>
      </c>
      <c r="T766" s="6" t="str">
        <f t="shared" si="35"/>
        <v>Segunda</v>
      </c>
    </row>
    <row r="767" spans="1:20">
      <c r="A767" s="7" t="s">
        <v>1738</v>
      </c>
      <c r="B767" s="7" t="s">
        <v>781</v>
      </c>
      <c r="C767" s="8">
        <v>2</v>
      </c>
      <c r="D767" s="7" t="s">
        <v>1768</v>
      </c>
      <c r="E767" s="7" t="s">
        <v>1773</v>
      </c>
      <c r="F767">
        <v>1614</v>
      </c>
      <c r="G767" s="6">
        <v>11721</v>
      </c>
      <c r="H767" s="11" t="s">
        <v>1774</v>
      </c>
      <c r="I767" s="6">
        <v>68</v>
      </c>
      <c r="J767" s="6">
        <v>152</v>
      </c>
      <c r="K767" s="6">
        <v>317</v>
      </c>
      <c r="L767" s="6">
        <v>44</v>
      </c>
      <c r="M767" s="10">
        <f t="shared" si="33"/>
        <v>720.4545454545455</v>
      </c>
      <c r="N767" s="10">
        <f t="shared" si="34"/>
        <v>721</v>
      </c>
      <c r="O767" s="6" t="s">
        <v>226</v>
      </c>
      <c r="P767" s="6">
        <v>9</v>
      </c>
      <c r="Q767" s="6">
        <v>6</v>
      </c>
      <c r="R767" s="6">
        <v>11</v>
      </c>
      <c r="S767" s="6">
        <v>26</v>
      </c>
      <c r="T767" s="6" t="str">
        <f t="shared" si="35"/>
        <v>Tercera</v>
      </c>
    </row>
    <row r="768" spans="1:20">
      <c r="A768" s="7" t="s">
        <v>1738</v>
      </c>
      <c r="B768" s="7" t="s">
        <v>781</v>
      </c>
      <c r="C768" s="8">
        <v>2</v>
      </c>
      <c r="D768" s="7" t="s">
        <v>1768</v>
      </c>
      <c r="E768" s="7" t="s">
        <v>1775</v>
      </c>
      <c r="F768">
        <v>1660</v>
      </c>
      <c r="G768" s="6">
        <v>22477</v>
      </c>
      <c r="H768" s="11" t="s">
        <v>1776</v>
      </c>
      <c r="I768" s="6">
        <v>14</v>
      </c>
      <c r="J768" s="6">
        <v>25</v>
      </c>
      <c r="K768" s="6">
        <v>91</v>
      </c>
      <c r="L768" s="6">
        <v>71</v>
      </c>
      <c r="M768" s="10">
        <f t="shared" si="33"/>
        <v>128.16901408450704</v>
      </c>
      <c r="N768" s="10">
        <f t="shared" si="34"/>
        <v>129</v>
      </c>
      <c r="O768" s="6" t="s">
        <v>18</v>
      </c>
      <c r="P768" s="6">
        <v>6</v>
      </c>
      <c r="Q768" s="6">
        <v>3</v>
      </c>
      <c r="R768" s="6">
        <v>1</v>
      </c>
      <c r="S768" s="6">
        <v>10</v>
      </c>
      <c r="T768" s="6" t="str">
        <f t="shared" si="35"/>
        <v>Tercera</v>
      </c>
    </row>
    <row r="769" spans="1:20">
      <c r="A769" s="7" t="s">
        <v>1738</v>
      </c>
      <c r="B769" s="7" t="s">
        <v>468</v>
      </c>
      <c r="C769" s="8">
        <v>1</v>
      </c>
      <c r="D769" s="7" t="s">
        <v>1738</v>
      </c>
      <c r="E769" s="7" t="s">
        <v>1775</v>
      </c>
      <c r="F769">
        <v>1660</v>
      </c>
      <c r="G769" s="6">
        <v>22477</v>
      </c>
      <c r="H769" s="11" t="s">
        <v>1776</v>
      </c>
      <c r="I769" s="6">
        <v>14</v>
      </c>
      <c r="J769" s="6">
        <v>25</v>
      </c>
      <c r="K769" s="6">
        <v>91</v>
      </c>
      <c r="L769" s="6">
        <v>71</v>
      </c>
      <c r="M769" s="10">
        <f t="shared" si="33"/>
        <v>128.16901408450704</v>
      </c>
      <c r="N769" s="10">
        <f t="shared" si="34"/>
        <v>129</v>
      </c>
      <c r="O769" s="6" t="s">
        <v>18</v>
      </c>
      <c r="P769" s="6">
        <v>6</v>
      </c>
      <c r="Q769" s="6">
        <v>3</v>
      </c>
      <c r="R769" s="6">
        <v>1</v>
      </c>
      <c r="S769" s="6">
        <v>10</v>
      </c>
      <c r="T769" s="6" t="str">
        <f t="shared" si="35"/>
        <v>Tercera</v>
      </c>
    </row>
    <row r="770" spans="1:20">
      <c r="A770" s="7" t="s">
        <v>1738</v>
      </c>
      <c r="B770" s="7" t="s">
        <v>468</v>
      </c>
      <c r="C770" s="8">
        <v>1</v>
      </c>
      <c r="D770" s="7" t="s">
        <v>1738</v>
      </c>
      <c r="E770" s="7" t="s">
        <v>1777</v>
      </c>
      <c r="F770">
        <v>1401</v>
      </c>
      <c r="G770" s="6">
        <v>18374</v>
      </c>
      <c r="H770" s="11" t="s">
        <v>1778</v>
      </c>
      <c r="I770" s="6">
        <v>16</v>
      </c>
      <c r="J770" s="6">
        <v>41</v>
      </c>
      <c r="K770" s="6">
        <v>99</v>
      </c>
      <c r="L770" s="6">
        <v>48</v>
      </c>
      <c r="M770" s="10">
        <f t="shared" si="33"/>
        <v>206.25</v>
      </c>
      <c r="N770" s="10">
        <f t="shared" si="34"/>
        <v>207</v>
      </c>
      <c r="O770" s="6" t="s">
        <v>38</v>
      </c>
      <c r="P770" s="6">
        <v>3</v>
      </c>
      <c r="Q770" s="6">
        <v>2</v>
      </c>
      <c r="R770" s="6">
        <v>6</v>
      </c>
      <c r="S770" s="6">
        <v>11</v>
      </c>
      <c r="T770" s="6" t="str">
        <f t="shared" si="35"/>
        <v>Cuarta</v>
      </c>
    </row>
    <row r="771" spans="1:20">
      <c r="A771" s="7" t="s">
        <v>1738</v>
      </c>
      <c r="B771" s="7" t="s">
        <v>468</v>
      </c>
      <c r="C771" s="8">
        <v>1</v>
      </c>
      <c r="D771" s="7" t="s">
        <v>1738</v>
      </c>
      <c r="E771" s="7" t="s">
        <v>1766</v>
      </c>
      <c r="F771">
        <v>1442</v>
      </c>
      <c r="G771" s="6">
        <v>18373</v>
      </c>
      <c r="H771" s="11" t="s">
        <v>1767</v>
      </c>
      <c r="I771" s="6">
        <v>14</v>
      </c>
      <c r="J771" s="6">
        <v>41</v>
      </c>
      <c r="K771" s="6">
        <v>105</v>
      </c>
      <c r="L771" s="6">
        <v>53</v>
      </c>
      <c r="M771" s="10">
        <f t="shared" ref="M771:M834" si="36">IF(K771+L771=0,0,(100*K771/L771))</f>
        <v>198.11320754716982</v>
      </c>
      <c r="N771" s="10">
        <f t="shared" ref="N771:N834" si="37">ROUNDUP(M771,0)</f>
        <v>199</v>
      </c>
      <c r="O771" s="6" t="s">
        <v>38</v>
      </c>
      <c r="P771" s="6">
        <v>5</v>
      </c>
      <c r="Q771" s="6">
        <v>2</v>
      </c>
      <c r="R771" s="6">
        <v>7</v>
      </c>
      <c r="S771" s="6">
        <v>14</v>
      </c>
      <c r="T771" s="6" t="str">
        <f t="shared" ref="T771:T834" si="38">IF(F771&gt;2100,"Primera",
IF(F771&gt;=1800,"Segunda",
IF(F771&gt;=1600,"Tercera",
IF(F771&gt;=1400,"Cuarta",
IF(F771&gt;=1200,"Quinta",
IF(F771&gt;=1080,"Sexta",
IF(F771&gt;=980,"Septima",
"Octava")))))))</f>
        <v>Cuarta</v>
      </c>
    </row>
    <row r="772" spans="1:20">
      <c r="A772" s="7" t="s">
        <v>1738</v>
      </c>
      <c r="B772" s="7" t="s">
        <v>468</v>
      </c>
      <c r="C772" s="8">
        <v>1</v>
      </c>
      <c r="D772" s="7" t="s">
        <v>1738</v>
      </c>
      <c r="E772" s="7" t="s">
        <v>1779</v>
      </c>
      <c r="F772">
        <v>1716</v>
      </c>
      <c r="G772" s="6">
        <v>762</v>
      </c>
      <c r="H772" s="11" t="s">
        <v>1780</v>
      </c>
      <c r="I772" s="6">
        <v>47</v>
      </c>
      <c r="J772" s="6">
        <v>1</v>
      </c>
      <c r="K772" s="6">
        <v>3</v>
      </c>
      <c r="L772" s="6">
        <v>60</v>
      </c>
      <c r="M772" s="10">
        <f t="shared" si="36"/>
        <v>5</v>
      </c>
      <c r="N772" s="10">
        <f t="shared" si="37"/>
        <v>5</v>
      </c>
      <c r="O772" s="6" t="s">
        <v>227</v>
      </c>
      <c r="P772" s="6">
        <v>0</v>
      </c>
      <c r="Q772" s="6">
        <v>0</v>
      </c>
      <c r="R772" s="6">
        <v>0</v>
      </c>
      <c r="S772" s="6">
        <v>0</v>
      </c>
      <c r="T772" s="6" t="str">
        <f t="shared" si="38"/>
        <v>Tercera</v>
      </c>
    </row>
    <row r="773" spans="1:20">
      <c r="A773" s="7" t="s">
        <v>1738</v>
      </c>
      <c r="B773" s="7" t="s">
        <v>468</v>
      </c>
      <c r="C773" s="8">
        <v>1</v>
      </c>
      <c r="D773" s="7" t="s">
        <v>1738</v>
      </c>
      <c r="E773" s="7" t="s">
        <v>1781</v>
      </c>
      <c r="F773">
        <v>1894</v>
      </c>
      <c r="G773" s="6">
        <v>638</v>
      </c>
      <c r="H773" s="11" t="s">
        <v>1782</v>
      </c>
      <c r="I773" s="6">
        <v>34</v>
      </c>
      <c r="J773" s="6">
        <v>5</v>
      </c>
      <c r="K773" s="6">
        <v>20</v>
      </c>
      <c r="L773" s="6">
        <v>65</v>
      </c>
      <c r="M773" s="10">
        <f t="shared" si="36"/>
        <v>30.76923076923077</v>
      </c>
      <c r="N773" s="10">
        <f t="shared" si="37"/>
        <v>31</v>
      </c>
      <c r="O773" s="6" t="s">
        <v>228</v>
      </c>
      <c r="P773" s="6">
        <v>0</v>
      </c>
      <c r="Q773" s="6">
        <v>1</v>
      </c>
      <c r="R773" s="6">
        <v>2</v>
      </c>
      <c r="S773" s="6">
        <v>3</v>
      </c>
      <c r="T773" s="6" t="str">
        <f t="shared" si="38"/>
        <v>Segunda</v>
      </c>
    </row>
    <row r="774" spans="1:20">
      <c r="A774" s="7" t="s">
        <v>1738</v>
      </c>
      <c r="B774" s="7" t="s">
        <v>468</v>
      </c>
      <c r="C774" s="8">
        <v>1</v>
      </c>
      <c r="D774" s="7" t="s">
        <v>1738</v>
      </c>
      <c r="E774" s="7" t="s">
        <v>1783</v>
      </c>
      <c r="F774">
        <v>1555</v>
      </c>
      <c r="G774" s="6">
        <v>20049</v>
      </c>
      <c r="H774" s="11" t="s">
        <v>1784</v>
      </c>
      <c r="I774" s="6">
        <v>12</v>
      </c>
      <c r="J774" s="6">
        <v>19</v>
      </c>
      <c r="K774" s="6">
        <v>62</v>
      </c>
      <c r="L774" s="6">
        <v>58</v>
      </c>
      <c r="M774" s="10">
        <f t="shared" si="36"/>
        <v>106.89655172413794</v>
      </c>
      <c r="N774" s="10">
        <f t="shared" si="37"/>
        <v>107</v>
      </c>
      <c r="O774" s="6" t="s">
        <v>19</v>
      </c>
      <c r="P774" s="6">
        <v>3</v>
      </c>
      <c r="Q774" s="6">
        <v>3</v>
      </c>
      <c r="R774" s="6">
        <v>3</v>
      </c>
      <c r="S774" s="6">
        <v>9</v>
      </c>
      <c r="T774" s="6" t="str">
        <f t="shared" si="38"/>
        <v>Cuarta</v>
      </c>
    </row>
    <row r="775" spans="1:20">
      <c r="A775" s="7" t="s">
        <v>1738</v>
      </c>
      <c r="B775" s="7" t="s">
        <v>468</v>
      </c>
      <c r="C775" s="8">
        <v>1</v>
      </c>
      <c r="D775" s="7" t="s">
        <v>1738</v>
      </c>
      <c r="E775" s="7" t="s">
        <v>1785</v>
      </c>
      <c r="F775">
        <v>1770</v>
      </c>
      <c r="G775" s="6">
        <v>10948</v>
      </c>
      <c r="H775" s="11" t="s">
        <v>1786</v>
      </c>
      <c r="I775" s="6">
        <v>36</v>
      </c>
      <c r="J775" s="6">
        <v>7</v>
      </c>
      <c r="K775" s="6">
        <v>22</v>
      </c>
      <c r="L775" s="6">
        <v>67</v>
      </c>
      <c r="M775" s="10">
        <f t="shared" si="36"/>
        <v>32.835820895522389</v>
      </c>
      <c r="N775" s="10">
        <f t="shared" si="37"/>
        <v>33</v>
      </c>
      <c r="O775" s="6" t="s">
        <v>229</v>
      </c>
      <c r="P775" s="6">
        <v>1</v>
      </c>
      <c r="Q775" s="6">
        <v>2</v>
      </c>
      <c r="R775" s="6">
        <v>1</v>
      </c>
      <c r="S775" s="6">
        <v>4</v>
      </c>
      <c r="T775" s="6" t="str">
        <f t="shared" si="38"/>
        <v>Tercera</v>
      </c>
    </row>
    <row r="776" spans="1:20">
      <c r="A776" s="7" t="s">
        <v>1738</v>
      </c>
      <c r="B776" s="7" t="s">
        <v>483</v>
      </c>
      <c r="C776" s="8">
        <v>1</v>
      </c>
      <c r="D776" s="7" t="s">
        <v>1738</v>
      </c>
      <c r="E776" s="7" t="s">
        <v>1787</v>
      </c>
      <c r="F776">
        <v>1600</v>
      </c>
      <c r="G776" s="6">
        <v>6494</v>
      </c>
      <c r="H776" s="11" t="s">
        <v>1788</v>
      </c>
      <c r="I776" s="6">
        <v>54</v>
      </c>
      <c r="J776" s="6">
        <v>13</v>
      </c>
      <c r="K776" s="6">
        <v>19</v>
      </c>
      <c r="L776" s="6">
        <v>40</v>
      </c>
      <c r="M776" s="10">
        <f t="shared" si="36"/>
        <v>47.5</v>
      </c>
      <c r="N776" s="10">
        <f t="shared" si="37"/>
        <v>48</v>
      </c>
      <c r="O776" s="6" t="s">
        <v>33</v>
      </c>
      <c r="P776" s="6">
        <v>0</v>
      </c>
      <c r="Q776" s="6">
        <v>0</v>
      </c>
      <c r="R776" s="6">
        <v>0</v>
      </c>
      <c r="S776" s="6">
        <v>0</v>
      </c>
      <c r="T776" s="6" t="str">
        <f t="shared" si="38"/>
        <v>Tercera</v>
      </c>
    </row>
    <row r="777" spans="1:20">
      <c r="A777" s="7" t="s">
        <v>1738</v>
      </c>
      <c r="B777" s="7" t="s">
        <v>483</v>
      </c>
      <c r="C777" s="8">
        <v>1</v>
      </c>
      <c r="D777" s="7" t="s">
        <v>1738</v>
      </c>
      <c r="E777" s="7" t="s">
        <v>1781</v>
      </c>
      <c r="F777">
        <v>1894</v>
      </c>
      <c r="G777" s="6">
        <v>638</v>
      </c>
      <c r="H777" s="11" t="s">
        <v>1782</v>
      </c>
      <c r="I777" s="6">
        <v>34</v>
      </c>
      <c r="J777" s="6">
        <v>5</v>
      </c>
      <c r="K777" s="6">
        <v>20</v>
      </c>
      <c r="L777" s="6">
        <v>65</v>
      </c>
      <c r="M777" s="10">
        <f t="shared" si="36"/>
        <v>30.76923076923077</v>
      </c>
      <c r="N777" s="10">
        <f t="shared" si="37"/>
        <v>31</v>
      </c>
      <c r="O777" s="6" t="s">
        <v>228</v>
      </c>
      <c r="P777" s="6">
        <v>0</v>
      </c>
      <c r="Q777" s="6">
        <v>1</v>
      </c>
      <c r="R777" s="6">
        <v>2</v>
      </c>
      <c r="S777" s="6">
        <v>3</v>
      </c>
      <c r="T777" s="6" t="str">
        <f t="shared" si="38"/>
        <v>Segunda</v>
      </c>
    </row>
    <row r="778" spans="1:20">
      <c r="A778" s="7" t="s">
        <v>1738</v>
      </c>
      <c r="B778" s="7" t="s">
        <v>483</v>
      </c>
      <c r="C778" s="8">
        <v>1</v>
      </c>
      <c r="D778" s="7" t="s">
        <v>1738</v>
      </c>
      <c r="E778" s="7" t="s">
        <v>1789</v>
      </c>
      <c r="F778">
        <v>1690</v>
      </c>
      <c r="G778" s="6">
        <v>15968</v>
      </c>
      <c r="H778" s="11" t="s">
        <v>1790</v>
      </c>
      <c r="I778" s="6">
        <v>58</v>
      </c>
      <c r="J778" s="6">
        <v>192</v>
      </c>
      <c r="K778" s="6">
        <v>476</v>
      </c>
      <c r="L778" s="6">
        <v>55</v>
      </c>
      <c r="M778" s="10">
        <f t="shared" si="36"/>
        <v>865.4545454545455</v>
      </c>
      <c r="N778" s="10">
        <f t="shared" si="37"/>
        <v>866</v>
      </c>
      <c r="O778" s="6" t="s">
        <v>18</v>
      </c>
      <c r="P778" s="6">
        <v>14</v>
      </c>
      <c r="Q778" s="6">
        <v>13</v>
      </c>
      <c r="R778" s="6">
        <v>31</v>
      </c>
      <c r="S778" s="6">
        <v>58</v>
      </c>
      <c r="T778" s="6" t="str">
        <f t="shared" si="38"/>
        <v>Tercera</v>
      </c>
    </row>
    <row r="779" spans="1:20">
      <c r="A779" s="7" t="s">
        <v>1738</v>
      </c>
      <c r="B779" s="7" t="s">
        <v>483</v>
      </c>
      <c r="C779" s="8">
        <v>1</v>
      </c>
      <c r="D779" s="7" t="s">
        <v>1738</v>
      </c>
      <c r="E779" s="7" t="s">
        <v>1791</v>
      </c>
      <c r="F779">
        <v>1690</v>
      </c>
      <c r="G779" s="6">
        <v>15892</v>
      </c>
      <c r="H779" s="11" t="s">
        <v>1792</v>
      </c>
      <c r="I779" s="6">
        <v>36</v>
      </c>
      <c r="J779" s="6">
        <v>40</v>
      </c>
      <c r="K779" s="6">
        <v>109</v>
      </c>
      <c r="L779" s="6">
        <v>60</v>
      </c>
      <c r="M779" s="10">
        <f t="shared" si="36"/>
        <v>181.66666666666666</v>
      </c>
      <c r="N779" s="10">
        <f t="shared" si="37"/>
        <v>182</v>
      </c>
      <c r="O779" s="6" t="s">
        <v>230</v>
      </c>
      <c r="P779" s="6">
        <v>3</v>
      </c>
      <c r="Q779" s="6">
        <v>1</v>
      </c>
      <c r="R779" s="6">
        <v>4</v>
      </c>
      <c r="S779" s="6">
        <v>8</v>
      </c>
      <c r="T779" s="6" t="str">
        <f t="shared" si="38"/>
        <v>Tercera</v>
      </c>
    </row>
    <row r="780" spans="1:20">
      <c r="A780" s="7" t="s">
        <v>1738</v>
      </c>
      <c r="B780" s="7" t="s">
        <v>483</v>
      </c>
      <c r="C780" s="8">
        <v>1</v>
      </c>
      <c r="D780" s="7" t="s">
        <v>1738</v>
      </c>
      <c r="E780" s="7" t="s">
        <v>1793</v>
      </c>
      <c r="F780">
        <v>1527</v>
      </c>
      <c r="G780" s="6">
        <v>12358</v>
      </c>
      <c r="H780" s="11" t="s">
        <v>1794</v>
      </c>
      <c r="I780" s="6">
        <v>54</v>
      </c>
      <c r="J780" s="6">
        <v>59</v>
      </c>
      <c r="K780" s="6">
        <v>130</v>
      </c>
      <c r="L780" s="6">
        <v>52</v>
      </c>
      <c r="M780" s="10">
        <f t="shared" si="36"/>
        <v>250</v>
      </c>
      <c r="N780" s="10">
        <f t="shared" si="37"/>
        <v>250</v>
      </c>
      <c r="O780" s="6" t="s">
        <v>231</v>
      </c>
      <c r="P780" s="6">
        <v>4</v>
      </c>
      <c r="Q780" s="6">
        <v>3</v>
      </c>
      <c r="R780" s="6">
        <v>10</v>
      </c>
      <c r="S780" s="6">
        <v>17</v>
      </c>
      <c r="T780" s="6" t="str">
        <f t="shared" si="38"/>
        <v>Cuarta</v>
      </c>
    </row>
    <row r="781" spans="1:20">
      <c r="A781" s="7" t="s">
        <v>1738</v>
      </c>
      <c r="B781" s="7" t="s">
        <v>483</v>
      </c>
      <c r="C781" s="8">
        <v>1</v>
      </c>
      <c r="D781" s="7" t="s">
        <v>1738</v>
      </c>
      <c r="E781" s="7" t="s">
        <v>1783</v>
      </c>
      <c r="F781">
        <v>1555</v>
      </c>
      <c r="G781" s="6">
        <v>20049</v>
      </c>
      <c r="H781" s="11" t="s">
        <v>1784</v>
      </c>
      <c r="I781" s="6">
        <v>12</v>
      </c>
      <c r="J781" s="6">
        <v>19</v>
      </c>
      <c r="K781" s="6">
        <v>62</v>
      </c>
      <c r="L781" s="6">
        <v>58</v>
      </c>
      <c r="M781" s="10">
        <f t="shared" si="36"/>
        <v>106.89655172413794</v>
      </c>
      <c r="N781" s="10">
        <f t="shared" si="37"/>
        <v>107</v>
      </c>
      <c r="O781" s="6" t="s">
        <v>19</v>
      </c>
      <c r="P781" s="6">
        <v>3</v>
      </c>
      <c r="Q781" s="6">
        <v>3</v>
      </c>
      <c r="R781" s="6">
        <v>3</v>
      </c>
      <c r="S781" s="6">
        <v>9</v>
      </c>
      <c r="T781" s="6" t="str">
        <f t="shared" si="38"/>
        <v>Cuarta</v>
      </c>
    </row>
    <row r="782" spans="1:20">
      <c r="A782" s="7" t="s">
        <v>1738</v>
      </c>
      <c r="B782" s="7" t="s">
        <v>483</v>
      </c>
      <c r="C782" s="8">
        <v>1</v>
      </c>
      <c r="D782" s="7" t="s">
        <v>1738</v>
      </c>
      <c r="E782" s="7" t="s">
        <v>1785</v>
      </c>
      <c r="F782">
        <v>1770</v>
      </c>
      <c r="G782" s="6">
        <v>10948</v>
      </c>
      <c r="H782" s="11" t="s">
        <v>1786</v>
      </c>
      <c r="I782" s="6">
        <v>36</v>
      </c>
      <c r="J782" s="6">
        <v>7</v>
      </c>
      <c r="K782" s="6">
        <v>22</v>
      </c>
      <c r="L782" s="6">
        <v>67</v>
      </c>
      <c r="M782" s="10">
        <f t="shared" si="36"/>
        <v>32.835820895522389</v>
      </c>
      <c r="N782" s="10">
        <f t="shared" si="37"/>
        <v>33</v>
      </c>
      <c r="O782" s="6" t="s">
        <v>229</v>
      </c>
      <c r="P782" s="6">
        <v>1</v>
      </c>
      <c r="Q782" s="6">
        <v>2</v>
      </c>
      <c r="R782" s="6">
        <v>1</v>
      </c>
      <c r="S782" s="6">
        <v>4</v>
      </c>
      <c r="T782" s="6" t="str">
        <f t="shared" si="38"/>
        <v>Tercera</v>
      </c>
    </row>
    <row r="783" spans="1:20">
      <c r="A783" s="7" t="s">
        <v>1738</v>
      </c>
      <c r="B783" s="7" t="s">
        <v>483</v>
      </c>
      <c r="C783" s="8">
        <v>1</v>
      </c>
      <c r="D783" s="7" t="s">
        <v>1738</v>
      </c>
      <c r="E783" s="7" t="s">
        <v>1795</v>
      </c>
      <c r="F783">
        <v>1550</v>
      </c>
      <c r="G783" s="6">
        <v>25348</v>
      </c>
      <c r="H783" s="11" t="s">
        <v>1796</v>
      </c>
      <c r="I783" s="6">
        <v>29</v>
      </c>
      <c r="J783" s="6">
        <v>53</v>
      </c>
      <c r="K783" s="6">
        <v>120</v>
      </c>
      <c r="L783" s="6">
        <v>47</v>
      </c>
      <c r="M783" s="10">
        <f t="shared" si="36"/>
        <v>255.31914893617022</v>
      </c>
      <c r="N783" s="10">
        <f t="shared" si="37"/>
        <v>256</v>
      </c>
      <c r="O783" s="6" t="s">
        <v>20</v>
      </c>
      <c r="P783" s="6">
        <v>4</v>
      </c>
      <c r="Q783" s="6">
        <v>4</v>
      </c>
      <c r="R783" s="6">
        <v>7</v>
      </c>
      <c r="S783" s="6">
        <v>15</v>
      </c>
      <c r="T783" s="6" t="str">
        <f t="shared" si="38"/>
        <v>Cuarta</v>
      </c>
    </row>
    <row r="784" spans="1:20">
      <c r="A784" s="7" t="s">
        <v>1738</v>
      </c>
      <c r="B784" s="7" t="s">
        <v>496</v>
      </c>
      <c r="C784" s="8">
        <v>1</v>
      </c>
      <c r="D784" s="7" t="s">
        <v>1738</v>
      </c>
      <c r="E784" s="7" t="s">
        <v>1797</v>
      </c>
      <c r="F784">
        <v>1484</v>
      </c>
      <c r="G784" s="6">
        <v>26371</v>
      </c>
      <c r="H784" s="11" t="s">
        <v>1798</v>
      </c>
      <c r="I784" s="6">
        <v>14</v>
      </c>
      <c r="J784" s="6">
        <v>46</v>
      </c>
      <c r="K784" s="6">
        <v>120</v>
      </c>
      <c r="L784" s="6">
        <v>59</v>
      </c>
      <c r="M784" s="10">
        <f t="shared" si="36"/>
        <v>203.38983050847457</v>
      </c>
      <c r="N784" s="10">
        <f t="shared" si="37"/>
        <v>204</v>
      </c>
      <c r="O784" s="6" t="s">
        <v>19</v>
      </c>
      <c r="P784" s="6">
        <v>6</v>
      </c>
      <c r="Q784" s="6">
        <v>3</v>
      </c>
      <c r="R784" s="6">
        <v>2</v>
      </c>
      <c r="S784" s="6">
        <v>11</v>
      </c>
      <c r="T784" s="6" t="str">
        <f t="shared" si="38"/>
        <v>Cuarta</v>
      </c>
    </row>
    <row r="785" spans="1:20">
      <c r="A785" s="7" t="s">
        <v>1738</v>
      </c>
      <c r="B785" s="7" t="s">
        <v>496</v>
      </c>
      <c r="C785" s="8">
        <v>1</v>
      </c>
      <c r="D785" s="7" t="s">
        <v>1738</v>
      </c>
      <c r="E785" s="7" t="s">
        <v>1799</v>
      </c>
      <c r="F785">
        <v>1383</v>
      </c>
      <c r="G785" s="6">
        <v>13763</v>
      </c>
      <c r="H785" s="11" t="s">
        <v>1800</v>
      </c>
      <c r="I785" s="6">
        <v>56</v>
      </c>
      <c r="J785" s="6">
        <v>48</v>
      </c>
      <c r="K785" s="6">
        <v>92</v>
      </c>
      <c r="L785" s="6">
        <v>46</v>
      </c>
      <c r="M785" s="10">
        <f t="shared" si="36"/>
        <v>200</v>
      </c>
      <c r="N785" s="10">
        <f t="shared" si="37"/>
        <v>200</v>
      </c>
      <c r="O785" s="6" t="s">
        <v>19</v>
      </c>
      <c r="P785" s="6">
        <v>4</v>
      </c>
      <c r="Q785" s="6">
        <v>1</v>
      </c>
      <c r="R785" s="6">
        <v>5</v>
      </c>
      <c r="S785" s="6">
        <v>10</v>
      </c>
      <c r="T785" s="6" t="str">
        <f t="shared" si="38"/>
        <v>Quinta</v>
      </c>
    </row>
    <row r="786" spans="1:20">
      <c r="A786" s="7" t="s">
        <v>1738</v>
      </c>
      <c r="B786" s="7" t="s">
        <v>496</v>
      </c>
      <c r="C786" s="8">
        <v>1</v>
      </c>
      <c r="D786" s="7" t="s">
        <v>1738</v>
      </c>
      <c r="E786" s="7" t="s">
        <v>1795</v>
      </c>
      <c r="F786">
        <v>1550</v>
      </c>
      <c r="G786" s="6">
        <v>25348</v>
      </c>
      <c r="H786" s="11" t="s">
        <v>1796</v>
      </c>
      <c r="I786" s="6">
        <v>29</v>
      </c>
      <c r="J786" s="6">
        <v>53</v>
      </c>
      <c r="K786" s="6">
        <v>120</v>
      </c>
      <c r="L786" s="6">
        <v>47</v>
      </c>
      <c r="M786" s="10">
        <f t="shared" si="36"/>
        <v>255.31914893617022</v>
      </c>
      <c r="N786" s="10">
        <f t="shared" si="37"/>
        <v>256</v>
      </c>
      <c r="O786" s="6" t="s">
        <v>20</v>
      </c>
      <c r="P786" s="6">
        <v>4</v>
      </c>
      <c r="Q786" s="6">
        <v>4</v>
      </c>
      <c r="R786" s="6">
        <v>7</v>
      </c>
      <c r="S786" s="6">
        <v>15</v>
      </c>
      <c r="T786" s="6" t="str">
        <f t="shared" si="38"/>
        <v>Cuarta</v>
      </c>
    </row>
    <row r="787" spans="1:20">
      <c r="A787" s="7" t="s">
        <v>1738</v>
      </c>
      <c r="B787" s="7" t="s">
        <v>496</v>
      </c>
      <c r="C787" s="8">
        <v>1</v>
      </c>
      <c r="D787" s="7" t="s">
        <v>1738</v>
      </c>
      <c r="E787" s="7" t="s">
        <v>1801</v>
      </c>
      <c r="F787">
        <v>1578</v>
      </c>
      <c r="G787" s="6">
        <v>23722</v>
      </c>
      <c r="H787" s="11" t="s">
        <v>1802</v>
      </c>
      <c r="I787" s="6">
        <v>16</v>
      </c>
      <c r="J787" s="6">
        <v>33</v>
      </c>
      <c r="K787" s="6">
        <v>96</v>
      </c>
      <c r="L787" s="6">
        <v>57</v>
      </c>
      <c r="M787" s="10">
        <f t="shared" si="36"/>
        <v>168.42105263157896</v>
      </c>
      <c r="N787" s="10">
        <f t="shared" si="37"/>
        <v>169</v>
      </c>
      <c r="O787" s="6" t="s">
        <v>18</v>
      </c>
      <c r="P787" s="6">
        <v>4</v>
      </c>
      <c r="Q787" s="6">
        <v>2</v>
      </c>
      <c r="R787" s="6">
        <v>4</v>
      </c>
      <c r="S787" s="6">
        <v>10</v>
      </c>
      <c r="T787" s="6" t="str">
        <f t="shared" si="38"/>
        <v>Cuarta</v>
      </c>
    </row>
    <row r="788" spans="1:20">
      <c r="A788" s="7" t="s">
        <v>1738</v>
      </c>
      <c r="B788" s="7" t="s">
        <v>496</v>
      </c>
      <c r="C788" s="8">
        <v>1</v>
      </c>
      <c r="D788" s="7" t="s">
        <v>1738</v>
      </c>
      <c r="E788" s="7" t="s">
        <v>1803</v>
      </c>
      <c r="F788">
        <v>1529</v>
      </c>
      <c r="G788" s="6">
        <v>21323</v>
      </c>
      <c r="H788" s="11" t="s">
        <v>1804</v>
      </c>
      <c r="I788" s="6">
        <v>51</v>
      </c>
      <c r="J788" s="6">
        <v>91</v>
      </c>
      <c r="K788" s="6">
        <v>189</v>
      </c>
      <c r="L788" s="6">
        <v>48</v>
      </c>
      <c r="M788" s="10">
        <f t="shared" si="36"/>
        <v>393.75</v>
      </c>
      <c r="N788" s="10">
        <f t="shared" si="37"/>
        <v>394</v>
      </c>
      <c r="O788" s="6" t="s">
        <v>37</v>
      </c>
      <c r="P788" s="6">
        <v>3</v>
      </c>
      <c r="Q788" s="6">
        <v>4</v>
      </c>
      <c r="R788" s="6">
        <v>15</v>
      </c>
      <c r="S788" s="6">
        <v>22</v>
      </c>
      <c r="T788" s="6" t="str">
        <f t="shared" si="38"/>
        <v>Cuarta</v>
      </c>
    </row>
    <row r="789" spans="1:20">
      <c r="A789" s="7" t="s">
        <v>1738</v>
      </c>
      <c r="B789" s="7" t="s">
        <v>496</v>
      </c>
      <c r="C789" s="8">
        <v>1</v>
      </c>
      <c r="D789" s="7" t="s">
        <v>1738</v>
      </c>
      <c r="E789" s="7" t="s">
        <v>1805</v>
      </c>
      <c r="F789">
        <v>1083</v>
      </c>
      <c r="G789" s="6">
        <v>25707</v>
      </c>
      <c r="H789" s="11" t="s">
        <v>1806</v>
      </c>
      <c r="I789" s="6">
        <v>13</v>
      </c>
      <c r="J789" s="6">
        <v>26</v>
      </c>
      <c r="K789" s="6">
        <v>47</v>
      </c>
      <c r="L789" s="6">
        <v>45</v>
      </c>
      <c r="M789" s="10">
        <f t="shared" si="36"/>
        <v>104.44444444444444</v>
      </c>
      <c r="N789" s="10">
        <f t="shared" si="37"/>
        <v>105</v>
      </c>
      <c r="O789" s="6" t="s">
        <v>232</v>
      </c>
      <c r="P789" s="6">
        <v>3</v>
      </c>
      <c r="Q789" s="6">
        <v>3</v>
      </c>
      <c r="R789" s="6">
        <v>2</v>
      </c>
      <c r="S789" s="6">
        <v>8</v>
      </c>
      <c r="T789" s="6" t="str">
        <f t="shared" si="38"/>
        <v>Sexta</v>
      </c>
    </row>
    <row r="790" spans="1:20">
      <c r="A790" s="7" t="s">
        <v>1738</v>
      </c>
      <c r="B790" s="7" t="s">
        <v>496</v>
      </c>
      <c r="C790" s="8">
        <v>1</v>
      </c>
      <c r="D790" s="7" t="s">
        <v>1738</v>
      </c>
      <c r="E790" s="7" t="s">
        <v>1807</v>
      </c>
      <c r="F790">
        <v>2240</v>
      </c>
      <c r="G790" s="6">
        <v>14530</v>
      </c>
      <c r="H790" s="11" t="s">
        <v>1808</v>
      </c>
      <c r="I790" s="6">
        <v>29</v>
      </c>
      <c r="J790" s="6">
        <v>1</v>
      </c>
      <c r="K790" s="6">
        <v>2</v>
      </c>
      <c r="L790" s="6">
        <v>50</v>
      </c>
      <c r="M790" s="10">
        <f t="shared" si="36"/>
        <v>4</v>
      </c>
      <c r="N790" s="10">
        <f t="shared" si="37"/>
        <v>4</v>
      </c>
      <c r="O790" s="6" t="s">
        <v>233</v>
      </c>
      <c r="P790" s="6">
        <v>0</v>
      </c>
      <c r="Q790" s="6">
        <v>0</v>
      </c>
      <c r="R790" s="6">
        <v>0</v>
      </c>
      <c r="S790" s="6">
        <v>0</v>
      </c>
      <c r="T790" s="6" t="str">
        <f t="shared" si="38"/>
        <v>Primera</v>
      </c>
    </row>
    <row r="791" spans="1:20">
      <c r="A791" s="7" t="s">
        <v>1738</v>
      </c>
      <c r="B791" s="7" t="s">
        <v>507</v>
      </c>
      <c r="C791" s="8">
        <v>1</v>
      </c>
      <c r="D791" s="7" t="s">
        <v>1738</v>
      </c>
      <c r="E791" s="7" t="s">
        <v>1809</v>
      </c>
      <c r="F791">
        <v>1362</v>
      </c>
      <c r="G791" s="6">
        <v>13615</v>
      </c>
      <c r="H791" s="11" t="s">
        <v>1810</v>
      </c>
      <c r="I791" s="6">
        <v>49</v>
      </c>
      <c r="J791" s="6">
        <v>136</v>
      </c>
      <c r="K791" s="6">
        <v>241</v>
      </c>
      <c r="L791" s="6">
        <v>44</v>
      </c>
      <c r="M791" s="10">
        <f t="shared" si="36"/>
        <v>547.72727272727275</v>
      </c>
      <c r="N791" s="10">
        <f t="shared" si="37"/>
        <v>548</v>
      </c>
      <c r="O791" s="6" t="s">
        <v>37</v>
      </c>
      <c r="P791" s="6">
        <v>3</v>
      </c>
      <c r="Q791" s="6">
        <v>5</v>
      </c>
      <c r="R791" s="6">
        <v>21</v>
      </c>
      <c r="S791" s="6">
        <v>29</v>
      </c>
      <c r="T791" s="6" t="str">
        <f t="shared" si="38"/>
        <v>Quinta</v>
      </c>
    </row>
    <row r="792" spans="1:20">
      <c r="A792" s="7" t="s">
        <v>1738</v>
      </c>
      <c r="B792" s="7" t="s">
        <v>507</v>
      </c>
      <c r="C792" s="8">
        <v>1</v>
      </c>
      <c r="D792" s="7" t="s">
        <v>1738</v>
      </c>
      <c r="E792" s="7" t="s">
        <v>1811</v>
      </c>
      <c r="F792">
        <v>1300</v>
      </c>
      <c r="G792" s="6">
        <v>807</v>
      </c>
      <c r="H792" s="11" t="s">
        <v>1812</v>
      </c>
      <c r="I792" s="6">
        <v>31</v>
      </c>
      <c r="J792" s="6">
        <v>3</v>
      </c>
      <c r="K792" s="6">
        <v>2</v>
      </c>
      <c r="L792" s="6">
        <v>15</v>
      </c>
      <c r="M792" s="10">
        <f t="shared" si="36"/>
        <v>13.333333333333334</v>
      </c>
      <c r="N792" s="10">
        <f t="shared" si="37"/>
        <v>14</v>
      </c>
      <c r="O792" s="6" t="s">
        <v>234</v>
      </c>
      <c r="P792" s="6">
        <v>0</v>
      </c>
      <c r="Q792" s="6">
        <v>0</v>
      </c>
      <c r="R792" s="6">
        <v>0</v>
      </c>
      <c r="S792" s="6">
        <v>0</v>
      </c>
      <c r="T792" s="6" t="str">
        <f t="shared" si="38"/>
        <v>Quinta</v>
      </c>
    </row>
    <row r="793" spans="1:20">
      <c r="A793" s="7" t="s">
        <v>1738</v>
      </c>
      <c r="B793" s="7" t="s">
        <v>507</v>
      </c>
      <c r="C793" s="8">
        <v>1</v>
      </c>
      <c r="D793" s="7" t="s">
        <v>1738</v>
      </c>
      <c r="E793" s="7" t="s">
        <v>1813</v>
      </c>
      <c r="F793">
        <v>1300</v>
      </c>
      <c r="G793" s="6">
        <v>7785</v>
      </c>
      <c r="H793" s="11" t="s">
        <v>1814</v>
      </c>
      <c r="I793" s="6">
        <v>69</v>
      </c>
      <c r="J793" s="6">
        <v>12</v>
      </c>
      <c r="K793" s="6">
        <v>28</v>
      </c>
      <c r="L793" s="6">
        <v>54</v>
      </c>
      <c r="M793" s="10">
        <f t="shared" si="36"/>
        <v>51.851851851851855</v>
      </c>
      <c r="N793" s="10">
        <f t="shared" si="37"/>
        <v>52</v>
      </c>
      <c r="O793" s="6" t="s">
        <v>235</v>
      </c>
      <c r="P793" s="6">
        <v>1</v>
      </c>
      <c r="Q793" s="6">
        <v>0</v>
      </c>
      <c r="R793" s="6">
        <v>0</v>
      </c>
      <c r="S793" s="6">
        <v>1</v>
      </c>
      <c r="T793" s="6" t="str">
        <f t="shared" si="38"/>
        <v>Quinta</v>
      </c>
    </row>
    <row r="794" spans="1:20">
      <c r="A794" s="7" t="s">
        <v>1738</v>
      </c>
      <c r="B794" s="7" t="s">
        <v>507</v>
      </c>
      <c r="C794" s="8">
        <v>1</v>
      </c>
      <c r="D794" s="7" t="s">
        <v>1738</v>
      </c>
      <c r="E794" s="7" t="s">
        <v>1815</v>
      </c>
      <c r="F794">
        <v>1131</v>
      </c>
      <c r="G794" s="6">
        <v>2312</v>
      </c>
      <c r="H794" s="11" t="s">
        <v>1816</v>
      </c>
      <c r="I794" s="6">
        <v>58</v>
      </c>
      <c r="J794" s="6">
        <v>87</v>
      </c>
      <c r="K794" s="6">
        <v>175</v>
      </c>
      <c r="L794" s="6">
        <v>48</v>
      </c>
      <c r="M794" s="10">
        <f t="shared" si="36"/>
        <v>364.58333333333331</v>
      </c>
      <c r="N794" s="10">
        <f t="shared" si="37"/>
        <v>365</v>
      </c>
      <c r="O794" s="6" t="s">
        <v>19</v>
      </c>
      <c r="P794" s="6">
        <v>6</v>
      </c>
      <c r="Q794" s="6">
        <v>2</v>
      </c>
      <c r="R794" s="6">
        <v>12</v>
      </c>
      <c r="S794" s="6">
        <v>20</v>
      </c>
      <c r="T794" s="6" t="str">
        <f t="shared" si="38"/>
        <v>Sexta</v>
      </c>
    </row>
    <row r="795" spans="1:20">
      <c r="A795" s="7" t="s">
        <v>1738</v>
      </c>
      <c r="B795" s="7" t="s">
        <v>507</v>
      </c>
      <c r="C795" s="8">
        <v>1</v>
      </c>
      <c r="D795" s="7" t="s">
        <v>1738</v>
      </c>
      <c r="E795" s="7" t="s">
        <v>1817</v>
      </c>
      <c r="F795">
        <v>1240</v>
      </c>
      <c r="G795" s="6">
        <v>2022</v>
      </c>
      <c r="H795" s="11" t="s">
        <v>1818</v>
      </c>
      <c r="I795" s="6">
        <v>44</v>
      </c>
      <c r="J795" s="6">
        <v>52</v>
      </c>
      <c r="K795" s="6">
        <v>70</v>
      </c>
      <c r="L795" s="6">
        <v>33</v>
      </c>
      <c r="M795" s="10">
        <f t="shared" si="36"/>
        <v>212.12121212121212</v>
      </c>
      <c r="N795" s="10">
        <f t="shared" si="37"/>
        <v>213</v>
      </c>
      <c r="O795" s="6" t="s">
        <v>12</v>
      </c>
      <c r="P795" s="6">
        <v>1</v>
      </c>
      <c r="Q795" s="6">
        <v>1</v>
      </c>
      <c r="R795" s="6">
        <v>4</v>
      </c>
      <c r="S795" s="6">
        <v>6</v>
      </c>
      <c r="T795" s="6" t="str">
        <f t="shared" si="38"/>
        <v>Quinta</v>
      </c>
    </row>
    <row r="796" spans="1:20">
      <c r="A796" s="7" t="s">
        <v>1738</v>
      </c>
      <c r="B796" s="7" t="s">
        <v>507</v>
      </c>
      <c r="C796" s="8">
        <v>1</v>
      </c>
      <c r="D796" s="7" t="s">
        <v>1738</v>
      </c>
      <c r="E796" s="7" t="s">
        <v>1805</v>
      </c>
      <c r="F796">
        <v>1083</v>
      </c>
      <c r="G796" s="6">
        <v>25707</v>
      </c>
      <c r="H796" s="11" t="s">
        <v>1806</v>
      </c>
      <c r="I796" s="6">
        <v>13</v>
      </c>
      <c r="J796" s="6">
        <v>26</v>
      </c>
      <c r="K796" s="6">
        <v>47</v>
      </c>
      <c r="L796" s="6">
        <v>45</v>
      </c>
      <c r="M796" s="10">
        <f t="shared" si="36"/>
        <v>104.44444444444444</v>
      </c>
      <c r="N796" s="10">
        <f t="shared" si="37"/>
        <v>105</v>
      </c>
      <c r="O796" s="6" t="s">
        <v>232</v>
      </c>
      <c r="P796" s="6">
        <v>3</v>
      </c>
      <c r="Q796" s="6">
        <v>3</v>
      </c>
      <c r="R796" s="6">
        <v>2</v>
      </c>
      <c r="S796" s="6">
        <v>8</v>
      </c>
      <c r="T796" s="6" t="str">
        <f t="shared" si="38"/>
        <v>Sexta</v>
      </c>
    </row>
    <row r="797" spans="1:20">
      <c r="A797" s="7" t="s">
        <v>1738</v>
      </c>
      <c r="B797" s="7" t="s">
        <v>507</v>
      </c>
      <c r="C797" s="8">
        <v>1</v>
      </c>
      <c r="D797" s="7" t="s">
        <v>1738</v>
      </c>
      <c r="E797" s="7" t="s">
        <v>1807</v>
      </c>
      <c r="F797">
        <v>2240</v>
      </c>
      <c r="G797" s="6">
        <v>14530</v>
      </c>
      <c r="H797" s="11" t="s">
        <v>1808</v>
      </c>
      <c r="I797" s="6">
        <v>29</v>
      </c>
      <c r="J797" s="6">
        <v>1</v>
      </c>
      <c r="K797" s="6">
        <v>2</v>
      </c>
      <c r="L797" s="6">
        <v>50</v>
      </c>
      <c r="M797" s="10">
        <f t="shared" si="36"/>
        <v>4</v>
      </c>
      <c r="N797" s="10">
        <f t="shared" si="37"/>
        <v>4</v>
      </c>
      <c r="O797" s="6" t="s">
        <v>233</v>
      </c>
      <c r="P797" s="6">
        <v>0</v>
      </c>
      <c r="Q797" s="6">
        <v>0</v>
      </c>
      <c r="R797" s="6">
        <v>0</v>
      </c>
      <c r="S797" s="6">
        <v>0</v>
      </c>
      <c r="T797" s="6" t="str">
        <f t="shared" si="38"/>
        <v>Primera</v>
      </c>
    </row>
    <row r="798" spans="1:20">
      <c r="A798" s="7" t="s">
        <v>1738</v>
      </c>
      <c r="B798" s="7" t="s">
        <v>507</v>
      </c>
      <c r="C798" s="8">
        <v>1</v>
      </c>
      <c r="D798" s="7" t="s">
        <v>1738</v>
      </c>
      <c r="E798" s="7" t="s">
        <v>1819</v>
      </c>
      <c r="F798">
        <v>1198</v>
      </c>
      <c r="G798" s="6">
        <v>19726</v>
      </c>
      <c r="H798" s="11" t="s">
        <v>1820</v>
      </c>
      <c r="I798" s="6">
        <v>17</v>
      </c>
      <c r="J798" s="6">
        <v>12</v>
      </c>
      <c r="K798" s="6">
        <v>19</v>
      </c>
      <c r="L798" s="6">
        <v>35</v>
      </c>
      <c r="M798" s="10">
        <f t="shared" si="36"/>
        <v>54.285714285714285</v>
      </c>
      <c r="N798" s="10">
        <f t="shared" si="37"/>
        <v>55</v>
      </c>
      <c r="O798" s="6" t="s">
        <v>236</v>
      </c>
      <c r="P798" s="6">
        <v>0</v>
      </c>
      <c r="Q798" s="6">
        <v>1</v>
      </c>
      <c r="R798" s="6">
        <v>1</v>
      </c>
      <c r="S798" s="6">
        <v>2</v>
      </c>
      <c r="T798" s="6" t="str">
        <f t="shared" si="38"/>
        <v>Sexta</v>
      </c>
    </row>
    <row r="799" spans="1:20">
      <c r="A799" s="7" t="s">
        <v>1738</v>
      </c>
      <c r="B799" s="7" t="s">
        <v>526</v>
      </c>
      <c r="C799" s="8">
        <v>1</v>
      </c>
      <c r="D799" s="7" t="s">
        <v>1759</v>
      </c>
      <c r="E799" s="7" t="s">
        <v>1821</v>
      </c>
      <c r="F799">
        <v>1186</v>
      </c>
      <c r="G799" s="6">
        <v>26788</v>
      </c>
      <c r="H799" s="11" t="s">
        <v>1822</v>
      </c>
      <c r="I799" s="6">
        <v>23</v>
      </c>
      <c r="J799" s="6">
        <v>2</v>
      </c>
      <c r="K799" s="6">
        <v>4</v>
      </c>
      <c r="L799" s="6">
        <v>57</v>
      </c>
      <c r="M799" s="10">
        <f t="shared" si="36"/>
        <v>7.0175438596491224</v>
      </c>
      <c r="N799" s="10">
        <f t="shared" si="37"/>
        <v>8</v>
      </c>
      <c r="O799" s="6" t="s">
        <v>82</v>
      </c>
      <c r="P799" s="6">
        <v>0</v>
      </c>
      <c r="Q799" s="6">
        <v>0</v>
      </c>
      <c r="R799" s="6">
        <v>0</v>
      </c>
      <c r="S799" s="6">
        <v>0</v>
      </c>
      <c r="T799" s="6" t="str">
        <f t="shared" si="38"/>
        <v>Sexta</v>
      </c>
    </row>
    <row r="800" spans="1:20">
      <c r="A800" s="7" t="s">
        <v>1738</v>
      </c>
      <c r="B800" s="7" t="s">
        <v>526</v>
      </c>
      <c r="C800" s="8">
        <v>1</v>
      </c>
      <c r="D800" s="7" t="s">
        <v>1759</v>
      </c>
      <c r="E800" s="7" t="s">
        <v>1823</v>
      </c>
      <c r="F800">
        <v>1087</v>
      </c>
      <c r="G800" s="6">
        <v>28038</v>
      </c>
      <c r="H800" s="11" t="s">
        <v>1824</v>
      </c>
      <c r="I800" s="6">
        <v>24</v>
      </c>
      <c r="J800" s="6">
        <v>1</v>
      </c>
      <c r="K800" s="6">
        <v>6</v>
      </c>
      <c r="L800" s="6">
        <v>100</v>
      </c>
      <c r="M800" s="10">
        <f t="shared" si="36"/>
        <v>6</v>
      </c>
      <c r="N800" s="10">
        <f t="shared" si="37"/>
        <v>6</v>
      </c>
      <c r="O800" s="6" t="s">
        <v>237</v>
      </c>
      <c r="P800" s="6">
        <v>1</v>
      </c>
      <c r="Q800" s="6">
        <v>0</v>
      </c>
      <c r="R800" s="6">
        <v>0</v>
      </c>
      <c r="S800" s="6">
        <v>1</v>
      </c>
      <c r="T800" s="6" t="str">
        <f t="shared" si="38"/>
        <v>Sexta</v>
      </c>
    </row>
    <row r="801" spans="1:20">
      <c r="A801" s="7" t="s">
        <v>1738</v>
      </c>
      <c r="B801" s="7" t="s">
        <v>526</v>
      </c>
      <c r="C801" s="8">
        <v>1</v>
      </c>
      <c r="D801" s="7" t="s">
        <v>1759</v>
      </c>
      <c r="E801" s="7" t="s">
        <v>1825</v>
      </c>
      <c r="F801">
        <v>1050</v>
      </c>
      <c r="G801" s="6">
        <v>827</v>
      </c>
      <c r="H801" s="11" t="s">
        <v>1826</v>
      </c>
      <c r="I801" s="6">
        <v>29</v>
      </c>
      <c r="J801" s="6">
        <v>1</v>
      </c>
      <c r="K801" s="6">
        <v>0</v>
      </c>
      <c r="L801" s="6">
        <v>0</v>
      </c>
      <c r="M801" s="10">
        <f t="shared" si="36"/>
        <v>0</v>
      </c>
      <c r="N801" s="10">
        <f t="shared" si="37"/>
        <v>0</v>
      </c>
      <c r="O801" s="6" t="s">
        <v>238</v>
      </c>
      <c r="P801" s="6">
        <v>0</v>
      </c>
      <c r="Q801" s="6">
        <v>0</v>
      </c>
      <c r="R801" s="6">
        <v>0</v>
      </c>
      <c r="S801" s="6">
        <v>0</v>
      </c>
      <c r="T801" s="6" t="str">
        <f t="shared" si="38"/>
        <v>Septima</v>
      </c>
    </row>
    <row r="802" spans="1:20">
      <c r="A802" s="7" t="s">
        <v>1738</v>
      </c>
      <c r="B802" s="7" t="s">
        <v>526</v>
      </c>
      <c r="C802" s="8">
        <v>1</v>
      </c>
      <c r="D802" s="7" t="s">
        <v>1759</v>
      </c>
      <c r="E802" s="7" t="s">
        <v>1827</v>
      </c>
      <c r="F802">
        <v>1064</v>
      </c>
      <c r="G802" s="6">
        <v>27831</v>
      </c>
      <c r="H802" s="11" t="s">
        <v>1828</v>
      </c>
      <c r="I802" s="6">
        <v>12</v>
      </c>
      <c r="J802" s="6">
        <v>21</v>
      </c>
      <c r="K802" s="6">
        <v>34</v>
      </c>
      <c r="L802" s="6">
        <v>44</v>
      </c>
      <c r="M802" s="10">
        <f t="shared" si="36"/>
        <v>77.272727272727266</v>
      </c>
      <c r="N802" s="10">
        <f t="shared" si="37"/>
        <v>78</v>
      </c>
      <c r="O802" s="6" t="s">
        <v>37</v>
      </c>
      <c r="P802" s="6">
        <v>1</v>
      </c>
      <c r="Q802" s="6">
        <v>0</v>
      </c>
      <c r="R802" s="6">
        <v>4</v>
      </c>
      <c r="S802" s="6">
        <v>5</v>
      </c>
      <c r="T802" s="6" t="str">
        <f t="shared" si="38"/>
        <v>Septima</v>
      </c>
    </row>
    <row r="803" spans="1:20">
      <c r="A803" s="7" t="s">
        <v>1738</v>
      </c>
      <c r="B803" s="7" t="s">
        <v>526</v>
      </c>
      <c r="C803" s="8">
        <v>1</v>
      </c>
      <c r="D803" s="7" t="s">
        <v>1759</v>
      </c>
      <c r="E803" s="7" t="s">
        <v>1829</v>
      </c>
      <c r="F803">
        <v>1339</v>
      </c>
      <c r="G803" s="6">
        <v>12236</v>
      </c>
      <c r="H803" s="11" t="s">
        <v>1830</v>
      </c>
      <c r="I803" s="6">
        <v>27</v>
      </c>
      <c r="J803" s="6">
        <v>9</v>
      </c>
      <c r="K803" s="6">
        <v>22</v>
      </c>
      <c r="L803" s="6">
        <v>39</v>
      </c>
      <c r="M803" s="10">
        <f t="shared" si="36"/>
        <v>56.410256410256409</v>
      </c>
      <c r="N803" s="10">
        <f t="shared" si="37"/>
        <v>57</v>
      </c>
      <c r="O803" s="6" t="s">
        <v>239</v>
      </c>
      <c r="P803" s="6">
        <v>0</v>
      </c>
      <c r="Q803" s="6">
        <v>0</v>
      </c>
      <c r="R803" s="6">
        <v>1</v>
      </c>
      <c r="S803" s="6">
        <v>1</v>
      </c>
      <c r="T803" s="6" t="str">
        <f t="shared" si="38"/>
        <v>Quinta</v>
      </c>
    </row>
    <row r="804" spans="1:20">
      <c r="A804" s="7" t="s">
        <v>1738</v>
      </c>
      <c r="B804" s="7" t="s">
        <v>526</v>
      </c>
      <c r="C804" s="8">
        <v>1</v>
      </c>
      <c r="D804" s="7" t="s">
        <v>1759</v>
      </c>
      <c r="E804" s="7" t="s">
        <v>1819</v>
      </c>
      <c r="F804">
        <v>1198</v>
      </c>
      <c r="G804" s="6">
        <v>19726</v>
      </c>
      <c r="H804" s="11" t="s">
        <v>1820</v>
      </c>
      <c r="I804" s="6">
        <v>17</v>
      </c>
      <c r="J804" s="6">
        <v>12</v>
      </c>
      <c r="K804" s="6">
        <v>19</v>
      </c>
      <c r="L804" s="6">
        <v>35</v>
      </c>
      <c r="M804" s="10">
        <f t="shared" si="36"/>
        <v>54.285714285714285</v>
      </c>
      <c r="N804" s="10">
        <f t="shared" si="37"/>
        <v>55</v>
      </c>
      <c r="O804" s="6" t="s">
        <v>236</v>
      </c>
      <c r="P804" s="6">
        <v>0</v>
      </c>
      <c r="Q804" s="6">
        <v>1</v>
      </c>
      <c r="R804" s="6">
        <v>1</v>
      </c>
      <c r="S804" s="6">
        <v>2</v>
      </c>
      <c r="T804" s="6" t="str">
        <f t="shared" si="38"/>
        <v>Sexta</v>
      </c>
    </row>
    <row r="805" spans="1:20">
      <c r="A805" s="7" t="s">
        <v>1738</v>
      </c>
      <c r="B805" s="7" t="s">
        <v>526</v>
      </c>
      <c r="C805" s="8">
        <v>2</v>
      </c>
      <c r="D805" s="7" t="s">
        <v>1768</v>
      </c>
      <c r="E805" s="7" t="s">
        <v>1831</v>
      </c>
      <c r="F805">
        <v>1175</v>
      </c>
      <c r="G805" s="6">
        <v>27190</v>
      </c>
      <c r="H805" s="11" t="s">
        <v>1832</v>
      </c>
      <c r="I805" s="6">
        <v>30</v>
      </c>
      <c r="J805" s="6">
        <v>45</v>
      </c>
      <c r="K805" s="6">
        <v>90</v>
      </c>
      <c r="L805" s="6">
        <v>50</v>
      </c>
      <c r="M805" s="10">
        <f t="shared" si="36"/>
        <v>180</v>
      </c>
      <c r="N805" s="10">
        <f t="shared" si="37"/>
        <v>180</v>
      </c>
      <c r="O805" s="6" t="s">
        <v>12</v>
      </c>
      <c r="P805" s="6">
        <v>3</v>
      </c>
      <c r="Q805" s="6">
        <v>1</v>
      </c>
      <c r="R805" s="6">
        <v>9</v>
      </c>
      <c r="S805" s="6">
        <v>13</v>
      </c>
      <c r="T805" s="6" t="str">
        <f t="shared" si="38"/>
        <v>Sexta</v>
      </c>
    </row>
    <row r="806" spans="1:20">
      <c r="A806" s="7" t="s">
        <v>1738</v>
      </c>
      <c r="B806" s="7" t="s">
        <v>526</v>
      </c>
      <c r="C806" s="8">
        <v>2</v>
      </c>
      <c r="D806" s="7" t="s">
        <v>1768</v>
      </c>
      <c r="E806" s="7" t="s">
        <v>1833</v>
      </c>
      <c r="F806">
        <v>1119</v>
      </c>
      <c r="G806" s="6">
        <v>26209</v>
      </c>
      <c r="H806" s="11" t="s">
        <v>1834</v>
      </c>
      <c r="I806" s="6">
        <v>36</v>
      </c>
      <c r="J806" s="6">
        <v>40</v>
      </c>
      <c r="K806" s="6">
        <v>85</v>
      </c>
      <c r="L806" s="6">
        <v>51</v>
      </c>
      <c r="M806" s="10">
        <f t="shared" si="36"/>
        <v>166.66666666666666</v>
      </c>
      <c r="N806" s="10">
        <f t="shared" si="37"/>
        <v>167</v>
      </c>
      <c r="O806" s="6" t="s">
        <v>37</v>
      </c>
      <c r="P806" s="6">
        <v>2</v>
      </c>
      <c r="Q806" s="6">
        <v>4</v>
      </c>
      <c r="R806" s="6">
        <v>5</v>
      </c>
      <c r="S806" s="6">
        <v>11</v>
      </c>
      <c r="T806" s="6" t="str">
        <f t="shared" si="38"/>
        <v>Sexta</v>
      </c>
    </row>
    <row r="807" spans="1:20">
      <c r="A807" s="7" t="s">
        <v>1738</v>
      </c>
      <c r="B807" s="7" t="s">
        <v>526</v>
      </c>
      <c r="C807" s="8">
        <v>2</v>
      </c>
      <c r="D807" s="7" t="s">
        <v>1768</v>
      </c>
      <c r="E807" s="7" t="s">
        <v>1835</v>
      </c>
      <c r="F807">
        <v>1138</v>
      </c>
      <c r="G807" s="6">
        <v>19263</v>
      </c>
      <c r="H807" s="11" t="s">
        <v>1836</v>
      </c>
      <c r="I807" s="6">
        <v>50</v>
      </c>
      <c r="J807" s="6">
        <v>58</v>
      </c>
      <c r="K807" s="6">
        <v>106</v>
      </c>
      <c r="L807" s="6">
        <v>42</v>
      </c>
      <c r="M807" s="10">
        <f t="shared" si="36"/>
        <v>252.38095238095238</v>
      </c>
      <c r="N807" s="10">
        <f t="shared" si="37"/>
        <v>253</v>
      </c>
      <c r="O807" s="6" t="s">
        <v>139</v>
      </c>
      <c r="P807" s="6">
        <v>2</v>
      </c>
      <c r="Q807" s="6">
        <v>1</v>
      </c>
      <c r="R807" s="6">
        <v>8</v>
      </c>
      <c r="S807" s="6">
        <v>11</v>
      </c>
      <c r="T807" s="6" t="str">
        <f t="shared" si="38"/>
        <v>Sexta</v>
      </c>
    </row>
    <row r="808" spans="1:20">
      <c r="A808" s="7" t="s">
        <v>1738</v>
      </c>
      <c r="B808" s="7" t="s">
        <v>526</v>
      </c>
      <c r="C808" s="8">
        <v>2</v>
      </c>
      <c r="D808" s="7" t="s">
        <v>1768</v>
      </c>
      <c r="E808" s="7" t="s">
        <v>1837</v>
      </c>
      <c r="F808">
        <v>1119</v>
      </c>
      <c r="G808" s="6">
        <v>5867</v>
      </c>
      <c r="H808" s="11" t="s">
        <v>1838</v>
      </c>
      <c r="I808" s="6">
        <v>72</v>
      </c>
      <c r="J808" s="6">
        <v>119</v>
      </c>
      <c r="K808" s="6">
        <v>248</v>
      </c>
      <c r="L808" s="6">
        <v>51</v>
      </c>
      <c r="M808" s="10">
        <f t="shared" si="36"/>
        <v>486.27450980392155</v>
      </c>
      <c r="N808" s="10">
        <f t="shared" si="37"/>
        <v>487</v>
      </c>
      <c r="O808" s="6" t="s">
        <v>160</v>
      </c>
      <c r="P808" s="6">
        <v>7</v>
      </c>
      <c r="Q808" s="6">
        <v>8</v>
      </c>
      <c r="R808" s="6">
        <v>16</v>
      </c>
      <c r="S808" s="6">
        <v>31</v>
      </c>
      <c r="T808" s="6" t="str">
        <f t="shared" si="38"/>
        <v>Sexta</v>
      </c>
    </row>
    <row r="809" spans="1:20">
      <c r="A809" s="7" t="s">
        <v>1738</v>
      </c>
      <c r="B809" s="7" t="s">
        <v>526</v>
      </c>
      <c r="C809" s="8">
        <v>2</v>
      </c>
      <c r="D809" s="7" t="s">
        <v>1768</v>
      </c>
      <c r="E809" s="7" t="s">
        <v>1839</v>
      </c>
      <c r="F809">
        <v>1134</v>
      </c>
      <c r="G809" s="6">
        <v>28648</v>
      </c>
      <c r="H809" s="11" t="s">
        <v>1840</v>
      </c>
      <c r="I809" s="6">
        <v>27</v>
      </c>
      <c r="J809" s="6">
        <v>7</v>
      </c>
      <c r="K809" s="6">
        <v>17</v>
      </c>
      <c r="L809" s="6">
        <v>53</v>
      </c>
      <c r="M809" s="10">
        <f t="shared" si="36"/>
        <v>32.075471698113205</v>
      </c>
      <c r="N809" s="10">
        <f t="shared" si="37"/>
        <v>33</v>
      </c>
      <c r="O809" s="6" t="s">
        <v>37</v>
      </c>
      <c r="P809" s="6">
        <v>0</v>
      </c>
      <c r="Q809" s="6">
        <v>1</v>
      </c>
      <c r="R809" s="6">
        <v>1</v>
      </c>
      <c r="S809" s="6">
        <v>2</v>
      </c>
      <c r="T809" s="6" t="str">
        <f t="shared" si="38"/>
        <v>Sexta</v>
      </c>
    </row>
    <row r="810" spans="1:20">
      <c r="A810" s="7" t="s">
        <v>1738</v>
      </c>
      <c r="B810" s="7" t="s">
        <v>526</v>
      </c>
      <c r="C810" s="8">
        <v>2</v>
      </c>
      <c r="D810" s="7" t="s">
        <v>1768</v>
      </c>
      <c r="E810" s="7" t="s">
        <v>1841</v>
      </c>
      <c r="F810">
        <v>932</v>
      </c>
      <c r="G810" s="6">
        <v>27415</v>
      </c>
      <c r="H810" s="11" t="s">
        <v>1842</v>
      </c>
      <c r="I810" s="6">
        <v>63</v>
      </c>
      <c r="J810" s="6">
        <v>6</v>
      </c>
      <c r="K810" s="6">
        <v>9</v>
      </c>
      <c r="L810" s="6">
        <v>39</v>
      </c>
      <c r="M810" s="10">
        <f t="shared" si="36"/>
        <v>23.076923076923077</v>
      </c>
      <c r="N810" s="10">
        <f t="shared" si="37"/>
        <v>24</v>
      </c>
      <c r="O810" s="6" t="s">
        <v>18</v>
      </c>
      <c r="P810" s="6">
        <v>0</v>
      </c>
      <c r="Q810" s="6">
        <v>0</v>
      </c>
      <c r="R810" s="6">
        <v>2</v>
      </c>
      <c r="S810" s="6">
        <v>2</v>
      </c>
      <c r="T810" s="6" t="str">
        <f t="shared" si="38"/>
        <v>Octava</v>
      </c>
    </row>
    <row r="811" spans="1:20">
      <c r="A811" s="7" t="s">
        <v>1843</v>
      </c>
      <c r="B811" s="7" t="s">
        <v>421</v>
      </c>
      <c r="C811" s="8">
        <v>1</v>
      </c>
      <c r="D811" s="7" t="s">
        <v>1843</v>
      </c>
      <c r="E811" s="7" t="s">
        <v>1844</v>
      </c>
      <c r="F811">
        <v>2721</v>
      </c>
      <c r="G811" s="6">
        <v>7185</v>
      </c>
      <c r="H811" s="11" t="s">
        <v>1845</v>
      </c>
      <c r="I811" s="6">
        <v>23</v>
      </c>
      <c r="J811" s="6">
        <v>87</v>
      </c>
      <c r="K811" s="6">
        <v>336</v>
      </c>
      <c r="L811" s="6">
        <v>74</v>
      </c>
      <c r="M811" s="10">
        <f t="shared" si="36"/>
        <v>454.05405405405406</v>
      </c>
      <c r="N811" s="10">
        <f t="shared" si="37"/>
        <v>455</v>
      </c>
      <c r="O811" s="6" t="s">
        <v>240</v>
      </c>
      <c r="P811" s="6">
        <v>21</v>
      </c>
      <c r="Q811" s="6">
        <v>12</v>
      </c>
      <c r="R811" s="6">
        <v>15</v>
      </c>
      <c r="S811" s="6">
        <v>48</v>
      </c>
      <c r="T811" s="6" t="str">
        <f t="shared" si="38"/>
        <v>Primera</v>
      </c>
    </row>
    <row r="812" spans="1:20">
      <c r="A812" s="7" t="s">
        <v>1843</v>
      </c>
      <c r="B812" s="7" t="s">
        <v>421</v>
      </c>
      <c r="C812" s="8">
        <v>1</v>
      </c>
      <c r="D812" s="7" t="s">
        <v>1843</v>
      </c>
      <c r="E812" s="7" t="s">
        <v>1846</v>
      </c>
      <c r="F812">
        <v>2435</v>
      </c>
      <c r="G812" s="6">
        <v>13249</v>
      </c>
      <c r="H812" s="11" t="s">
        <v>1847</v>
      </c>
      <c r="I812" s="6">
        <v>23</v>
      </c>
      <c r="J812" s="6">
        <v>77</v>
      </c>
      <c r="K812" s="6">
        <v>267</v>
      </c>
      <c r="L812" s="6">
        <v>67</v>
      </c>
      <c r="M812" s="10">
        <f t="shared" si="36"/>
        <v>398.50746268656718</v>
      </c>
      <c r="N812" s="10">
        <f t="shared" si="37"/>
        <v>399</v>
      </c>
      <c r="O812" s="6" t="s">
        <v>109</v>
      </c>
      <c r="P812" s="6">
        <v>10</v>
      </c>
      <c r="Q812" s="6">
        <v>8</v>
      </c>
      <c r="R812" s="6">
        <v>19</v>
      </c>
      <c r="S812" s="6">
        <v>37</v>
      </c>
      <c r="T812" s="6" t="str">
        <f t="shared" si="38"/>
        <v>Primera</v>
      </c>
    </row>
    <row r="813" spans="1:20">
      <c r="A813" s="7" t="s">
        <v>1843</v>
      </c>
      <c r="B813" s="7" t="s">
        <v>421</v>
      </c>
      <c r="C813" s="8">
        <v>1</v>
      </c>
      <c r="D813" s="7" t="s">
        <v>1843</v>
      </c>
      <c r="E813" s="7" t="s">
        <v>1848</v>
      </c>
      <c r="F813">
        <v>2371</v>
      </c>
      <c r="G813" s="6">
        <v>13250</v>
      </c>
      <c r="H813" s="11" t="s">
        <v>1849</v>
      </c>
      <c r="I813" s="6">
        <v>21</v>
      </c>
      <c r="J813" s="6">
        <v>55</v>
      </c>
      <c r="K813" s="6">
        <v>100</v>
      </c>
      <c r="L813" s="6">
        <v>46</v>
      </c>
      <c r="M813" s="10">
        <f t="shared" si="36"/>
        <v>217.39130434782609</v>
      </c>
      <c r="N813" s="10">
        <f t="shared" si="37"/>
        <v>218</v>
      </c>
      <c r="O813" s="6" t="s">
        <v>56</v>
      </c>
      <c r="P813" s="6">
        <v>1</v>
      </c>
      <c r="Q813" s="6">
        <v>2</v>
      </c>
      <c r="R813" s="6">
        <v>6</v>
      </c>
      <c r="S813" s="6">
        <v>9</v>
      </c>
      <c r="T813" s="6" t="str">
        <f t="shared" si="38"/>
        <v>Primera</v>
      </c>
    </row>
    <row r="814" spans="1:20">
      <c r="A814" s="7" t="s">
        <v>1843</v>
      </c>
      <c r="B814" s="7" t="s">
        <v>421</v>
      </c>
      <c r="C814" s="8">
        <v>1</v>
      </c>
      <c r="D814" s="7" t="s">
        <v>1843</v>
      </c>
      <c r="E814" s="7" t="s">
        <v>1850</v>
      </c>
      <c r="F814">
        <v>2504</v>
      </c>
      <c r="G814" s="6">
        <v>14827</v>
      </c>
      <c r="H814" s="11" t="s">
        <v>1851</v>
      </c>
      <c r="I814" s="6">
        <v>22</v>
      </c>
      <c r="J814" s="6">
        <v>60</v>
      </c>
      <c r="K814" s="6">
        <v>205</v>
      </c>
      <c r="L814" s="6">
        <v>73</v>
      </c>
      <c r="M814" s="10">
        <f t="shared" si="36"/>
        <v>280.82191780821915</v>
      </c>
      <c r="N814" s="10">
        <f t="shared" si="37"/>
        <v>281</v>
      </c>
      <c r="O814" s="6" t="s">
        <v>56</v>
      </c>
      <c r="P814" s="6">
        <v>4</v>
      </c>
      <c r="Q814" s="6">
        <v>10</v>
      </c>
      <c r="R814" s="6">
        <v>12</v>
      </c>
      <c r="S814" s="6">
        <v>26</v>
      </c>
      <c r="T814" s="6" t="str">
        <f t="shared" si="38"/>
        <v>Primera</v>
      </c>
    </row>
    <row r="815" spans="1:20">
      <c r="A815" s="7" t="s">
        <v>1843</v>
      </c>
      <c r="B815" s="7" t="s">
        <v>421</v>
      </c>
      <c r="C815" s="8">
        <v>1</v>
      </c>
      <c r="D815" s="7" t="s">
        <v>1843</v>
      </c>
      <c r="E815" s="7" t="s">
        <v>1852</v>
      </c>
      <c r="F815">
        <v>2466</v>
      </c>
      <c r="G815" s="6">
        <v>10846</v>
      </c>
      <c r="H815" s="11" t="s">
        <v>1853</v>
      </c>
      <c r="I815" s="6">
        <v>26</v>
      </c>
      <c r="J815" s="6">
        <v>75</v>
      </c>
      <c r="K815" s="6">
        <v>286</v>
      </c>
      <c r="L815" s="6">
        <v>66</v>
      </c>
      <c r="M815" s="10">
        <f t="shared" si="36"/>
        <v>433.33333333333331</v>
      </c>
      <c r="N815" s="10">
        <f t="shared" si="37"/>
        <v>434</v>
      </c>
      <c r="O815" s="6" t="s">
        <v>19</v>
      </c>
      <c r="P815" s="6">
        <v>13</v>
      </c>
      <c r="Q815" s="6">
        <v>9</v>
      </c>
      <c r="R815" s="6">
        <v>17</v>
      </c>
      <c r="S815" s="6">
        <v>39</v>
      </c>
      <c r="T815" s="6" t="str">
        <f t="shared" si="38"/>
        <v>Primera</v>
      </c>
    </row>
    <row r="816" spans="1:20">
      <c r="A816" s="7" t="s">
        <v>1843</v>
      </c>
      <c r="B816" s="7" t="s">
        <v>421</v>
      </c>
      <c r="C816" s="8">
        <v>1</v>
      </c>
      <c r="D816" s="7" t="s">
        <v>1843</v>
      </c>
      <c r="E816" s="7" t="s">
        <v>1854</v>
      </c>
      <c r="F816">
        <v>2150</v>
      </c>
      <c r="G816" s="6">
        <v>12830</v>
      </c>
      <c r="H816" s="11" t="s">
        <v>1855</v>
      </c>
      <c r="I816" s="6">
        <v>24</v>
      </c>
      <c r="J816" s="6">
        <v>85</v>
      </c>
      <c r="K816" s="6">
        <v>227</v>
      </c>
      <c r="L816" s="6">
        <v>59</v>
      </c>
      <c r="M816" s="10">
        <f t="shared" si="36"/>
        <v>384.74576271186442</v>
      </c>
      <c r="N816" s="10">
        <f t="shared" si="37"/>
        <v>385</v>
      </c>
      <c r="O816" s="6" t="s">
        <v>153</v>
      </c>
      <c r="P816" s="6">
        <v>9</v>
      </c>
      <c r="Q816" s="6">
        <v>7</v>
      </c>
      <c r="R816" s="6">
        <v>14</v>
      </c>
      <c r="S816" s="6">
        <v>30</v>
      </c>
      <c r="T816" s="6" t="str">
        <f t="shared" si="38"/>
        <v>Primera</v>
      </c>
    </row>
    <row r="817" spans="1:20">
      <c r="A817" s="7" t="s">
        <v>1843</v>
      </c>
      <c r="B817" s="7" t="s">
        <v>434</v>
      </c>
      <c r="C817" s="8">
        <v>1</v>
      </c>
      <c r="D817" s="7" t="s">
        <v>1843</v>
      </c>
      <c r="E817" s="7" t="s">
        <v>1856</v>
      </c>
      <c r="F817">
        <v>2195</v>
      </c>
      <c r="G817" s="6">
        <v>22480</v>
      </c>
      <c r="H817" s="11" t="s">
        <v>1857</v>
      </c>
      <c r="I817" s="6">
        <v>20</v>
      </c>
      <c r="J817" s="6">
        <v>31</v>
      </c>
      <c r="K817" s="6">
        <v>124</v>
      </c>
      <c r="L817" s="6">
        <v>67</v>
      </c>
      <c r="M817" s="10">
        <f t="shared" si="36"/>
        <v>185.07462686567163</v>
      </c>
      <c r="N817" s="10">
        <f t="shared" si="37"/>
        <v>186</v>
      </c>
      <c r="O817" s="6" t="s">
        <v>19</v>
      </c>
      <c r="P817" s="6">
        <v>6</v>
      </c>
      <c r="Q817" s="6">
        <v>3</v>
      </c>
      <c r="R817" s="6">
        <v>3</v>
      </c>
      <c r="S817" s="6">
        <v>12</v>
      </c>
      <c r="T817" s="6" t="str">
        <f t="shared" si="38"/>
        <v>Primera</v>
      </c>
    </row>
    <row r="818" spans="1:20">
      <c r="A818" s="7" t="s">
        <v>1843</v>
      </c>
      <c r="B818" s="7" t="s">
        <v>434</v>
      </c>
      <c r="C818" s="8">
        <v>1</v>
      </c>
      <c r="D818" s="7" t="s">
        <v>1843</v>
      </c>
      <c r="E818" s="7" t="s">
        <v>1858</v>
      </c>
      <c r="F818">
        <v>2252</v>
      </c>
      <c r="G818" s="6">
        <v>21673</v>
      </c>
      <c r="H818" s="11" t="s">
        <v>1859</v>
      </c>
      <c r="I818" s="6">
        <v>16</v>
      </c>
      <c r="J818" s="6">
        <v>83</v>
      </c>
      <c r="K818" s="6">
        <v>274</v>
      </c>
      <c r="L818" s="6">
        <v>69</v>
      </c>
      <c r="M818" s="10">
        <f t="shared" si="36"/>
        <v>397.10144927536231</v>
      </c>
      <c r="N818" s="10">
        <f t="shared" si="37"/>
        <v>398</v>
      </c>
      <c r="O818" s="6" t="s">
        <v>19</v>
      </c>
      <c r="P818" s="6">
        <v>16</v>
      </c>
      <c r="Q818" s="6">
        <v>9</v>
      </c>
      <c r="R818" s="6">
        <v>15</v>
      </c>
      <c r="S818" s="6">
        <v>40</v>
      </c>
      <c r="T818" s="6" t="str">
        <f t="shared" si="38"/>
        <v>Primera</v>
      </c>
    </row>
    <row r="819" spans="1:20">
      <c r="A819" s="7" t="s">
        <v>1843</v>
      </c>
      <c r="B819" s="7" t="s">
        <v>434</v>
      </c>
      <c r="C819" s="8">
        <v>1</v>
      </c>
      <c r="D819" s="7" t="s">
        <v>1843</v>
      </c>
      <c r="E819" s="7" t="s">
        <v>1860</v>
      </c>
      <c r="F819">
        <v>2132</v>
      </c>
      <c r="G819" s="6">
        <v>17456</v>
      </c>
      <c r="H819" s="11" t="s">
        <v>1861</v>
      </c>
      <c r="I819" s="6">
        <v>25</v>
      </c>
      <c r="J819" s="6">
        <v>83</v>
      </c>
      <c r="K819" s="6">
        <v>254</v>
      </c>
      <c r="L819" s="6">
        <v>52</v>
      </c>
      <c r="M819" s="10">
        <f t="shared" si="36"/>
        <v>488.46153846153845</v>
      </c>
      <c r="N819" s="10">
        <f t="shared" si="37"/>
        <v>489</v>
      </c>
      <c r="O819" s="6" t="s">
        <v>45</v>
      </c>
      <c r="P819" s="6">
        <v>12</v>
      </c>
      <c r="Q819" s="6">
        <v>7</v>
      </c>
      <c r="R819" s="6">
        <v>12</v>
      </c>
      <c r="S819" s="6">
        <v>31</v>
      </c>
      <c r="T819" s="6" t="str">
        <f t="shared" si="38"/>
        <v>Primera</v>
      </c>
    </row>
    <row r="820" spans="1:20">
      <c r="A820" s="7" t="s">
        <v>1843</v>
      </c>
      <c r="B820" s="7" t="s">
        <v>434</v>
      </c>
      <c r="C820" s="8">
        <v>1</v>
      </c>
      <c r="D820" s="7" t="s">
        <v>1843</v>
      </c>
      <c r="E820" s="7" t="s">
        <v>1862</v>
      </c>
      <c r="F820">
        <v>2067</v>
      </c>
      <c r="G820" s="6">
        <v>9235</v>
      </c>
      <c r="H820" s="11" t="s">
        <v>1863</v>
      </c>
      <c r="I820" s="6">
        <v>28</v>
      </c>
      <c r="J820" s="6">
        <v>151</v>
      </c>
      <c r="K820" s="6">
        <v>400</v>
      </c>
      <c r="L820" s="6">
        <v>59</v>
      </c>
      <c r="M820" s="10">
        <f t="shared" si="36"/>
        <v>677.96610169491521</v>
      </c>
      <c r="N820" s="10">
        <f t="shared" si="37"/>
        <v>678</v>
      </c>
      <c r="O820" s="6" t="s">
        <v>171</v>
      </c>
      <c r="P820" s="6">
        <v>14</v>
      </c>
      <c r="Q820" s="6">
        <v>14</v>
      </c>
      <c r="R820" s="6">
        <v>31</v>
      </c>
      <c r="S820" s="6">
        <v>59</v>
      </c>
      <c r="T820" s="6" t="str">
        <f t="shared" si="38"/>
        <v>Segunda</v>
      </c>
    </row>
    <row r="821" spans="1:20">
      <c r="A821" s="7" t="s">
        <v>1843</v>
      </c>
      <c r="B821" s="7" t="s">
        <v>434</v>
      </c>
      <c r="C821" s="8">
        <v>1</v>
      </c>
      <c r="D821" s="7" t="s">
        <v>1843</v>
      </c>
      <c r="E821" s="7" t="s">
        <v>1864</v>
      </c>
      <c r="F821">
        <v>1927</v>
      </c>
      <c r="G821" s="6">
        <v>17400</v>
      </c>
      <c r="H821" s="11" t="s">
        <v>1865</v>
      </c>
      <c r="I821" s="6">
        <v>21</v>
      </c>
      <c r="J821" s="6">
        <v>57</v>
      </c>
      <c r="K821" s="6">
        <v>137</v>
      </c>
      <c r="L821" s="6">
        <v>52</v>
      </c>
      <c r="M821" s="10">
        <f t="shared" si="36"/>
        <v>263.46153846153845</v>
      </c>
      <c r="N821" s="10">
        <f t="shared" si="37"/>
        <v>264</v>
      </c>
      <c r="O821" s="6" t="s">
        <v>45</v>
      </c>
      <c r="P821" s="6">
        <v>5</v>
      </c>
      <c r="Q821" s="6">
        <v>5</v>
      </c>
      <c r="R821" s="6">
        <v>6</v>
      </c>
      <c r="S821" s="6">
        <v>16</v>
      </c>
      <c r="T821" s="6" t="str">
        <f t="shared" si="38"/>
        <v>Segunda</v>
      </c>
    </row>
    <row r="822" spans="1:20">
      <c r="A822" s="7" t="s">
        <v>1843</v>
      </c>
      <c r="B822" s="7" t="s">
        <v>434</v>
      </c>
      <c r="C822" s="8">
        <v>1</v>
      </c>
      <c r="D822" s="7" t="s">
        <v>1843</v>
      </c>
      <c r="E822" s="7" t="s">
        <v>1866</v>
      </c>
      <c r="F822">
        <v>2090</v>
      </c>
      <c r="G822" s="6">
        <v>13423</v>
      </c>
      <c r="H822" s="11" t="s">
        <v>1867</v>
      </c>
      <c r="I822" s="6">
        <v>22</v>
      </c>
      <c r="J822" s="6">
        <v>31</v>
      </c>
      <c r="K822" s="6">
        <v>82</v>
      </c>
      <c r="L822" s="6">
        <v>51</v>
      </c>
      <c r="M822" s="10">
        <f t="shared" si="36"/>
        <v>160.78431372549019</v>
      </c>
      <c r="N822" s="10">
        <f t="shared" si="37"/>
        <v>161</v>
      </c>
      <c r="O822" s="6" t="s">
        <v>38</v>
      </c>
      <c r="P822" s="6">
        <v>3</v>
      </c>
      <c r="Q822" s="6">
        <v>1</v>
      </c>
      <c r="R822" s="6">
        <v>2</v>
      </c>
      <c r="S822" s="6">
        <v>6</v>
      </c>
      <c r="T822" s="6" t="str">
        <f t="shared" si="38"/>
        <v>Segunda</v>
      </c>
    </row>
    <row r="823" spans="1:20">
      <c r="A823" s="7" t="s">
        <v>1843</v>
      </c>
      <c r="B823" s="7" t="s">
        <v>451</v>
      </c>
      <c r="C823" s="8">
        <v>1</v>
      </c>
      <c r="D823" s="7" t="s">
        <v>1843</v>
      </c>
      <c r="E823" s="7" t="s">
        <v>1864</v>
      </c>
      <c r="F823">
        <v>1927</v>
      </c>
      <c r="G823" s="6">
        <v>17400</v>
      </c>
      <c r="H823" s="11" t="s">
        <v>1865</v>
      </c>
      <c r="I823" s="6">
        <v>21</v>
      </c>
      <c r="J823" s="6">
        <v>57</v>
      </c>
      <c r="K823" s="6">
        <v>137</v>
      </c>
      <c r="L823" s="6">
        <v>52</v>
      </c>
      <c r="M823" s="10">
        <f t="shared" si="36"/>
        <v>263.46153846153845</v>
      </c>
      <c r="N823" s="10">
        <f t="shared" si="37"/>
        <v>264</v>
      </c>
      <c r="O823" s="6" t="s">
        <v>45</v>
      </c>
      <c r="P823" s="6">
        <v>5</v>
      </c>
      <c r="Q823" s="6">
        <v>5</v>
      </c>
      <c r="R823" s="6">
        <v>6</v>
      </c>
      <c r="S823" s="6">
        <v>16</v>
      </c>
      <c r="T823" s="6" t="str">
        <f t="shared" si="38"/>
        <v>Segunda</v>
      </c>
    </row>
    <row r="824" spans="1:20">
      <c r="A824" s="7" t="s">
        <v>1843</v>
      </c>
      <c r="B824" s="7" t="s">
        <v>451</v>
      </c>
      <c r="C824" s="8">
        <v>1</v>
      </c>
      <c r="D824" s="7" t="s">
        <v>1843</v>
      </c>
      <c r="E824" s="7" t="s">
        <v>1868</v>
      </c>
      <c r="F824">
        <v>1983</v>
      </c>
      <c r="G824" s="6">
        <v>15332</v>
      </c>
      <c r="H824" s="11" t="s">
        <v>1869</v>
      </c>
      <c r="I824" s="6">
        <v>24</v>
      </c>
      <c r="J824" s="6">
        <v>80</v>
      </c>
      <c r="K824" s="6">
        <v>212</v>
      </c>
      <c r="L824" s="6">
        <v>59</v>
      </c>
      <c r="M824" s="10">
        <f t="shared" si="36"/>
        <v>359.32203389830511</v>
      </c>
      <c r="N824" s="10">
        <f t="shared" si="37"/>
        <v>360</v>
      </c>
      <c r="O824" s="6" t="s">
        <v>108</v>
      </c>
      <c r="P824" s="6">
        <v>6</v>
      </c>
      <c r="Q824" s="6">
        <v>11</v>
      </c>
      <c r="R824" s="6">
        <v>12</v>
      </c>
      <c r="S824" s="6">
        <v>29</v>
      </c>
      <c r="T824" s="6" t="str">
        <f t="shared" si="38"/>
        <v>Segunda</v>
      </c>
    </row>
    <row r="825" spans="1:20">
      <c r="A825" s="7" t="s">
        <v>1843</v>
      </c>
      <c r="B825" s="7" t="s">
        <v>451</v>
      </c>
      <c r="C825" s="8">
        <v>1</v>
      </c>
      <c r="D825" s="7" t="s">
        <v>1843</v>
      </c>
      <c r="E825" s="7" t="s">
        <v>1866</v>
      </c>
      <c r="F825">
        <v>2090</v>
      </c>
      <c r="G825" s="6">
        <v>13423</v>
      </c>
      <c r="H825" s="11" t="s">
        <v>1867</v>
      </c>
      <c r="I825" s="6">
        <v>22</v>
      </c>
      <c r="J825" s="6">
        <v>31</v>
      </c>
      <c r="K825" s="6">
        <v>82</v>
      </c>
      <c r="L825" s="6">
        <v>51</v>
      </c>
      <c r="M825" s="10">
        <f t="shared" si="36"/>
        <v>160.78431372549019</v>
      </c>
      <c r="N825" s="10">
        <f t="shared" si="37"/>
        <v>161</v>
      </c>
      <c r="O825" s="6" t="s">
        <v>38</v>
      </c>
      <c r="P825" s="6">
        <v>3</v>
      </c>
      <c r="Q825" s="6">
        <v>1</v>
      </c>
      <c r="R825" s="6">
        <v>2</v>
      </c>
      <c r="S825" s="6">
        <v>6</v>
      </c>
      <c r="T825" s="6" t="str">
        <f t="shared" si="38"/>
        <v>Segunda</v>
      </c>
    </row>
    <row r="826" spans="1:20">
      <c r="A826" s="7" t="s">
        <v>1843</v>
      </c>
      <c r="B826" s="7" t="s">
        <v>451</v>
      </c>
      <c r="C826" s="8">
        <v>1</v>
      </c>
      <c r="D826" s="7" t="s">
        <v>1843</v>
      </c>
      <c r="E826" s="7" t="s">
        <v>1870</v>
      </c>
      <c r="F826">
        <v>2156</v>
      </c>
      <c r="G826" s="6">
        <v>2229</v>
      </c>
      <c r="H826" s="11" t="s">
        <v>1871</v>
      </c>
      <c r="I826" s="6">
        <v>35</v>
      </c>
      <c r="J826" s="6">
        <v>49</v>
      </c>
      <c r="K826" s="6">
        <v>137</v>
      </c>
      <c r="L826" s="6">
        <v>58</v>
      </c>
      <c r="M826" s="10">
        <f t="shared" si="36"/>
        <v>236.20689655172413</v>
      </c>
      <c r="N826" s="10">
        <f t="shared" si="37"/>
        <v>237</v>
      </c>
      <c r="O826" s="6" t="s">
        <v>241</v>
      </c>
      <c r="P826" s="6">
        <v>1</v>
      </c>
      <c r="Q826" s="6">
        <v>5</v>
      </c>
      <c r="R826" s="6">
        <v>4</v>
      </c>
      <c r="S826" s="6">
        <v>10</v>
      </c>
      <c r="T826" s="6" t="str">
        <f t="shared" si="38"/>
        <v>Primera</v>
      </c>
    </row>
    <row r="827" spans="1:20">
      <c r="A827" s="7" t="s">
        <v>1843</v>
      </c>
      <c r="B827" s="7" t="s">
        <v>451</v>
      </c>
      <c r="C827" s="8">
        <v>1</v>
      </c>
      <c r="D827" s="7" t="s">
        <v>1843</v>
      </c>
      <c r="E827" s="7" t="s">
        <v>1872</v>
      </c>
      <c r="F827">
        <v>1843</v>
      </c>
      <c r="G827" s="6">
        <v>10764</v>
      </c>
      <c r="H827" s="11" t="s">
        <v>1873</v>
      </c>
      <c r="I827" s="6">
        <v>54</v>
      </c>
      <c r="J827" s="6">
        <v>19</v>
      </c>
      <c r="K827" s="6">
        <v>27</v>
      </c>
      <c r="L827" s="6">
        <v>36</v>
      </c>
      <c r="M827" s="10">
        <f t="shared" si="36"/>
        <v>75</v>
      </c>
      <c r="N827" s="10">
        <f t="shared" si="37"/>
        <v>75</v>
      </c>
      <c r="O827" s="6" t="s">
        <v>240</v>
      </c>
      <c r="P827" s="6">
        <v>1</v>
      </c>
      <c r="Q827" s="6">
        <v>0</v>
      </c>
      <c r="R827" s="6">
        <v>1</v>
      </c>
      <c r="S827" s="6">
        <v>2</v>
      </c>
      <c r="T827" s="6" t="str">
        <f t="shared" si="38"/>
        <v>Segunda</v>
      </c>
    </row>
    <row r="828" spans="1:20">
      <c r="A828" s="7" t="s">
        <v>1843</v>
      </c>
      <c r="B828" s="7" t="s">
        <v>451</v>
      </c>
      <c r="C828" s="8">
        <v>1</v>
      </c>
      <c r="D828" s="7" t="s">
        <v>1843</v>
      </c>
      <c r="E828" s="7" t="s">
        <v>1874</v>
      </c>
      <c r="F828">
        <v>1965</v>
      </c>
      <c r="G828" s="6">
        <v>3982</v>
      </c>
      <c r="H828" s="11" t="s">
        <v>1875</v>
      </c>
      <c r="I828" s="6">
        <v>54</v>
      </c>
      <c r="J828" s="6">
        <v>32</v>
      </c>
      <c r="K828" s="6">
        <v>76</v>
      </c>
      <c r="L828" s="6">
        <v>54</v>
      </c>
      <c r="M828" s="10">
        <f t="shared" si="36"/>
        <v>140.74074074074073</v>
      </c>
      <c r="N828" s="10">
        <f t="shared" si="37"/>
        <v>141</v>
      </c>
      <c r="O828" s="6" t="s">
        <v>48</v>
      </c>
      <c r="P828" s="6">
        <v>0</v>
      </c>
      <c r="Q828" s="6">
        <v>5</v>
      </c>
      <c r="R828" s="6">
        <v>6</v>
      </c>
      <c r="S828" s="6">
        <v>11</v>
      </c>
      <c r="T828" s="6" t="str">
        <f t="shared" si="38"/>
        <v>Segunda</v>
      </c>
    </row>
    <row r="829" spans="1:20">
      <c r="A829" s="7" t="s">
        <v>1843</v>
      </c>
      <c r="B829" s="7" t="s">
        <v>451</v>
      </c>
      <c r="C829" s="8">
        <v>1</v>
      </c>
      <c r="D829" s="7" t="s">
        <v>1843</v>
      </c>
      <c r="E829" s="7" t="s">
        <v>1876</v>
      </c>
      <c r="F829">
        <v>1914</v>
      </c>
      <c r="G829" s="6">
        <v>21963</v>
      </c>
      <c r="H829" s="11" t="s">
        <v>1877</v>
      </c>
      <c r="I829" s="6">
        <v>29</v>
      </c>
      <c r="J829" s="6">
        <v>6</v>
      </c>
      <c r="K829" s="6">
        <v>11</v>
      </c>
      <c r="L829" s="6">
        <v>42</v>
      </c>
      <c r="M829" s="10">
        <f t="shared" si="36"/>
        <v>26.19047619047619</v>
      </c>
      <c r="N829" s="10">
        <f t="shared" si="37"/>
        <v>27</v>
      </c>
      <c r="O829" s="6" t="s">
        <v>108</v>
      </c>
      <c r="P829" s="6">
        <v>0</v>
      </c>
      <c r="Q829" s="6">
        <v>0</v>
      </c>
      <c r="R829" s="6">
        <v>0</v>
      </c>
      <c r="S829" s="6">
        <v>0</v>
      </c>
      <c r="T829" s="6" t="str">
        <f t="shared" si="38"/>
        <v>Segunda</v>
      </c>
    </row>
    <row r="830" spans="1:20">
      <c r="A830" s="7" t="s">
        <v>1843</v>
      </c>
      <c r="B830" s="7" t="s">
        <v>781</v>
      </c>
      <c r="C830" s="8">
        <v>1</v>
      </c>
      <c r="D830" s="7" t="s">
        <v>1843</v>
      </c>
      <c r="E830" s="7" t="s">
        <v>1878</v>
      </c>
      <c r="F830">
        <v>2029</v>
      </c>
      <c r="G830" s="6">
        <v>24472</v>
      </c>
      <c r="H830" s="11" t="s">
        <v>1879</v>
      </c>
      <c r="I830" s="6">
        <v>15</v>
      </c>
      <c r="J830" s="6">
        <v>40</v>
      </c>
      <c r="K830" s="6">
        <v>142</v>
      </c>
      <c r="L830" s="6">
        <v>71</v>
      </c>
      <c r="M830" s="10">
        <f t="shared" si="36"/>
        <v>200</v>
      </c>
      <c r="N830" s="10">
        <f t="shared" si="37"/>
        <v>200</v>
      </c>
      <c r="O830" s="6" t="s">
        <v>70</v>
      </c>
      <c r="P830" s="6">
        <v>7</v>
      </c>
      <c r="Q830" s="6">
        <v>1</v>
      </c>
      <c r="R830" s="6">
        <v>9</v>
      </c>
      <c r="S830" s="6">
        <v>17</v>
      </c>
      <c r="T830" s="6" t="str">
        <f t="shared" si="38"/>
        <v>Segunda</v>
      </c>
    </row>
    <row r="831" spans="1:20">
      <c r="A831" s="7" t="s">
        <v>1843</v>
      </c>
      <c r="B831" s="7" t="s">
        <v>781</v>
      </c>
      <c r="C831" s="8">
        <v>1</v>
      </c>
      <c r="D831" s="7" t="s">
        <v>1843</v>
      </c>
      <c r="E831" s="7" t="s">
        <v>1880</v>
      </c>
      <c r="F831">
        <v>2088</v>
      </c>
      <c r="G831" s="6">
        <v>2039</v>
      </c>
      <c r="H831" s="11" t="s">
        <v>1881</v>
      </c>
      <c r="I831" s="6">
        <v>37</v>
      </c>
      <c r="J831" s="6">
        <v>78</v>
      </c>
      <c r="K831" s="6">
        <v>190</v>
      </c>
      <c r="L831" s="6">
        <v>55</v>
      </c>
      <c r="M831" s="10">
        <f t="shared" si="36"/>
        <v>345.45454545454544</v>
      </c>
      <c r="N831" s="10">
        <f t="shared" si="37"/>
        <v>346</v>
      </c>
      <c r="O831" s="6" t="s">
        <v>106</v>
      </c>
      <c r="P831" s="6">
        <v>7</v>
      </c>
      <c r="Q831" s="6">
        <v>6</v>
      </c>
      <c r="R831" s="6">
        <v>3</v>
      </c>
      <c r="S831" s="6">
        <v>16</v>
      </c>
      <c r="T831" s="6" t="str">
        <f t="shared" si="38"/>
        <v>Segunda</v>
      </c>
    </row>
    <row r="832" spans="1:20">
      <c r="A832" s="7" t="s">
        <v>1843</v>
      </c>
      <c r="B832" s="7" t="s">
        <v>781</v>
      </c>
      <c r="C832" s="8">
        <v>1</v>
      </c>
      <c r="D832" s="7" t="s">
        <v>1843</v>
      </c>
      <c r="E832" s="7" t="s">
        <v>1882</v>
      </c>
      <c r="F832">
        <v>1815</v>
      </c>
      <c r="G832" s="6">
        <v>24368</v>
      </c>
      <c r="H832" s="11" t="s">
        <v>1883</v>
      </c>
      <c r="I832" s="6">
        <v>21</v>
      </c>
      <c r="J832" s="6">
        <v>78</v>
      </c>
      <c r="K832" s="6">
        <v>219</v>
      </c>
      <c r="L832" s="6">
        <v>57</v>
      </c>
      <c r="M832" s="10">
        <f t="shared" si="36"/>
        <v>384.21052631578948</v>
      </c>
      <c r="N832" s="10">
        <f t="shared" si="37"/>
        <v>385</v>
      </c>
      <c r="O832" s="6" t="s">
        <v>37</v>
      </c>
      <c r="P832" s="6">
        <v>8</v>
      </c>
      <c r="Q832" s="6">
        <v>7</v>
      </c>
      <c r="R832" s="6">
        <v>9</v>
      </c>
      <c r="S832" s="6">
        <v>24</v>
      </c>
      <c r="T832" s="6" t="str">
        <f t="shared" si="38"/>
        <v>Segunda</v>
      </c>
    </row>
    <row r="833" spans="1:20">
      <c r="A833" s="7" t="s">
        <v>1843</v>
      </c>
      <c r="B833" s="7" t="s">
        <v>781</v>
      </c>
      <c r="C833" s="8">
        <v>1</v>
      </c>
      <c r="D833" s="7" t="s">
        <v>1843</v>
      </c>
      <c r="E833" s="7" t="s">
        <v>1884</v>
      </c>
      <c r="F833">
        <v>1818</v>
      </c>
      <c r="G833" s="6">
        <v>22530</v>
      </c>
      <c r="H833" s="11" t="s">
        <v>1885</v>
      </c>
      <c r="I833" s="6">
        <v>40</v>
      </c>
      <c r="J833" s="6">
        <v>74</v>
      </c>
      <c r="K833" s="6">
        <v>214</v>
      </c>
      <c r="L833" s="6">
        <v>61</v>
      </c>
      <c r="M833" s="10">
        <f t="shared" si="36"/>
        <v>350.81967213114751</v>
      </c>
      <c r="N833" s="10">
        <f t="shared" si="37"/>
        <v>351</v>
      </c>
      <c r="O833" s="6" t="s">
        <v>219</v>
      </c>
      <c r="P833" s="6">
        <v>8</v>
      </c>
      <c r="Q833" s="6">
        <v>5</v>
      </c>
      <c r="R833" s="6">
        <v>14</v>
      </c>
      <c r="S833" s="6">
        <v>27</v>
      </c>
      <c r="T833" s="6" t="str">
        <f t="shared" si="38"/>
        <v>Segunda</v>
      </c>
    </row>
    <row r="834" spans="1:20">
      <c r="A834" s="7" t="s">
        <v>1843</v>
      </c>
      <c r="B834" s="7" t="s">
        <v>781</v>
      </c>
      <c r="C834" s="8">
        <v>1</v>
      </c>
      <c r="D834" s="7" t="s">
        <v>1843</v>
      </c>
      <c r="E834" s="7" t="s">
        <v>1886</v>
      </c>
      <c r="F834">
        <v>1774</v>
      </c>
      <c r="G834" s="6">
        <v>25536</v>
      </c>
      <c r="H834" s="11" t="s">
        <v>1887</v>
      </c>
      <c r="I834" s="6">
        <v>14</v>
      </c>
      <c r="J834" s="6">
        <v>52</v>
      </c>
      <c r="K834" s="6">
        <v>146</v>
      </c>
      <c r="L834" s="6">
        <v>53</v>
      </c>
      <c r="M834" s="10">
        <f t="shared" si="36"/>
        <v>275.47169811320754</v>
      </c>
      <c r="N834" s="10">
        <f t="shared" si="37"/>
        <v>276</v>
      </c>
      <c r="O834" s="6" t="s">
        <v>18</v>
      </c>
      <c r="P834" s="6">
        <v>3</v>
      </c>
      <c r="Q834" s="6">
        <v>6</v>
      </c>
      <c r="R834" s="6">
        <v>6</v>
      </c>
      <c r="S834" s="6">
        <v>15</v>
      </c>
      <c r="T834" s="6" t="str">
        <f t="shared" si="38"/>
        <v>Tercera</v>
      </c>
    </row>
    <row r="835" spans="1:20">
      <c r="A835" s="7" t="s">
        <v>1843</v>
      </c>
      <c r="B835" s="7" t="s">
        <v>781</v>
      </c>
      <c r="C835" s="8">
        <v>1</v>
      </c>
      <c r="D835" s="7" t="s">
        <v>1843</v>
      </c>
      <c r="E835" s="7" t="s">
        <v>1888</v>
      </c>
      <c r="F835">
        <v>1777</v>
      </c>
      <c r="G835" s="6">
        <v>11062</v>
      </c>
      <c r="H835" s="11" t="s">
        <v>1889</v>
      </c>
      <c r="I835" s="6">
        <v>48</v>
      </c>
      <c r="J835" s="6">
        <v>122</v>
      </c>
      <c r="K835" s="6">
        <v>362</v>
      </c>
      <c r="L835" s="6">
        <v>58</v>
      </c>
      <c r="M835" s="10">
        <f t="shared" ref="M835:M898" si="39">IF(K835+L835=0,0,(100*K835/L835))</f>
        <v>624.13793103448279</v>
      </c>
      <c r="N835" s="10">
        <f t="shared" ref="N835:N898" si="40">ROUNDUP(M835,0)</f>
        <v>625</v>
      </c>
      <c r="O835" s="6" t="s">
        <v>21</v>
      </c>
      <c r="P835" s="6">
        <v>11</v>
      </c>
      <c r="Q835" s="6">
        <v>11</v>
      </c>
      <c r="R835" s="6">
        <v>19</v>
      </c>
      <c r="S835" s="6">
        <v>41</v>
      </c>
      <c r="T835" s="6" t="str">
        <f t="shared" ref="T835:T898" si="41">IF(F835&gt;2100,"Primera",
IF(F835&gt;=1800,"Segunda",
IF(F835&gt;=1600,"Tercera",
IF(F835&gt;=1400,"Cuarta",
IF(F835&gt;=1200,"Quinta",
IF(F835&gt;=1080,"Sexta",
IF(F835&gt;=980,"Septima",
"Octava")))))))</f>
        <v>Tercera</v>
      </c>
    </row>
    <row r="836" spans="1:20">
      <c r="A836" s="7" t="s">
        <v>1843</v>
      </c>
      <c r="B836" s="7" t="s">
        <v>781</v>
      </c>
      <c r="C836" s="8">
        <v>1</v>
      </c>
      <c r="D836" s="7" t="s">
        <v>1843</v>
      </c>
      <c r="E836" s="7" t="s">
        <v>1890</v>
      </c>
      <c r="F836">
        <v>1792</v>
      </c>
      <c r="G836" s="6">
        <v>19706</v>
      </c>
      <c r="H836" s="11" t="s">
        <v>1891</v>
      </c>
      <c r="I836" s="6">
        <v>23</v>
      </c>
      <c r="J836" s="6">
        <v>54</v>
      </c>
      <c r="K836" s="6">
        <v>104</v>
      </c>
      <c r="L836" s="6">
        <v>41</v>
      </c>
      <c r="M836" s="10">
        <f t="shared" si="39"/>
        <v>253.65853658536585</v>
      </c>
      <c r="N836" s="10">
        <f t="shared" si="40"/>
        <v>254</v>
      </c>
      <c r="O836" s="6" t="s">
        <v>38</v>
      </c>
      <c r="P836" s="6">
        <v>2</v>
      </c>
      <c r="Q836" s="6">
        <v>2</v>
      </c>
      <c r="R836" s="6">
        <v>5</v>
      </c>
      <c r="S836" s="6">
        <v>9</v>
      </c>
      <c r="T836" s="6" t="str">
        <f t="shared" si="41"/>
        <v>Tercera</v>
      </c>
    </row>
    <row r="837" spans="1:20">
      <c r="A837" s="7" t="s">
        <v>1843</v>
      </c>
      <c r="B837" s="7" t="s">
        <v>468</v>
      </c>
      <c r="C837" s="8">
        <v>1</v>
      </c>
      <c r="D837" s="7" t="s">
        <v>1843</v>
      </c>
      <c r="E837" s="7" t="s">
        <v>1892</v>
      </c>
      <c r="F837">
        <v>1805</v>
      </c>
      <c r="G837" s="6">
        <v>22472</v>
      </c>
      <c r="H837" s="11" t="s">
        <v>1893</v>
      </c>
      <c r="I837" s="6">
        <v>31</v>
      </c>
      <c r="J837" s="6">
        <v>68</v>
      </c>
      <c r="K837" s="6">
        <v>219</v>
      </c>
      <c r="L837" s="6">
        <v>61</v>
      </c>
      <c r="M837" s="10">
        <f t="shared" si="39"/>
        <v>359.01639344262293</v>
      </c>
      <c r="N837" s="10">
        <f t="shared" si="40"/>
        <v>360</v>
      </c>
      <c r="O837" s="6" t="s">
        <v>131</v>
      </c>
      <c r="P837" s="6">
        <v>9</v>
      </c>
      <c r="Q837" s="6">
        <v>12</v>
      </c>
      <c r="R837" s="6">
        <v>11</v>
      </c>
      <c r="S837" s="6">
        <v>32</v>
      </c>
      <c r="T837" s="6" t="str">
        <f t="shared" si="41"/>
        <v>Segunda</v>
      </c>
    </row>
    <row r="838" spans="1:20">
      <c r="A838" s="7" t="s">
        <v>1843</v>
      </c>
      <c r="B838" s="7" t="s">
        <v>468</v>
      </c>
      <c r="C838" s="8">
        <v>1</v>
      </c>
      <c r="D838" s="7" t="s">
        <v>1843</v>
      </c>
      <c r="E838" s="7" t="s">
        <v>1894</v>
      </c>
      <c r="F838">
        <v>1693</v>
      </c>
      <c r="G838" s="6">
        <v>22550</v>
      </c>
      <c r="H838" s="11" t="s">
        <v>1895</v>
      </c>
      <c r="I838" s="6">
        <v>41</v>
      </c>
      <c r="J838" s="6">
        <v>49</v>
      </c>
      <c r="K838" s="6">
        <v>133</v>
      </c>
      <c r="L838" s="6">
        <v>60</v>
      </c>
      <c r="M838" s="10">
        <f t="shared" si="39"/>
        <v>221.66666666666666</v>
      </c>
      <c r="N838" s="10">
        <f t="shared" si="40"/>
        <v>222</v>
      </c>
      <c r="O838" s="6" t="s">
        <v>38</v>
      </c>
      <c r="P838" s="6">
        <v>4</v>
      </c>
      <c r="Q838" s="6">
        <v>2</v>
      </c>
      <c r="R838" s="6">
        <v>5</v>
      </c>
      <c r="S838" s="6">
        <v>11</v>
      </c>
      <c r="T838" s="6" t="str">
        <f t="shared" si="41"/>
        <v>Tercera</v>
      </c>
    </row>
    <row r="839" spans="1:20">
      <c r="A839" s="7" t="s">
        <v>1843</v>
      </c>
      <c r="B839" s="7" t="s">
        <v>468</v>
      </c>
      <c r="C839" s="8">
        <v>1</v>
      </c>
      <c r="D839" s="7" t="s">
        <v>1843</v>
      </c>
      <c r="E839" s="7" t="s">
        <v>1896</v>
      </c>
      <c r="F839">
        <v>1658</v>
      </c>
      <c r="G839" s="6">
        <v>5275</v>
      </c>
      <c r="H839" s="11" t="s">
        <v>1897</v>
      </c>
      <c r="I839" s="6">
        <v>49</v>
      </c>
      <c r="J839" s="6">
        <v>153</v>
      </c>
      <c r="K839" s="6">
        <v>424</v>
      </c>
      <c r="L839" s="6">
        <v>43</v>
      </c>
      <c r="M839" s="10">
        <f t="shared" si="39"/>
        <v>986.04651162790697</v>
      </c>
      <c r="N839" s="10">
        <f t="shared" si="40"/>
        <v>987</v>
      </c>
      <c r="O839" s="6" t="s">
        <v>14</v>
      </c>
      <c r="P839" s="6">
        <v>13</v>
      </c>
      <c r="Q839" s="6">
        <v>9</v>
      </c>
      <c r="R839" s="6">
        <v>22</v>
      </c>
      <c r="S839" s="6">
        <v>44</v>
      </c>
      <c r="T839" s="6" t="str">
        <f t="shared" si="41"/>
        <v>Tercera</v>
      </c>
    </row>
    <row r="840" spans="1:20">
      <c r="A840" s="7" t="s">
        <v>1843</v>
      </c>
      <c r="B840" s="7" t="s">
        <v>468</v>
      </c>
      <c r="C840" s="8">
        <v>1</v>
      </c>
      <c r="D840" s="7" t="s">
        <v>1843</v>
      </c>
      <c r="E840" s="7" t="s">
        <v>1898</v>
      </c>
      <c r="F840">
        <v>1408</v>
      </c>
      <c r="G840" s="6">
        <v>4635</v>
      </c>
      <c r="H840" s="11" t="s">
        <v>1899</v>
      </c>
      <c r="I840" s="6">
        <v>61</v>
      </c>
      <c r="J840" s="6">
        <v>6</v>
      </c>
      <c r="K840" s="6">
        <v>5</v>
      </c>
      <c r="L840" s="6">
        <v>23</v>
      </c>
      <c r="M840" s="10">
        <f t="shared" si="39"/>
        <v>21.739130434782609</v>
      </c>
      <c r="N840" s="10">
        <f t="shared" si="40"/>
        <v>22</v>
      </c>
      <c r="O840" s="6" t="s">
        <v>242</v>
      </c>
      <c r="P840" s="6">
        <v>0</v>
      </c>
      <c r="Q840" s="6">
        <v>0</v>
      </c>
      <c r="R840" s="6">
        <v>0</v>
      </c>
      <c r="S840" s="6">
        <v>0</v>
      </c>
      <c r="T840" s="6" t="str">
        <f t="shared" si="41"/>
        <v>Cuarta</v>
      </c>
    </row>
    <row r="841" spans="1:20">
      <c r="A841" s="7" t="s">
        <v>1843</v>
      </c>
      <c r="B841" s="7" t="s">
        <v>468</v>
      </c>
      <c r="C841" s="8">
        <v>1</v>
      </c>
      <c r="D841" s="7" t="s">
        <v>1843</v>
      </c>
      <c r="E841" s="7" t="s">
        <v>1900</v>
      </c>
      <c r="F841">
        <v>1697</v>
      </c>
      <c r="G841" s="6">
        <v>19802</v>
      </c>
      <c r="H841" s="11" t="s">
        <v>1901</v>
      </c>
      <c r="I841" s="6">
        <v>17</v>
      </c>
      <c r="J841" s="6">
        <v>17</v>
      </c>
      <c r="K841" s="6">
        <v>57</v>
      </c>
      <c r="L841" s="6">
        <v>62</v>
      </c>
      <c r="M841" s="10">
        <f t="shared" si="39"/>
        <v>91.935483870967744</v>
      </c>
      <c r="N841" s="10">
        <f t="shared" si="40"/>
        <v>92</v>
      </c>
      <c r="O841" s="6" t="s">
        <v>153</v>
      </c>
      <c r="P841" s="6">
        <v>2</v>
      </c>
      <c r="Q841" s="6">
        <v>2</v>
      </c>
      <c r="R841" s="6">
        <v>2</v>
      </c>
      <c r="S841" s="6">
        <v>6</v>
      </c>
      <c r="T841" s="6" t="str">
        <f t="shared" si="41"/>
        <v>Tercera</v>
      </c>
    </row>
    <row r="842" spans="1:20">
      <c r="A842" s="7" t="s">
        <v>1843</v>
      </c>
      <c r="B842" s="7" t="s">
        <v>468</v>
      </c>
      <c r="C842" s="8">
        <v>1</v>
      </c>
      <c r="D842" s="7" t="s">
        <v>1843</v>
      </c>
      <c r="E842" s="7" t="s">
        <v>1902</v>
      </c>
      <c r="F842">
        <v>1000</v>
      </c>
      <c r="G842" s="6">
        <v>7539</v>
      </c>
      <c r="H842" s="11" t="s">
        <v>1903</v>
      </c>
      <c r="I842" s="6">
        <v>40</v>
      </c>
      <c r="J842" s="6">
        <v>0</v>
      </c>
      <c r="K842" s="6">
        <v>0</v>
      </c>
      <c r="L842" s="6">
        <v>0</v>
      </c>
      <c r="M842" s="10">
        <f t="shared" si="39"/>
        <v>0</v>
      </c>
      <c r="N842" s="10">
        <f t="shared" si="40"/>
        <v>0</v>
      </c>
      <c r="P842" s="6">
        <v>0</v>
      </c>
      <c r="Q842" s="6">
        <v>0</v>
      </c>
      <c r="R842" s="6">
        <v>0</v>
      </c>
      <c r="S842" s="6">
        <v>0</v>
      </c>
      <c r="T842" s="6" t="str">
        <f t="shared" si="41"/>
        <v>Septima</v>
      </c>
    </row>
    <row r="843" spans="1:20">
      <c r="A843" s="7" t="s">
        <v>1843</v>
      </c>
      <c r="B843" s="7" t="s">
        <v>496</v>
      </c>
      <c r="C843" s="8">
        <v>1</v>
      </c>
      <c r="D843" s="7" t="s">
        <v>1843</v>
      </c>
      <c r="E843" s="7" t="s">
        <v>1904</v>
      </c>
      <c r="F843">
        <v>1437</v>
      </c>
      <c r="G843" s="6">
        <v>11602</v>
      </c>
      <c r="H843" s="11" t="s">
        <v>1905</v>
      </c>
      <c r="I843" s="6">
        <v>58</v>
      </c>
      <c r="J843" s="6">
        <v>6</v>
      </c>
      <c r="K843" s="6">
        <v>14</v>
      </c>
      <c r="L843" s="6">
        <v>56</v>
      </c>
      <c r="M843" s="10">
        <f t="shared" si="39"/>
        <v>25</v>
      </c>
      <c r="N843" s="10">
        <f t="shared" si="40"/>
        <v>25</v>
      </c>
      <c r="O843" s="6" t="s">
        <v>243</v>
      </c>
      <c r="P843" s="6">
        <v>1</v>
      </c>
      <c r="Q843" s="6">
        <v>0</v>
      </c>
      <c r="R843" s="6">
        <v>1</v>
      </c>
      <c r="S843" s="6">
        <v>2</v>
      </c>
      <c r="T843" s="6" t="str">
        <f t="shared" si="41"/>
        <v>Cuarta</v>
      </c>
    </row>
    <row r="844" spans="1:20">
      <c r="A844" s="7" t="s">
        <v>1843</v>
      </c>
      <c r="B844" s="7" t="s">
        <v>496</v>
      </c>
      <c r="C844" s="8">
        <v>1</v>
      </c>
      <c r="D844" s="7" t="s">
        <v>1843</v>
      </c>
      <c r="E844" s="7" t="s">
        <v>1906</v>
      </c>
      <c r="F844">
        <v>1000</v>
      </c>
      <c r="G844" s="6">
        <v>18414</v>
      </c>
      <c r="H844" s="11" t="s">
        <v>1907</v>
      </c>
      <c r="I844" s="6">
        <v>28</v>
      </c>
      <c r="J844" s="6">
        <v>0</v>
      </c>
      <c r="K844" s="6">
        <v>0</v>
      </c>
      <c r="L844" s="6">
        <v>0</v>
      </c>
      <c r="M844" s="10">
        <f t="shared" si="39"/>
        <v>0</v>
      </c>
      <c r="N844" s="10">
        <f t="shared" si="40"/>
        <v>0</v>
      </c>
      <c r="P844" s="6">
        <v>0</v>
      </c>
      <c r="Q844" s="6">
        <v>0</v>
      </c>
      <c r="R844" s="6">
        <v>0</v>
      </c>
      <c r="S844" s="6">
        <v>0</v>
      </c>
      <c r="T844" s="6" t="str">
        <f t="shared" si="41"/>
        <v>Septima</v>
      </c>
    </row>
    <row r="845" spans="1:20">
      <c r="A845" s="7" t="s">
        <v>1843</v>
      </c>
      <c r="B845" s="7" t="s">
        <v>496</v>
      </c>
      <c r="C845" s="8">
        <v>1</v>
      </c>
      <c r="D845" s="7" t="s">
        <v>1843</v>
      </c>
      <c r="E845" s="7" t="s">
        <v>1908</v>
      </c>
      <c r="F845">
        <v>1353</v>
      </c>
      <c r="G845" s="6">
        <v>23799</v>
      </c>
      <c r="H845" s="11" t="s">
        <v>1909</v>
      </c>
      <c r="I845" s="6">
        <v>15</v>
      </c>
      <c r="J845" s="6">
        <v>3</v>
      </c>
      <c r="K845" s="6">
        <v>19</v>
      </c>
      <c r="L845" s="6">
        <v>90</v>
      </c>
      <c r="M845" s="10">
        <f t="shared" si="39"/>
        <v>21.111111111111111</v>
      </c>
      <c r="N845" s="10">
        <f t="shared" si="40"/>
        <v>22</v>
      </c>
      <c r="O845" s="6" t="s">
        <v>18</v>
      </c>
      <c r="P845" s="6">
        <v>2</v>
      </c>
      <c r="Q845" s="6">
        <v>0</v>
      </c>
      <c r="R845" s="6">
        <v>1</v>
      </c>
      <c r="S845" s="6">
        <v>3</v>
      </c>
      <c r="T845" s="6" t="str">
        <f t="shared" si="41"/>
        <v>Quinta</v>
      </c>
    </row>
    <row r="846" spans="1:20">
      <c r="A846" s="7" t="s">
        <v>1843</v>
      </c>
      <c r="B846" s="7" t="s">
        <v>496</v>
      </c>
      <c r="C846" s="8">
        <v>1</v>
      </c>
      <c r="D846" s="7" t="s">
        <v>1843</v>
      </c>
      <c r="E846" s="7" t="s">
        <v>1910</v>
      </c>
      <c r="F846">
        <v>1262</v>
      </c>
      <c r="G846" s="6">
        <v>26673</v>
      </c>
      <c r="H846" s="11" t="s">
        <v>1911</v>
      </c>
      <c r="I846" s="6">
        <v>15</v>
      </c>
      <c r="J846" s="6">
        <v>34</v>
      </c>
      <c r="K846" s="6">
        <v>67</v>
      </c>
      <c r="L846" s="6">
        <v>48</v>
      </c>
      <c r="M846" s="10">
        <f t="shared" si="39"/>
        <v>139.58333333333334</v>
      </c>
      <c r="N846" s="10">
        <f t="shared" si="40"/>
        <v>140</v>
      </c>
      <c r="O846" s="6" t="s">
        <v>12</v>
      </c>
      <c r="P846" s="6">
        <v>0</v>
      </c>
      <c r="Q846" s="6">
        <v>5</v>
      </c>
      <c r="R846" s="6">
        <v>5</v>
      </c>
      <c r="S846" s="6">
        <v>10</v>
      </c>
      <c r="T846" s="6" t="str">
        <f t="shared" si="41"/>
        <v>Quinta</v>
      </c>
    </row>
    <row r="847" spans="1:20">
      <c r="A847" s="7" t="s">
        <v>1843</v>
      </c>
      <c r="B847" s="7" t="s">
        <v>496</v>
      </c>
      <c r="C847" s="8">
        <v>1</v>
      </c>
      <c r="D847" s="7" t="s">
        <v>1843</v>
      </c>
      <c r="E847" s="7" t="s">
        <v>1912</v>
      </c>
      <c r="F847">
        <v>1011</v>
      </c>
      <c r="G847" s="6">
        <v>24108</v>
      </c>
      <c r="H847" s="11" t="s">
        <v>1913</v>
      </c>
      <c r="I847" s="6">
        <v>7</v>
      </c>
      <c r="J847" s="6">
        <v>3</v>
      </c>
      <c r="K847" s="6">
        <v>5</v>
      </c>
      <c r="L847" s="6">
        <v>42</v>
      </c>
      <c r="M847" s="10">
        <f t="shared" si="39"/>
        <v>11.904761904761905</v>
      </c>
      <c r="N847" s="10">
        <f t="shared" si="40"/>
        <v>12</v>
      </c>
      <c r="O847" s="6" t="s">
        <v>244</v>
      </c>
      <c r="P847" s="6">
        <v>0</v>
      </c>
      <c r="Q847" s="6">
        <v>0</v>
      </c>
      <c r="R847" s="6">
        <v>0</v>
      </c>
      <c r="S847" s="6">
        <v>0</v>
      </c>
      <c r="T847" s="6" t="str">
        <f t="shared" si="41"/>
        <v>Septima</v>
      </c>
    </row>
    <row r="848" spans="1:20">
      <c r="A848" s="7" t="s">
        <v>1843</v>
      </c>
      <c r="B848" s="7" t="s">
        <v>496</v>
      </c>
      <c r="C848" s="8">
        <v>1</v>
      </c>
      <c r="D848" s="7" t="s">
        <v>1843</v>
      </c>
      <c r="E848" s="7" t="s">
        <v>1914</v>
      </c>
      <c r="F848">
        <v>1494</v>
      </c>
      <c r="G848" s="6">
        <v>6784</v>
      </c>
      <c r="H848" s="11" t="s">
        <v>1915</v>
      </c>
      <c r="I848" s="6">
        <v>46</v>
      </c>
      <c r="J848" s="6">
        <v>2</v>
      </c>
      <c r="K848" s="6">
        <v>5</v>
      </c>
      <c r="L848" s="6">
        <v>50</v>
      </c>
      <c r="M848" s="10">
        <f t="shared" si="39"/>
        <v>10</v>
      </c>
      <c r="N848" s="10">
        <f t="shared" si="40"/>
        <v>10</v>
      </c>
      <c r="O848" s="6" t="s">
        <v>245</v>
      </c>
      <c r="P848" s="6">
        <v>0</v>
      </c>
      <c r="Q848" s="6">
        <v>0</v>
      </c>
      <c r="R848" s="6">
        <v>0</v>
      </c>
      <c r="S848" s="6">
        <v>0</v>
      </c>
      <c r="T848" s="6" t="str">
        <f t="shared" si="41"/>
        <v>Cuarta</v>
      </c>
    </row>
    <row r="849" spans="1:20">
      <c r="A849" s="7" t="s">
        <v>1843</v>
      </c>
      <c r="B849" s="7" t="s">
        <v>496</v>
      </c>
      <c r="C849" s="8">
        <v>1</v>
      </c>
      <c r="D849" s="7" t="s">
        <v>1843</v>
      </c>
      <c r="E849" s="7" t="s">
        <v>1916</v>
      </c>
      <c r="F849">
        <v>1018</v>
      </c>
      <c r="G849" s="6">
        <v>26169</v>
      </c>
      <c r="H849" s="11" t="s">
        <v>1917</v>
      </c>
      <c r="I849" s="6">
        <v>16</v>
      </c>
      <c r="J849" s="6">
        <v>1</v>
      </c>
      <c r="K849" s="6">
        <v>5</v>
      </c>
      <c r="L849" s="6">
        <v>71</v>
      </c>
      <c r="M849" s="10">
        <f t="shared" si="39"/>
        <v>7.042253521126761</v>
      </c>
      <c r="N849" s="10">
        <f t="shared" si="40"/>
        <v>8</v>
      </c>
      <c r="O849" s="6" t="s">
        <v>97</v>
      </c>
      <c r="P849" s="6">
        <v>0</v>
      </c>
      <c r="Q849" s="6">
        <v>0</v>
      </c>
      <c r="R849" s="6">
        <v>1</v>
      </c>
      <c r="S849" s="6">
        <v>1</v>
      </c>
      <c r="T849" s="6" t="str">
        <f t="shared" si="41"/>
        <v>Septima</v>
      </c>
    </row>
    <row r="850" spans="1:20">
      <c r="A850" s="7" t="s">
        <v>1843</v>
      </c>
      <c r="B850" s="7" t="s">
        <v>526</v>
      </c>
      <c r="C850" s="8">
        <v>1</v>
      </c>
      <c r="D850" s="7" t="s">
        <v>1843</v>
      </c>
      <c r="E850" s="7" t="s">
        <v>1918</v>
      </c>
      <c r="F850">
        <v>1155</v>
      </c>
      <c r="G850" s="6">
        <v>1368</v>
      </c>
      <c r="H850" s="11" t="s">
        <v>1919</v>
      </c>
      <c r="I850" s="6">
        <v>72</v>
      </c>
      <c r="J850" s="6">
        <v>84</v>
      </c>
      <c r="K850" s="6">
        <v>185</v>
      </c>
      <c r="L850" s="6">
        <v>41</v>
      </c>
      <c r="M850" s="10">
        <f t="shared" si="39"/>
        <v>451.21951219512198</v>
      </c>
      <c r="N850" s="10">
        <f t="shared" si="40"/>
        <v>452</v>
      </c>
      <c r="O850" s="6" t="s">
        <v>68</v>
      </c>
      <c r="P850" s="6">
        <v>1</v>
      </c>
      <c r="Q850" s="6">
        <v>6</v>
      </c>
      <c r="R850" s="6">
        <v>10</v>
      </c>
      <c r="S850" s="6">
        <v>17</v>
      </c>
      <c r="T850" s="6" t="str">
        <f t="shared" si="41"/>
        <v>Sexta</v>
      </c>
    </row>
    <row r="851" spans="1:20">
      <c r="A851" s="7" t="s">
        <v>1843</v>
      </c>
      <c r="B851" s="7" t="s">
        <v>526</v>
      </c>
      <c r="C851" s="8">
        <v>1</v>
      </c>
      <c r="D851" s="7" t="s">
        <v>1843</v>
      </c>
      <c r="E851" s="7" t="s">
        <v>1920</v>
      </c>
      <c r="F851">
        <v>988</v>
      </c>
      <c r="G851" s="6">
        <v>28674</v>
      </c>
      <c r="H851" s="11" t="s">
        <v>1921</v>
      </c>
      <c r="I851" s="6">
        <v>23</v>
      </c>
      <c r="J851" s="6">
        <v>1</v>
      </c>
      <c r="K851" s="6">
        <v>1</v>
      </c>
      <c r="L851" s="6">
        <v>33</v>
      </c>
      <c r="M851" s="10">
        <f t="shared" si="39"/>
        <v>3.0303030303030303</v>
      </c>
      <c r="N851" s="10">
        <f t="shared" si="40"/>
        <v>4</v>
      </c>
      <c r="O851" s="6" t="s">
        <v>246</v>
      </c>
      <c r="P851" s="6">
        <v>0</v>
      </c>
      <c r="Q851" s="6">
        <v>0</v>
      </c>
      <c r="R851" s="6">
        <v>0</v>
      </c>
      <c r="S851" s="6">
        <v>0</v>
      </c>
      <c r="T851" s="6" t="str">
        <f t="shared" si="41"/>
        <v>Septima</v>
      </c>
    </row>
    <row r="852" spans="1:20">
      <c r="A852" s="7" t="s">
        <v>1843</v>
      </c>
      <c r="B852" s="7" t="s">
        <v>526</v>
      </c>
      <c r="C852" s="8">
        <v>1</v>
      </c>
      <c r="D852" s="7" t="s">
        <v>1843</v>
      </c>
      <c r="E852" s="7" t="s">
        <v>1922</v>
      </c>
      <c r="F852">
        <v>988</v>
      </c>
      <c r="G852" s="6">
        <v>26162</v>
      </c>
      <c r="H852" s="11" t="s">
        <v>1923</v>
      </c>
      <c r="I852" s="6">
        <v>14</v>
      </c>
      <c r="J852" s="6">
        <v>1</v>
      </c>
      <c r="K852" s="6">
        <v>1</v>
      </c>
      <c r="L852" s="6">
        <v>33</v>
      </c>
      <c r="M852" s="10">
        <f t="shared" si="39"/>
        <v>3.0303030303030303</v>
      </c>
      <c r="N852" s="10">
        <f t="shared" si="40"/>
        <v>4</v>
      </c>
      <c r="O852" s="6" t="s">
        <v>97</v>
      </c>
      <c r="P852" s="6">
        <v>0</v>
      </c>
      <c r="Q852" s="6">
        <v>0</v>
      </c>
      <c r="R852" s="6">
        <v>0</v>
      </c>
      <c r="S852" s="6">
        <v>0</v>
      </c>
      <c r="T852" s="6" t="str">
        <f t="shared" si="41"/>
        <v>Septima</v>
      </c>
    </row>
    <row r="853" spans="1:20">
      <c r="A853" s="7" t="s">
        <v>1843</v>
      </c>
      <c r="B853" s="7" t="s">
        <v>526</v>
      </c>
      <c r="C853" s="8">
        <v>1</v>
      </c>
      <c r="D853" s="7" t="s">
        <v>1843</v>
      </c>
      <c r="E853" s="7" t="s">
        <v>1924</v>
      </c>
      <c r="F853">
        <v>967</v>
      </c>
      <c r="G853" s="6">
        <v>26173</v>
      </c>
      <c r="H853" s="11" t="s">
        <v>1925</v>
      </c>
      <c r="I853" s="6">
        <v>18</v>
      </c>
      <c r="J853" s="6">
        <v>1</v>
      </c>
      <c r="K853" s="6">
        <v>0</v>
      </c>
      <c r="L853" s="6">
        <v>0</v>
      </c>
      <c r="M853" s="10">
        <f t="shared" si="39"/>
        <v>0</v>
      </c>
      <c r="N853" s="10">
        <f t="shared" si="40"/>
        <v>0</v>
      </c>
      <c r="O853" s="6" t="s">
        <v>247</v>
      </c>
      <c r="P853" s="6">
        <v>0</v>
      </c>
      <c r="Q853" s="6">
        <v>0</v>
      </c>
      <c r="R853" s="6">
        <v>0</v>
      </c>
      <c r="S853" s="6">
        <v>0</v>
      </c>
      <c r="T853" s="6" t="str">
        <f t="shared" si="41"/>
        <v>Octava</v>
      </c>
    </row>
    <row r="854" spans="1:20">
      <c r="A854" s="7" t="s">
        <v>1843</v>
      </c>
      <c r="B854" s="7" t="s">
        <v>526</v>
      </c>
      <c r="C854" s="8">
        <v>1</v>
      </c>
      <c r="D854" s="7" t="s">
        <v>1843</v>
      </c>
      <c r="E854" s="7" t="s">
        <v>1926</v>
      </c>
      <c r="F854">
        <v>0</v>
      </c>
      <c r="G854" s="6">
        <v>26163</v>
      </c>
      <c r="H854" s="11" t="s">
        <v>1927</v>
      </c>
      <c r="I854" s="6">
        <v>12</v>
      </c>
      <c r="M854" s="10">
        <f t="shared" si="39"/>
        <v>0</v>
      </c>
      <c r="N854" s="10">
        <f t="shared" si="40"/>
        <v>0</v>
      </c>
      <c r="P854" s="6">
        <v>0</v>
      </c>
      <c r="Q854" s="6">
        <v>0</v>
      </c>
      <c r="R854" s="6">
        <v>0</v>
      </c>
      <c r="S854" s="6">
        <v>0</v>
      </c>
      <c r="T854" s="6" t="str">
        <f t="shared" si="41"/>
        <v>Octava</v>
      </c>
    </row>
    <row r="855" spans="1:20">
      <c r="A855" s="7" t="s">
        <v>1843</v>
      </c>
      <c r="B855" s="7" t="s">
        <v>526</v>
      </c>
      <c r="C855" s="8">
        <v>1</v>
      </c>
      <c r="D855" s="7" t="s">
        <v>1843</v>
      </c>
      <c r="E855" s="7" t="s">
        <v>1928</v>
      </c>
      <c r="F855">
        <v>1642</v>
      </c>
      <c r="G855" s="6">
        <v>17455</v>
      </c>
      <c r="H855" s="11" t="s">
        <v>1929</v>
      </c>
      <c r="I855" s="6">
        <v>23</v>
      </c>
      <c r="J855" s="6">
        <v>39</v>
      </c>
      <c r="K855" s="6">
        <v>72</v>
      </c>
      <c r="L855" s="6">
        <v>44</v>
      </c>
      <c r="M855" s="10">
        <f t="shared" si="39"/>
        <v>163.63636363636363</v>
      </c>
      <c r="N855" s="10">
        <f t="shared" si="40"/>
        <v>164</v>
      </c>
      <c r="O855" s="6" t="s">
        <v>21</v>
      </c>
      <c r="P855" s="6">
        <v>1</v>
      </c>
      <c r="Q855" s="6">
        <v>1</v>
      </c>
      <c r="R855" s="6">
        <v>1</v>
      </c>
      <c r="S855" s="6">
        <v>3</v>
      </c>
      <c r="T855" s="6" t="str">
        <f t="shared" si="41"/>
        <v>Tercera</v>
      </c>
    </row>
    <row r="856" spans="1:20">
      <c r="A856" s="7" t="s">
        <v>1843</v>
      </c>
      <c r="B856" s="7" t="s">
        <v>526</v>
      </c>
      <c r="C856" s="8">
        <v>1</v>
      </c>
      <c r="D856" s="7" t="s">
        <v>1843</v>
      </c>
      <c r="E856" s="7" t="s">
        <v>1930</v>
      </c>
      <c r="F856">
        <v>951</v>
      </c>
      <c r="G856" s="6">
        <v>26412</v>
      </c>
      <c r="H856" s="11" t="s">
        <v>1931</v>
      </c>
      <c r="I856" s="6">
        <v>34</v>
      </c>
      <c r="J856" s="6">
        <v>9</v>
      </c>
      <c r="K856" s="6">
        <v>8</v>
      </c>
      <c r="L856" s="6">
        <v>27</v>
      </c>
      <c r="M856" s="10">
        <f t="shared" si="39"/>
        <v>29.62962962962963</v>
      </c>
      <c r="N856" s="10">
        <f t="shared" si="40"/>
        <v>30</v>
      </c>
      <c r="O856" s="6" t="s">
        <v>70</v>
      </c>
      <c r="P856" s="6">
        <v>0</v>
      </c>
      <c r="Q856" s="6">
        <v>0</v>
      </c>
      <c r="R856" s="6">
        <v>0</v>
      </c>
      <c r="S856" s="6">
        <v>0</v>
      </c>
      <c r="T856" s="6" t="str">
        <f t="shared" si="41"/>
        <v>Octava</v>
      </c>
    </row>
    <row r="857" spans="1:20">
      <c r="A857" s="7" t="s">
        <v>1932</v>
      </c>
      <c r="B857" s="7" t="s">
        <v>434</v>
      </c>
      <c r="C857" s="8">
        <v>1</v>
      </c>
      <c r="D857" s="7" t="s">
        <v>1932</v>
      </c>
      <c r="E857" s="7" t="s">
        <v>1933</v>
      </c>
      <c r="F857">
        <v>2077</v>
      </c>
      <c r="G857" s="6">
        <v>25889</v>
      </c>
      <c r="H857" s="11" t="s">
        <v>1934</v>
      </c>
      <c r="I857" s="6">
        <v>16</v>
      </c>
      <c r="J857" s="6">
        <v>67</v>
      </c>
      <c r="K857" s="6">
        <v>215</v>
      </c>
      <c r="L857" s="6">
        <v>60</v>
      </c>
      <c r="M857" s="10">
        <f t="shared" si="39"/>
        <v>358.33333333333331</v>
      </c>
      <c r="N857" s="10">
        <f t="shared" si="40"/>
        <v>359</v>
      </c>
      <c r="O857" s="6" t="s">
        <v>19</v>
      </c>
      <c r="P857" s="6">
        <v>9</v>
      </c>
      <c r="Q857" s="6">
        <v>5</v>
      </c>
      <c r="R857" s="6">
        <v>13</v>
      </c>
      <c r="S857" s="6">
        <v>27</v>
      </c>
      <c r="T857" s="6" t="str">
        <f t="shared" si="41"/>
        <v>Segunda</v>
      </c>
    </row>
    <row r="858" spans="1:20">
      <c r="A858" s="7" t="s">
        <v>1932</v>
      </c>
      <c r="B858" s="7" t="s">
        <v>434</v>
      </c>
      <c r="C858" s="8">
        <v>1</v>
      </c>
      <c r="D858" s="7" t="s">
        <v>1932</v>
      </c>
      <c r="E858" s="7" t="s">
        <v>1935</v>
      </c>
      <c r="F858">
        <v>2034</v>
      </c>
      <c r="G858" s="6">
        <v>17665</v>
      </c>
      <c r="H858" s="11" t="s">
        <v>1936</v>
      </c>
      <c r="I858" s="6">
        <v>22</v>
      </c>
      <c r="J858" s="6">
        <v>35</v>
      </c>
      <c r="K858" s="6">
        <v>114</v>
      </c>
      <c r="L858" s="6">
        <v>62</v>
      </c>
      <c r="M858" s="10">
        <f t="shared" si="39"/>
        <v>183.87096774193549</v>
      </c>
      <c r="N858" s="10">
        <f t="shared" si="40"/>
        <v>184</v>
      </c>
      <c r="O858" s="6" t="s">
        <v>19</v>
      </c>
      <c r="P858" s="6">
        <v>5</v>
      </c>
      <c r="Q858" s="6">
        <v>5</v>
      </c>
      <c r="R858" s="6">
        <v>5</v>
      </c>
      <c r="S858" s="6">
        <v>15</v>
      </c>
      <c r="T858" s="6" t="str">
        <f t="shared" si="41"/>
        <v>Segunda</v>
      </c>
    </row>
    <row r="859" spans="1:20">
      <c r="A859" s="7" t="s">
        <v>1932</v>
      </c>
      <c r="B859" s="7" t="s">
        <v>434</v>
      </c>
      <c r="C859" s="8">
        <v>1</v>
      </c>
      <c r="D859" s="7" t="s">
        <v>1932</v>
      </c>
      <c r="E859" s="7" t="s">
        <v>1937</v>
      </c>
      <c r="F859">
        <v>2058</v>
      </c>
      <c r="G859" s="6">
        <v>24469</v>
      </c>
      <c r="H859" s="11" t="s">
        <v>1938</v>
      </c>
      <c r="I859" s="6">
        <v>14</v>
      </c>
      <c r="J859" s="6">
        <v>30</v>
      </c>
      <c r="K859" s="6">
        <v>106</v>
      </c>
      <c r="L859" s="6">
        <v>67</v>
      </c>
      <c r="M859" s="10">
        <f t="shared" si="39"/>
        <v>158.20895522388059</v>
      </c>
      <c r="N859" s="10">
        <f t="shared" si="40"/>
        <v>159</v>
      </c>
      <c r="O859" s="6" t="s">
        <v>19</v>
      </c>
      <c r="P859" s="6">
        <v>6</v>
      </c>
      <c r="Q859" s="6">
        <v>5</v>
      </c>
      <c r="R859" s="6">
        <v>3</v>
      </c>
      <c r="S859" s="6">
        <v>14</v>
      </c>
      <c r="T859" s="6" t="str">
        <f t="shared" si="41"/>
        <v>Segunda</v>
      </c>
    </row>
    <row r="860" spans="1:20">
      <c r="A860" s="7" t="s">
        <v>1932</v>
      </c>
      <c r="B860" s="7" t="s">
        <v>468</v>
      </c>
      <c r="C860" s="8">
        <v>1</v>
      </c>
      <c r="D860" s="7" t="s">
        <v>1932</v>
      </c>
      <c r="E860" s="7" t="s">
        <v>1939</v>
      </c>
      <c r="F860">
        <v>1425</v>
      </c>
      <c r="G860" s="6">
        <v>24832</v>
      </c>
      <c r="H860" s="11" t="s">
        <v>1940</v>
      </c>
      <c r="I860" s="6">
        <v>22</v>
      </c>
      <c r="J860" s="6">
        <v>22</v>
      </c>
      <c r="K860" s="6">
        <v>73</v>
      </c>
      <c r="L860" s="6">
        <v>62</v>
      </c>
      <c r="M860" s="10">
        <f t="shared" si="39"/>
        <v>117.74193548387096</v>
      </c>
      <c r="N860" s="10">
        <f t="shared" si="40"/>
        <v>118</v>
      </c>
      <c r="O860" s="6" t="s">
        <v>248</v>
      </c>
      <c r="P860" s="6">
        <v>5</v>
      </c>
      <c r="Q860" s="6">
        <v>3</v>
      </c>
      <c r="R860" s="6">
        <v>3</v>
      </c>
      <c r="S860" s="6">
        <v>11</v>
      </c>
      <c r="T860" s="6" t="str">
        <f t="shared" si="41"/>
        <v>Cuarta</v>
      </c>
    </row>
    <row r="861" spans="1:20">
      <c r="A861" s="7" t="s">
        <v>1932</v>
      </c>
      <c r="B861" s="7" t="s">
        <v>468</v>
      </c>
      <c r="C861" s="8">
        <v>1</v>
      </c>
      <c r="D861" s="7" t="s">
        <v>1932</v>
      </c>
      <c r="E861" s="7" t="s">
        <v>1941</v>
      </c>
      <c r="F861">
        <v>1494</v>
      </c>
      <c r="G861" s="6">
        <v>24470</v>
      </c>
      <c r="H861" s="11" t="s">
        <v>1942</v>
      </c>
      <c r="I861" s="6">
        <v>11</v>
      </c>
      <c r="J861" s="6">
        <v>20</v>
      </c>
      <c r="K861" s="6">
        <v>46</v>
      </c>
      <c r="L861" s="6">
        <v>52</v>
      </c>
      <c r="M861" s="10">
        <f t="shared" si="39"/>
        <v>88.461538461538467</v>
      </c>
      <c r="N861" s="10">
        <f t="shared" si="40"/>
        <v>89</v>
      </c>
      <c r="O861" s="6" t="s">
        <v>19</v>
      </c>
      <c r="P861" s="6">
        <v>4</v>
      </c>
      <c r="Q861" s="6">
        <v>1</v>
      </c>
      <c r="R861" s="6">
        <v>0</v>
      </c>
      <c r="S861" s="6">
        <v>5</v>
      </c>
      <c r="T861" s="6" t="str">
        <f t="shared" si="41"/>
        <v>Cuarta</v>
      </c>
    </row>
    <row r="862" spans="1:20">
      <c r="A862" s="7" t="s">
        <v>1932</v>
      </c>
      <c r="B862" s="7" t="s">
        <v>468</v>
      </c>
      <c r="C862" s="8">
        <v>1</v>
      </c>
      <c r="D862" s="7" t="s">
        <v>1932</v>
      </c>
      <c r="E862" s="7" t="s">
        <v>1943</v>
      </c>
      <c r="F862">
        <v>1500</v>
      </c>
      <c r="G862" s="6">
        <v>15244</v>
      </c>
      <c r="H862" s="11" t="s">
        <v>1944</v>
      </c>
      <c r="I862" s="6">
        <v>29</v>
      </c>
      <c r="J862" s="6">
        <v>36</v>
      </c>
      <c r="K862" s="6">
        <v>90</v>
      </c>
      <c r="L862" s="6">
        <v>55</v>
      </c>
      <c r="M862" s="10">
        <f t="shared" si="39"/>
        <v>163.63636363636363</v>
      </c>
      <c r="N862" s="10">
        <f t="shared" si="40"/>
        <v>164</v>
      </c>
      <c r="O862" s="6" t="s">
        <v>18</v>
      </c>
      <c r="P862" s="6">
        <v>2</v>
      </c>
      <c r="Q862" s="6">
        <v>2</v>
      </c>
      <c r="R862" s="6">
        <v>4</v>
      </c>
      <c r="S862" s="6">
        <v>8</v>
      </c>
      <c r="T862" s="6" t="str">
        <f t="shared" si="41"/>
        <v>Cuarta</v>
      </c>
    </row>
    <row r="863" spans="1:20">
      <c r="A863" s="7" t="s">
        <v>1932</v>
      </c>
      <c r="B863" s="7" t="s">
        <v>468</v>
      </c>
      <c r="C863" s="8">
        <v>1</v>
      </c>
      <c r="D863" s="7" t="s">
        <v>1932</v>
      </c>
      <c r="E863" s="7" t="s">
        <v>1945</v>
      </c>
      <c r="F863">
        <v>1485</v>
      </c>
      <c r="G863" s="6">
        <v>22052</v>
      </c>
      <c r="H863" s="11" t="s">
        <v>1946</v>
      </c>
      <c r="I863" s="6">
        <v>56</v>
      </c>
      <c r="J863" s="6">
        <v>7</v>
      </c>
      <c r="K863" s="6">
        <v>19</v>
      </c>
      <c r="L863" s="6">
        <v>58</v>
      </c>
      <c r="M863" s="10">
        <f t="shared" si="39"/>
        <v>32.758620689655174</v>
      </c>
      <c r="N863" s="10">
        <f t="shared" si="40"/>
        <v>33</v>
      </c>
      <c r="O863" s="6" t="s">
        <v>220</v>
      </c>
      <c r="P863" s="6">
        <v>0</v>
      </c>
      <c r="Q863" s="6">
        <v>1</v>
      </c>
      <c r="R863" s="6">
        <v>1</v>
      </c>
      <c r="S863" s="6">
        <v>2</v>
      </c>
      <c r="T863" s="6" t="str">
        <f t="shared" si="41"/>
        <v>Cuarta</v>
      </c>
    </row>
    <row r="864" spans="1:20">
      <c r="A864" s="7" t="s">
        <v>1932</v>
      </c>
      <c r="B864" s="7" t="s">
        <v>468</v>
      </c>
      <c r="C864" s="8">
        <v>1</v>
      </c>
      <c r="D864" s="7" t="s">
        <v>1932</v>
      </c>
      <c r="E864" s="7" t="s">
        <v>1947</v>
      </c>
      <c r="F864">
        <v>1339</v>
      </c>
      <c r="G864" s="6">
        <v>22041</v>
      </c>
      <c r="H864" s="11" t="s">
        <v>1948</v>
      </c>
      <c r="I864" s="6">
        <v>18</v>
      </c>
      <c r="J864" s="6">
        <v>9</v>
      </c>
      <c r="K864" s="6">
        <v>26</v>
      </c>
      <c r="L864" s="6">
        <v>62</v>
      </c>
      <c r="M864" s="10">
        <f t="shared" si="39"/>
        <v>41.935483870967744</v>
      </c>
      <c r="N864" s="10">
        <f t="shared" si="40"/>
        <v>42</v>
      </c>
      <c r="O864" s="6" t="s">
        <v>179</v>
      </c>
      <c r="P864" s="6">
        <v>0</v>
      </c>
      <c r="Q864" s="6">
        <v>0</v>
      </c>
      <c r="R864" s="6">
        <v>3</v>
      </c>
      <c r="S864" s="6">
        <v>3</v>
      </c>
      <c r="T864" s="6" t="str">
        <f t="shared" si="41"/>
        <v>Quinta</v>
      </c>
    </row>
    <row r="865" spans="1:20">
      <c r="A865" s="7" t="s">
        <v>1932</v>
      </c>
      <c r="B865" s="7" t="s">
        <v>496</v>
      </c>
      <c r="C865" s="8">
        <v>1</v>
      </c>
      <c r="D865" s="7" t="s">
        <v>1932</v>
      </c>
      <c r="E865" s="7" t="s">
        <v>1949</v>
      </c>
      <c r="F865">
        <v>1308</v>
      </c>
      <c r="G865" s="6">
        <v>28292</v>
      </c>
      <c r="H865" s="11" t="s">
        <v>1950</v>
      </c>
      <c r="I865" s="6">
        <v>16</v>
      </c>
      <c r="J865" s="6">
        <v>4</v>
      </c>
      <c r="K865" s="6">
        <v>21</v>
      </c>
      <c r="L865" s="6">
        <v>81</v>
      </c>
      <c r="M865" s="10">
        <f t="shared" si="39"/>
        <v>25.925925925925927</v>
      </c>
      <c r="N865" s="10">
        <f t="shared" si="40"/>
        <v>26</v>
      </c>
      <c r="O865" s="6" t="s">
        <v>248</v>
      </c>
      <c r="P865" s="6">
        <v>3</v>
      </c>
      <c r="Q865" s="6">
        <v>0</v>
      </c>
      <c r="R865" s="6">
        <v>0</v>
      </c>
      <c r="S865" s="6">
        <v>3</v>
      </c>
      <c r="T865" s="6" t="str">
        <f t="shared" si="41"/>
        <v>Quinta</v>
      </c>
    </row>
    <row r="866" spans="1:20">
      <c r="A866" s="7" t="s">
        <v>1932</v>
      </c>
      <c r="B866" s="7" t="s">
        <v>496</v>
      </c>
      <c r="C866" s="8">
        <v>1</v>
      </c>
      <c r="D866" s="7" t="s">
        <v>1932</v>
      </c>
      <c r="E866" s="7" t="s">
        <v>1951</v>
      </c>
      <c r="F866">
        <v>1229</v>
      </c>
      <c r="G866" s="6">
        <v>26222</v>
      </c>
      <c r="H866" s="11" t="s">
        <v>1952</v>
      </c>
      <c r="I866" s="6">
        <v>12</v>
      </c>
      <c r="J866" s="6">
        <v>9</v>
      </c>
      <c r="K866" s="6">
        <v>25</v>
      </c>
      <c r="L866" s="6">
        <v>61</v>
      </c>
      <c r="M866" s="10">
        <f t="shared" si="39"/>
        <v>40.983606557377051</v>
      </c>
      <c r="N866" s="10">
        <f t="shared" si="40"/>
        <v>41</v>
      </c>
      <c r="O866" s="6" t="s">
        <v>19</v>
      </c>
      <c r="P866" s="6">
        <v>2</v>
      </c>
      <c r="Q866" s="6">
        <v>1</v>
      </c>
      <c r="R866" s="6">
        <v>0</v>
      </c>
      <c r="S866" s="6">
        <v>3</v>
      </c>
      <c r="T866" s="6" t="str">
        <f t="shared" si="41"/>
        <v>Quinta</v>
      </c>
    </row>
    <row r="867" spans="1:20">
      <c r="A867" s="7" t="s">
        <v>1932</v>
      </c>
      <c r="B867" s="7" t="s">
        <v>496</v>
      </c>
      <c r="C867" s="8">
        <v>1</v>
      </c>
      <c r="D867" s="7" t="s">
        <v>1932</v>
      </c>
      <c r="E867" s="7" t="s">
        <v>1953</v>
      </c>
      <c r="F867">
        <v>1249</v>
      </c>
      <c r="G867" s="6">
        <v>23373</v>
      </c>
      <c r="H867" s="11" t="s">
        <v>1954</v>
      </c>
      <c r="I867" s="6">
        <v>17</v>
      </c>
      <c r="J867" s="6">
        <v>46</v>
      </c>
      <c r="K867" s="6">
        <v>123</v>
      </c>
      <c r="L867" s="6">
        <v>60</v>
      </c>
      <c r="M867" s="10">
        <f t="shared" si="39"/>
        <v>205</v>
      </c>
      <c r="N867" s="10">
        <f t="shared" si="40"/>
        <v>205</v>
      </c>
      <c r="O867" s="6" t="s">
        <v>177</v>
      </c>
      <c r="P867" s="6">
        <v>7</v>
      </c>
      <c r="Q867" s="6">
        <v>3</v>
      </c>
      <c r="R867" s="6">
        <v>3</v>
      </c>
      <c r="S867" s="6">
        <v>13</v>
      </c>
      <c r="T867" s="6" t="str">
        <f t="shared" si="41"/>
        <v>Quinta</v>
      </c>
    </row>
    <row r="868" spans="1:20">
      <c r="A868" s="7" t="s">
        <v>1932</v>
      </c>
      <c r="B868" s="7" t="s">
        <v>496</v>
      </c>
      <c r="C868" s="8">
        <v>1</v>
      </c>
      <c r="D868" s="7" t="s">
        <v>1932</v>
      </c>
      <c r="E868" s="7" t="s">
        <v>1955</v>
      </c>
      <c r="F868">
        <v>1226</v>
      </c>
      <c r="G868" s="6">
        <v>6557</v>
      </c>
      <c r="H868" s="11" t="s">
        <v>1956</v>
      </c>
      <c r="I868" s="6">
        <v>50</v>
      </c>
      <c r="J868" s="6">
        <v>27</v>
      </c>
      <c r="K868" s="6">
        <v>79</v>
      </c>
      <c r="L868" s="6">
        <v>56</v>
      </c>
      <c r="M868" s="10">
        <f t="shared" si="39"/>
        <v>141.07142857142858</v>
      </c>
      <c r="N868" s="10">
        <f t="shared" si="40"/>
        <v>142</v>
      </c>
      <c r="O868" s="6" t="s">
        <v>249</v>
      </c>
      <c r="P868" s="6">
        <v>4</v>
      </c>
      <c r="Q868" s="6">
        <v>1</v>
      </c>
      <c r="R868" s="6">
        <v>4</v>
      </c>
      <c r="S868" s="6">
        <v>9</v>
      </c>
      <c r="T868" s="6" t="str">
        <f t="shared" si="41"/>
        <v>Quinta</v>
      </c>
    </row>
    <row r="869" spans="1:20">
      <c r="A869" s="7" t="s">
        <v>1932</v>
      </c>
      <c r="B869" s="7" t="s">
        <v>496</v>
      </c>
      <c r="C869" s="8">
        <v>1</v>
      </c>
      <c r="D869" s="7" t="s">
        <v>1932</v>
      </c>
      <c r="E869" s="7" t="s">
        <v>1957</v>
      </c>
      <c r="F869">
        <v>1166</v>
      </c>
      <c r="G869" s="6">
        <v>24698</v>
      </c>
      <c r="H869" s="11" t="s">
        <v>1958</v>
      </c>
      <c r="I869" s="6">
        <v>16</v>
      </c>
      <c r="J869" s="6">
        <v>24</v>
      </c>
      <c r="K869" s="6">
        <v>61</v>
      </c>
      <c r="L869" s="6">
        <v>52</v>
      </c>
      <c r="M869" s="10">
        <f t="shared" si="39"/>
        <v>117.30769230769231</v>
      </c>
      <c r="N869" s="10">
        <f t="shared" si="40"/>
        <v>118</v>
      </c>
      <c r="O869" s="6" t="s">
        <v>250</v>
      </c>
      <c r="P869" s="6">
        <v>1</v>
      </c>
      <c r="Q869" s="6">
        <v>3</v>
      </c>
      <c r="R869" s="6">
        <v>3</v>
      </c>
      <c r="S869" s="6">
        <v>7</v>
      </c>
      <c r="T869" s="6" t="str">
        <f t="shared" si="41"/>
        <v>Sexta</v>
      </c>
    </row>
    <row r="870" spans="1:20">
      <c r="A870" s="7" t="s">
        <v>1959</v>
      </c>
      <c r="B870" s="7" t="s">
        <v>421</v>
      </c>
      <c r="C870" s="8">
        <v>1</v>
      </c>
      <c r="D870" s="7" t="s">
        <v>1959</v>
      </c>
      <c r="E870" s="7" t="s">
        <v>1960</v>
      </c>
      <c r="F870">
        <v>2931</v>
      </c>
      <c r="G870" s="6">
        <v>4262</v>
      </c>
      <c r="H870" s="11" t="s">
        <v>1961</v>
      </c>
      <c r="I870" s="6">
        <v>31</v>
      </c>
      <c r="J870" s="6">
        <v>69</v>
      </c>
      <c r="K870" s="6">
        <v>350</v>
      </c>
      <c r="L870" s="6">
        <v>93</v>
      </c>
      <c r="M870" s="10">
        <f t="shared" si="39"/>
        <v>376.3440860215054</v>
      </c>
      <c r="N870" s="10">
        <f t="shared" si="40"/>
        <v>377</v>
      </c>
      <c r="O870" s="6" t="s">
        <v>251</v>
      </c>
      <c r="P870" s="6">
        <v>45</v>
      </c>
      <c r="Q870" s="6">
        <v>14</v>
      </c>
      <c r="R870" s="6">
        <v>3</v>
      </c>
      <c r="S870" s="6">
        <v>62</v>
      </c>
      <c r="T870" s="6" t="str">
        <f t="shared" si="41"/>
        <v>Primera</v>
      </c>
    </row>
    <row r="871" spans="1:20">
      <c r="A871" s="7" t="s">
        <v>1959</v>
      </c>
      <c r="B871" s="7" t="s">
        <v>421</v>
      </c>
      <c r="C871" s="8">
        <v>1</v>
      </c>
      <c r="D871" s="7" t="s">
        <v>1959</v>
      </c>
      <c r="E871" s="7" t="s">
        <v>1962</v>
      </c>
      <c r="F871">
        <v>2716</v>
      </c>
      <c r="G871" s="6">
        <v>7347</v>
      </c>
      <c r="H871" s="11" t="s">
        <v>1963</v>
      </c>
      <c r="I871" s="6">
        <v>25</v>
      </c>
      <c r="J871" s="6">
        <v>142</v>
      </c>
      <c r="K871" s="6">
        <v>615</v>
      </c>
      <c r="L871" s="6">
        <v>79</v>
      </c>
      <c r="M871" s="10">
        <f t="shared" si="39"/>
        <v>778.48101265822788</v>
      </c>
      <c r="N871" s="10">
        <f t="shared" si="40"/>
        <v>779</v>
      </c>
      <c r="O871" s="6" t="s">
        <v>252</v>
      </c>
      <c r="P871" s="6">
        <v>50</v>
      </c>
      <c r="Q871" s="6">
        <v>18</v>
      </c>
      <c r="R871" s="6">
        <v>27</v>
      </c>
      <c r="S871" s="6">
        <v>95</v>
      </c>
      <c r="T871" s="6" t="str">
        <f t="shared" si="41"/>
        <v>Primera</v>
      </c>
    </row>
    <row r="872" spans="1:20">
      <c r="A872" s="7" t="s">
        <v>1959</v>
      </c>
      <c r="B872" s="7" t="s">
        <v>421</v>
      </c>
      <c r="C872" s="8">
        <v>1</v>
      </c>
      <c r="D872" s="7" t="s">
        <v>1959</v>
      </c>
      <c r="E872" s="7" t="s">
        <v>1964</v>
      </c>
      <c r="F872">
        <v>2329</v>
      </c>
      <c r="G872" s="6">
        <v>19937</v>
      </c>
      <c r="H872" s="11" t="s">
        <v>1965</v>
      </c>
      <c r="I872" s="6">
        <v>16</v>
      </c>
      <c r="J872" s="6">
        <v>89</v>
      </c>
      <c r="K872" s="6">
        <v>328</v>
      </c>
      <c r="L872" s="6">
        <v>61</v>
      </c>
      <c r="M872" s="10">
        <f t="shared" si="39"/>
        <v>537.70491803278685</v>
      </c>
      <c r="N872" s="10">
        <f t="shared" si="40"/>
        <v>538</v>
      </c>
      <c r="O872" s="6" t="s">
        <v>9</v>
      </c>
      <c r="P872" s="6">
        <v>14</v>
      </c>
      <c r="Q872" s="6">
        <v>8</v>
      </c>
      <c r="R872" s="6">
        <v>21</v>
      </c>
      <c r="S872" s="6">
        <v>43</v>
      </c>
      <c r="T872" s="6" t="str">
        <f t="shared" si="41"/>
        <v>Primera</v>
      </c>
    </row>
    <row r="873" spans="1:20">
      <c r="A873" s="7" t="s">
        <v>1959</v>
      </c>
      <c r="B873" s="7" t="s">
        <v>421</v>
      </c>
      <c r="C873" s="8">
        <v>1</v>
      </c>
      <c r="D873" s="7" t="s">
        <v>1959</v>
      </c>
      <c r="E873" s="7" t="s">
        <v>1966</v>
      </c>
      <c r="F873">
        <v>2198</v>
      </c>
      <c r="G873" s="6">
        <v>25054</v>
      </c>
      <c r="H873" s="11" t="s">
        <v>1967</v>
      </c>
      <c r="I873" s="6">
        <v>16</v>
      </c>
      <c r="J873" s="6">
        <v>1</v>
      </c>
      <c r="K873" s="6">
        <v>4</v>
      </c>
      <c r="L873" s="6">
        <v>67</v>
      </c>
      <c r="M873" s="10">
        <f t="shared" si="39"/>
        <v>5.9701492537313436</v>
      </c>
      <c r="N873" s="10">
        <f t="shared" si="40"/>
        <v>6</v>
      </c>
      <c r="O873" s="6" t="s">
        <v>253</v>
      </c>
      <c r="P873" s="6">
        <v>0</v>
      </c>
      <c r="Q873" s="6">
        <v>0</v>
      </c>
      <c r="R873" s="6">
        <v>1</v>
      </c>
      <c r="S873" s="6">
        <v>1</v>
      </c>
      <c r="T873" s="6" t="str">
        <f t="shared" si="41"/>
        <v>Primera</v>
      </c>
    </row>
    <row r="874" spans="1:20">
      <c r="A874" s="7" t="s">
        <v>1959</v>
      </c>
      <c r="B874" s="7" t="s">
        <v>421</v>
      </c>
      <c r="C874" s="8">
        <v>1</v>
      </c>
      <c r="D874" s="7" t="s">
        <v>1959</v>
      </c>
      <c r="E874" s="7" t="s">
        <v>1968</v>
      </c>
      <c r="F874">
        <v>2485</v>
      </c>
      <c r="G874" s="6">
        <v>3457</v>
      </c>
      <c r="H874" s="11" t="s">
        <v>1969</v>
      </c>
      <c r="I874" s="6">
        <v>27</v>
      </c>
      <c r="J874" s="6">
        <v>78</v>
      </c>
      <c r="K874" s="6">
        <v>242</v>
      </c>
      <c r="L874" s="6">
        <v>59</v>
      </c>
      <c r="M874" s="10">
        <f t="shared" si="39"/>
        <v>410.16949152542372</v>
      </c>
      <c r="N874" s="10">
        <f t="shared" si="40"/>
        <v>411</v>
      </c>
      <c r="O874" s="6" t="s">
        <v>251</v>
      </c>
      <c r="P874" s="6">
        <v>11</v>
      </c>
      <c r="Q874" s="6">
        <v>8</v>
      </c>
      <c r="R874" s="6">
        <v>11</v>
      </c>
      <c r="S874" s="6">
        <v>30</v>
      </c>
      <c r="T874" s="6" t="str">
        <f t="shared" si="41"/>
        <v>Primera</v>
      </c>
    </row>
    <row r="875" spans="1:20">
      <c r="A875" s="7" t="s">
        <v>1959</v>
      </c>
      <c r="B875" s="7" t="s">
        <v>421</v>
      </c>
      <c r="C875" s="8">
        <v>1</v>
      </c>
      <c r="D875" s="7" t="s">
        <v>1959</v>
      </c>
      <c r="E875" s="7" t="s">
        <v>1970</v>
      </c>
      <c r="F875">
        <v>1393</v>
      </c>
      <c r="G875" s="6">
        <v>14188</v>
      </c>
      <c r="H875" s="11" t="s">
        <v>1971</v>
      </c>
      <c r="I875" s="6">
        <v>24</v>
      </c>
      <c r="J875" s="6">
        <v>3</v>
      </c>
      <c r="K875" s="6">
        <v>2</v>
      </c>
      <c r="L875" s="6">
        <v>20</v>
      </c>
      <c r="M875" s="10">
        <f t="shared" si="39"/>
        <v>10</v>
      </c>
      <c r="N875" s="10">
        <f t="shared" si="40"/>
        <v>10</v>
      </c>
      <c r="O875" s="6" t="s">
        <v>254</v>
      </c>
      <c r="P875" s="6">
        <v>0</v>
      </c>
      <c r="Q875" s="6">
        <v>0</v>
      </c>
      <c r="R875" s="6">
        <v>0</v>
      </c>
      <c r="S875" s="6">
        <v>0</v>
      </c>
      <c r="T875" s="6" t="str">
        <f t="shared" si="41"/>
        <v>Quinta</v>
      </c>
    </row>
    <row r="876" spans="1:20">
      <c r="A876" s="7" t="s">
        <v>1959</v>
      </c>
      <c r="B876" s="7" t="s">
        <v>434</v>
      </c>
      <c r="C876" s="8">
        <v>1</v>
      </c>
      <c r="D876" s="7" t="s">
        <v>1959</v>
      </c>
      <c r="E876" s="7" t="s">
        <v>1972</v>
      </c>
      <c r="F876">
        <v>1067</v>
      </c>
      <c r="G876" s="6">
        <v>28433</v>
      </c>
      <c r="H876" s="11" t="s">
        <v>1973</v>
      </c>
      <c r="I876" s="6">
        <v>29</v>
      </c>
      <c r="J876" s="6">
        <v>7</v>
      </c>
      <c r="K876" s="6">
        <v>14</v>
      </c>
      <c r="L876" s="6">
        <v>45</v>
      </c>
      <c r="M876" s="10">
        <f t="shared" si="39"/>
        <v>31.111111111111111</v>
      </c>
      <c r="N876" s="10">
        <f t="shared" si="40"/>
        <v>32</v>
      </c>
      <c r="O876" s="6" t="s">
        <v>255</v>
      </c>
      <c r="P876" s="6">
        <v>0</v>
      </c>
      <c r="Q876" s="6">
        <v>0</v>
      </c>
      <c r="R876" s="6">
        <v>2</v>
      </c>
      <c r="S876" s="6">
        <v>2</v>
      </c>
      <c r="T876" s="6" t="str">
        <f t="shared" si="41"/>
        <v>Septima</v>
      </c>
    </row>
    <row r="877" spans="1:20">
      <c r="A877" s="7" t="s">
        <v>1959</v>
      </c>
      <c r="B877" s="7" t="s">
        <v>434</v>
      </c>
      <c r="C877" s="8">
        <v>1</v>
      </c>
      <c r="D877" s="7" t="s">
        <v>1959</v>
      </c>
      <c r="E877" s="7" t="s">
        <v>1970</v>
      </c>
      <c r="F877">
        <v>1393</v>
      </c>
      <c r="G877" s="6">
        <v>14188</v>
      </c>
      <c r="H877" s="11" t="s">
        <v>1971</v>
      </c>
      <c r="I877" s="6">
        <v>24</v>
      </c>
      <c r="J877" s="6">
        <v>3</v>
      </c>
      <c r="K877" s="6">
        <v>2</v>
      </c>
      <c r="L877" s="6">
        <v>20</v>
      </c>
      <c r="M877" s="10">
        <f t="shared" si="39"/>
        <v>10</v>
      </c>
      <c r="N877" s="10">
        <f t="shared" si="40"/>
        <v>10</v>
      </c>
      <c r="O877" s="6" t="s">
        <v>254</v>
      </c>
      <c r="P877" s="6">
        <v>0</v>
      </c>
      <c r="Q877" s="6">
        <v>0</v>
      </c>
      <c r="R877" s="6">
        <v>0</v>
      </c>
      <c r="S877" s="6">
        <v>0</v>
      </c>
      <c r="T877" s="6" t="str">
        <f t="shared" si="41"/>
        <v>Quinta</v>
      </c>
    </row>
    <row r="878" spans="1:20">
      <c r="A878" s="7" t="s">
        <v>1959</v>
      </c>
      <c r="B878" s="7" t="s">
        <v>434</v>
      </c>
      <c r="C878" s="8">
        <v>1</v>
      </c>
      <c r="D878" s="7" t="s">
        <v>1959</v>
      </c>
      <c r="E878" s="7" t="s">
        <v>1974</v>
      </c>
      <c r="F878">
        <v>2140</v>
      </c>
      <c r="G878" s="6">
        <v>19172</v>
      </c>
      <c r="H878" s="11" t="s">
        <v>1975</v>
      </c>
      <c r="I878" s="6">
        <v>19</v>
      </c>
      <c r="J878" s="6">
        <v>21</v>
      </c>
      <c r="K878" s="6">
        <v>78</v>
      </c>
      <c r="L878" s="6">
        <v>64</v>
      </c>
      <c r="M878" s="10">
        <f t="shared" si="39"/>
        <v>121.875</v>
      </c>
      <c r="N878" s="10">
        <f t="shared" si="40"/>
        <v>122</v>
      </c>
      <c r="O878" s="6" t="s">
        <v>41</v>
      </c>
      <c r="P878" s="6">
        <v>5</v>
      </c>
      <c r="Q878" s="6">
        <v>2</v>
      </c>
      <c r="R878" s="6">
        <v>7</v>
      </c>
      <c r="S878" s="6">
        <v>14</v>
      </c>
      <c r="T878" s="6" t="str">
        <f t="shared" si="41"/>
        <v>Primera</v>
      </c>
    </row>
    <row r="879" spans="1:20">
      <c r="A879" s="7" t="s">
        <v>1959</v>
      </c>
      <c r="B879" s="7" t="s">
        <v>434</v>
      </c>
      <c r="C879" s="8">
        <v>1</v>
      </c>
      <c r="D879" s="7" t="s">
        <v>1959</v>
      </c>
      <c r="E879" s="7" t="s">
        <v>1976</v>
      </c>
      <c r="F879">
        <v>869</v>
      </c>
      <c r="G879" s="6">
        <v>29508</v>
      </c>
      <c r="H879" s="11" t="s">
        <v>1977</v>
      </c>
      <c r="I879" s="6">
        <v>24</v>
      </c>
      <c r="J879" s="6">
        <v>2</v>
      </c>
      <c r="K879" s="6">
        <v>0</v>
      </c>
      <c r="L879" s="6">
        <v>0</v>
      </c>
      <c r="M879" s="10">
        <f t="shared" si="39"/>
        <v>0</v>
      </c>
      <c r="N879" s="10">
        <f t="shared" si="40"/>
        <v>0</v>
      </c>
      <c r="O879" s="6" t="s">
        <v>19</v>
      </c>
      <c r="P879" s="6">
        <v>0</v>
      </c>
      <c r="Q879" s="6">
        <v>0</v>
      </c>
      <c r="R879" s="6">
        <v>0</v>
      </c>
      <c r="S879" s="6">
        <v>0</v>
      </c>
      <c r="T879" s="6" t="str">
        <f t="shared" si="41"/>
        <v>Octava</v>
      </c>
    </row>
    <row r="880" spans="1:20">
      <c r="A880" s="7" t="s">
        <v>1959</v>
      </c>
      <c r="B880" s="7" t="s">
        <v>434</v>
      </c>
      <c r="C880" s="8">
        <v>1</v>
      </c>
      <c r="D880" s="7" t="s">
        <v>1959</v>
      </c>
      <c r="E880" s="7" t="s">
        <v>1978</v>
      </c>
      <c r="F880">
        <v>2110</v>
      </c>
      <c r="G880" s="6">
        <v>21954</v>
      </c>
      <c r="H880" s="11" t="s">
        <v>1979</v>
      </c>
      <c r="I880" s="6">
        <v>30</v>
      </c>
      <c r="J880" s="6">
        <v>20</v>
      </c>
      <c r="K880" s="6">
        <v>99</v>
      </c>
      <c r="L880" s="6">
        <v>85</v>
      </c>
      <c r="M880" s="10">
        <f t="shared" si="39"/>
        <v>116.47058823529412</v>
      </c>
      <c r="N880" s="10">
        <f t="shared" si="40"/>
        <v>117</v>
      </c>
      <c r="O880" s="6" t="s">
        <v>256</v>
      </c>
      <c r="P880" s="6">
        <v>10</v>
      </c>
      <c r="Q880" s="6">
        <v>5</v>
      </c>
      <c r="R880" s="6">
        <v>6</v>
      </c>
      <c r="S880" s="6">
        <v>21</v>
      </c>
      <c r="T880" s="6" t="str">
        <f t="shared" si="41"/>
        <v>Primera</v>
      </c>
    </row>
    <row r="881" spans="1:20">
      <c r="A881" s="7" t="s">
        <v>1959</v>
      </c>
      <c r="B881" s="7" t="s">
        <v>434</v>
      </c>
      <c r="C881" s="8">
        <v>1</v>
      </c>
      <c r="D881" s="7" t="s">
        <v>1959</v>
      </c>
      <c r="E881" s="7" t="s">
        <v>1980</v>
      </c>
      <c r="F881">
        <v>2205</v>
      </c>
      <c r="G881" s="6">
        <v>26692</v>
      </c>
      <c r="H881" s="11" t="s">
        <v>1981</v>
      </c>
      <c r="I881" s="6">
        <v>21</v>
      </c>
      <c r="J881" s="6">
        <v>1</v>
      </c>
      <c r="K881" s="6">
        <v>2</v>
      </c>
      <c r="L881" s="6">
        <v>50</v>
      </c>
      <c r="M881" s="10">
        <f t="shared" si="39"/>
        <v>4</v>
      </c>
      <c r="N881" s="10">
        <f t="shared" si="40"/>
        <v>4</v>
      </c>
      <c r="O881" s="6" t="s">
        <v>257</v>
      </c>
      <c r="P881" s="6">
        <v>0</v>
      </c>
      <c r="Q881" s="6">
        <v>0</v>
      </c>
      <c r="R881" s="6">
        <v>0</v>
      </c>
      <c r="S881" s="6">
        <v>0</v>
      </c>
      <c r="T881" s="6" t="str">
        <f t="shared" si="41"/>
        <v>Primera</v>
      </c>
    </row>
    <row r="882" spans="1:20">
      <c r="A882" s="7" t="s">
        <v>1959</v>
      </c>
      <c r="B882" s="7" t="s">
        <v>451</v>
      </c>
      <c r="C882" s="8">
        <v>1</v>
      </c>
      <c r="D882" s="7" t="s">
        <v>1982</v>
      </c>
      <c r="E882" s="7" t="s">
        <v>1978</v>
      </c>
      <c r="F882">
        <v>2110</v>
      </c>
      <c r="G882" s="6">
        <v>21954</v>
      </c>
      <c r="H882" s="11" t="s">
        <v>1979</v>
      </c>
      <c r="I882" s="6">
        <v>30</v>
      </c>
      <c r="J882" s="6">
        <v>20</v>
      </c>
      <c r="K882" s="6">
        <v>99</v>
      </c>
      <c r="L882" s="6">
        <v>85</v>
      </c>
      <c r="M882" s="10">
        <f t="shared" si="39"/>
        <v>116.47058823529412</v>
      </c>
      <c r="N882" s="10">
        <f t="shared" si="40"/>
        <v>117</v>
      </c>
      <c r="O882" s="6" t="s">
        <v>256</v>
      </c>
      <c r="P882" s="6">
        <v>10</v>
      </c>
      <c r="Q882" s="6">
        <v>5</v>
      </c>
      <c r="R882" s="6">
        <v>6</v>
      </c>
      <c r="S882" s="6">
        <v>21</v>
      </c>
      <c r="T882" s="6" t="str">
        <f t="shared" si="41"/>
        <v>Primera</v>
      </c>
    </row>
    <row r="883" spans="1:20">
      <c r="A883" s="7" t="s">
        <v>1959</v>
      </c>
      <c r="B883" s="7" t="s">
        <v>451</v>
      </c>
      <c r="C883" s="8">
        <v>1</v>
      </c>
      <c r="D883" s="7" t="s">
        <v>1982</v>
      </c>
      <c r="E883" s="7" t="s">
        <v>1983</v>
      </c>
      <c r="F883">
        <v>2198</v>
      </c>
      <c r="G883" s="6">
        <v>8138</v>
      </c>
      <c r="H883" s="11" t="s">
        <v>1984</v>
      </c>
      <c r="I883" s="6">
        <v>26</v>
      </c>
      <c r="J883" s="6">
        <v>213</v>
      </c>
      <c r="K883" s="6">
        <v>671</v>
      </c>
      <c r="L883" s="6">
        <v>62</v>
      </c>
      <c r="M883" s="10">
        <f t="shared" si="39"/>
        <v>1082.258064516129</v>
      </c>
      <c r="N883" s="10">
        <f t="shared" si="40"/>
        <v>1083</v>
      </c>
      <c r="O883" s="6" t="s">
        <v>105</v>
      </c>
      <c r="P883" s="6">
        <v>34</v>
      </c>
      <c r="Q883" s="6">
        <v>21</v>
      </c>
      <c r="R883" s="6">
        <v>39</v>
      </c>
      <c r="S883" s="6">
        <v>94</v>
      </c>
      <c r="T883" s="6" t="str">
        <f t="shared" si="41"/>
        <v>Primera</v>
      </c>
    </row>
    <row r="884" spans="1:20">
      <c r="A884" s="7" t="s">
        <v>1959</v>
      </c>
      <c r="B884" s="7" t="s">
        <v>451</v>
      </c>
      <c r="C884" s="8">
        <v>1</v>
      </c>
      <c r="D884" s="7" t="s">
        <v>1982</v>
      </c>
      <c r="E884" s="7" t="s">
        <v>1985</v>
      </c>
      <c r="F884">
        <v>1861</v>
      </c>
      <c r="G884" s="6">
        <v>17695</v>
      </c>
      <c r="H884" s="11" t="s">
        <v>1986</v>
      </c>
      <c r="I884" s="6">
        <v>18</v>
      </c>
      <c r="J884" s="6">
        <v>28</v>
      </c>
      <c r="K884" s="6">
        <v>76</v>
      </c>
      <c r="L884" s="6">
        <v>61</v>
      </c>
      <c r="M884" s="10">
        <f t="shared" si="39"/>
        <v>124.59016393442623</v>
      </c>
      <c r="N884" s="10">
        <f t="shared" si="40"/>
        <v>125</v>
      </c>
      <c r="O884" s="6" t="s">
        <v>258</v>
      </c>
      <c r="P884" s="6">
        <v>5</v>
      </c>
      <c r="Q884" s="6">
        <v>1</v>
      </c>
      <c r="R884" s="6">
        <v>4</v>
      </c>
      <c r="S884" s="6">
        <v>10</v>
      </c>
      <c r="T884" s="6" t="str">
        <f t="shared" si="41"/>
        <v>Segunda</v>
      </c>
    </row>
    <row r="885" spans="1:20">
      <c r="A885" s="7" t="s">
        <v>1959</v>
      </c>
      <c r="B885" s="7" t="s">
        <v>451</v>
      </c>
      <c r="C885" s="8">
        <v>1</v>
      </c>
      <c r="D885" s="7" t="s">
        <v>1982</v>
      </c>
      <c r="E885" s="7" t="s">
        <v>1987</v>
      </c>
      <c r="F885">
        <v>2118</v>
      </c>
      <c r="G885" s="6">
        <v>2775</v>
      </c>
      <c r="H885" s="11" t="s">
        <v>1988</v>
      </c>
      <c r="I885" s="6">
        <v>40</v>
      </c>
      <c r="J885" s="6">
        <v>183</v>
      </c>
      <c r="K885" s="6">
        <v>523</v>
      </c>
      <c r="L885" s="6">
        <v>59</v>
      </c>
      <c r="M885" s="10">
        <f t="shared" si="39"/>
        <v>886.4406779661017</v>
      </c>
      <c r="N885" s="10">
        <f t="shared" si="40"/>
        <v>887</v>
      </c>
      <c r="O885" s="6" t="s">
        <v>19</v>
      </c>
      <c r="P885" s="6">
        <v>16</v>
      </c>
      <c r="Q885" s="6">
        <v>21</v>
      </c>
      <c r="R885" s="6">
        <v>26</v>
      </c>
      <c r="S885" s="6">
        <v>63</v>
      </c>
      <c r="T885" s="6" t="str">
        <f t="shared" si="41"/>
        <v>Primera</v>
      </c>
    </row>
    <row r="886" spans="1:20">
      <c r="A886" s="7" t="s">
        <v>1959</v>
      </c>
      <c r="B886" s="7" t="s">
        <v>451</v>
      </c>
      <c r="C886" s="8">
        <v>1</v>
      </c>
      <c r="D886" s="7" t="s">
        <v>1982</v>
      </c>
      <c r="E886" s="7" t="s">
        <v>1989</v>
      </c>
      <c r="F886">
        <v>1976</v>
      </c>
      <c r="G886" s="6">
        <v>21620</v>
      </c>
      <c r="H886" s="11" t="s">
        <v>1990</v>
      </c>
      <c r="I886" s="6">
        <v>27</v>
      </c>
      <c r="J886" s="6">
        <v>62</v>
      </c>
      <c r="K886" s="6">
        <v>184</v>
      </c>
      <c r="L886" s="6">
        <v>62</v>
      </c>
      <c r="M886" s="10">
        <f t="shared" si="39"/>
        <v>296.77419354838707</v>
      </c>
      <c r="N886" s="10">
        <f t="shared" si="40"/>
        <v>297</v>
      </c>
      <c r="O886" s="6" t="s">
        <v>18</v>
      </c>
      <c r="P886" s="6">
        <v>7</v>
      </c>
      <c r="Q886" s="6">
        <v>9</v>
      </c>
      <c r="R886" s="6">
        <v>10</v>
      </c>
      <c r="S886" s="6">
        <v>26</v>
      </c>
      <c r="T886" s="6" t="str">
        <f t="shared" si="41"/>
        <v>Segunda</v>
      </c>
    </row>
    <row r="887" spans="1:20">
      <c r="A887" s="7" t="s">
        <v>1959</v>
      </c>
      <c r="B887" s="7" t="s">
        <v>451</v>
      </c>
      <c r="C887" s="8">
        <v>1</v>
      </c>
      <c r="D887" s="7" t="s">
        <v>1982</v>
      </c>
      <c r="E887" s="7" t="s">
        <v>1991</v>
      </c>
      <c r="F887">
        <v>1000</v>
      </c>
      <c r="G887" s="6">
        <v>8469</v>
      </c>
      <c r="H887" s="11" t="s">
        <v>1992</v>
      </c>
      <c r="I887" s="6">
        <v>42</v>
      </c>
      <c r="J887" s="6">
        <v>0</v>
      </c>
      <c r="K887" s="6">
        <v>0</v>
      </c>
      <c r="L887" s="6">
        <v>0</v>
      </c>
      <c r="M887" s="10">
        <f t="shared" si="39"/>
        <v>0</v>
      </c>
      <c r="N887" s="10">
        <f t="shared" si="40"/>
        <v>0</v>
      </c>
      <c r="P887" s="6">
        <v>0</v>
      </c>
      <c r="Q887" s="6">
        <v>0</v>
      </c>
      <c r="R887" s="6">
        <v>0</v>
      </c>
      <c r="S887" s="6">
        <v>0</v>
      </c>
      <c r="T887" s="6" t="str">
        <f t="shared" si="41"/>
        <v>Septima</v>
      </c>
    </row>
    <row r="888" spans="1:20">
      <c r="A888" s="7" t="s">
        <v>1959</v>
      </c>
      <c r="B888" s="7" t="s">
        <v>451</v>
      </c>
      <c r="C888" s="8">
        <v>1</v>
      </c>
      <c r="D888" s="7" t="s">
        <v>1982</v>
      </c>
      <c r="E888" s="7" t="s">
        <v>1993</v>
      </c>
      <c r="F888">
        <v>1920</v>
      </c>
      <c r="G888" s="6">
        <v>469</v>
      </c>
      <c r="H888" s="11" t="s">
        <v>1994</v>
      </c>
      <c r="I888" s="6">
        <v>34</v>
      </c>
      <c r="J888" s="6">
        <v>93</v>
      </c>
      <c r="K888" s="6">
        <v>196</v>
      </c>
      <c r="L888" s="6">
        <v>43</v>
      </c>
      <c r="M888" s="10">
        <f t="shared" si="39"/>
        <v>455.81395348837208</v>
      </c>
      <c r="N888" s="10">
        <f t="shared" si="40"/>
        <v>456</v>
      </c>
      <c r="O888" s="6" t="s">
        <v>38</v>
      </c>
      <c r="P888" s="6">
        <v>3</v>
      </c>
      <c r="Q888" s="6">
        <v>5</v>
      </c>
      <c r="R888" s="6">
        <v>16</v>
      </c>
      <c r="S888" s="6">
        <v>24</v>
      </c>
      <c r="T888" s="6" t="str">
        <f t="shared" si="41"/>
        <v>Segunda</v>
      </c>
    </row>
    <row r="889" spans="1:20">
      <c r="A889" s="7" t="s">
        <v>1959</v>
      </c>
      <c r="B889" s="7" t="s">
        <v>451</v>
      </c>
      <c r="C889" s="8">
        <v>2</v>
      </c>
      <c r="D889" s="7" t="s">
        <v>1995</v>
      </c>
      <c r="E889" s="7" t="s">
        <v>1996</v>
      </c>
      <c r="F889">
        <v>2270</v>
      </c>
      <c r="G889" s="6">
        <v>2607</v>
      </c>
      <c r="H889" s="11" t="s">
        <v>1997</v>
      </c>
      <c r="I889" s="6">
        <v>55</v>
      </c>
      <c r="J889" s="6">
        <v>167</v>
      </c>
      <c r="K889" s="6">
        <v>493</v>
      </c>
      <c r="L889" s="6">
        <v>65</v>
      </c>
      <c r="M889" s="10">
        <f t="shared" si="39"/>
        <v>758.46153846153845</v>
      </c>
      <c r="N889" s="10">
        <f t="shared" si="40"/>
        <v>759</v>
      </c>
      <c r="O889" s="6" t="s">
        <v>98</v>
      </c>
      <c r="P889" s="6">
        <v>26</v>
      </c>
      <c r="Q889" s="6">
        <v>17</v>
      </c>
      <c r="R889" s="6">
        <v>34</v>
      </c>
      <c r="S889" s="6">
        <v>77</v>
      </c>
      <c r="T889" s="6" t="str">
        <f t="shared" si="41"/>
        <v>Primera</v>
      </c>
    </row>
    <row r="890" spans="1:20">
      <c r="A890" s="7" t="s">
        <v>1959</v>
      </c>
      <c r="B890" s="7" t="s">
        <v>451</v>
      </c>
      <c r="C890" s="8">
        <v>2</v>
      </c>
      <c r="D890" s="7" t="s">
        <v>1995</v>
      </c>
      <c r="E890" s="7" t="s">
        <v>1998</v>
      </c>
      <c r="F890">
        <v>1887</v>
      </c>
      <c r="G890" s="6">
        <v>8265</v>
      </c>
      <c r="H890" s="11" t="s">
        <v>1999</v>
      </c>
      <c r="I890" s="6">
        <v>46</v>
      </c>
      <c r="J890" s="6">
        <v>160</v>
      </c>
      <c r="K890" s="6">
        <v>440</v>
      </c>
      <c r="L890" s="6">
        <v>57</v>
      </c>
      <c r="M890" s="10">
        <f t="shared" si="39"/>
        <v>771.92982456140351</v>
      </c>
      <c r="N890" s="10">
        <f t="shared" si="40"/>
        <v>772</v>
      </c>
      <c r="O890" s="6" t="s">
        <v>105</v>
      </c>
      <c r="P890" s="6">
        <v>8</v>
      </c>
      <c r="Q890" s="6">
        <v>16</v>
      </c>
      <c r="R890" s="6">
        <v>36</v>
      </c>
      <c r="S890" s="6">
        <v>60</v>
      </c>
      <c r="T890" s="6" t="str">
        <f t="shared" si="41"/>
        <v>Segunda</v>
      </c>
    </row>
    <row r="891" spans="1:20">
      <c r="A891" s="7" t="s">
        <v>1959</v>
      </c>
      <c r="B891" s="7" t="s">
        <v>451</v>
      </c>
      <c r="C891" s="8">
        <v>2</v>
      </c>
      <c r="D891" s="7" t="s">
        <v>1995</v>
      </c>
      <c r="E891" s="7" t="s">
        <v>2000</v>
      </c>
      <c r="F891">
        <v>2008</v>
      </c>
      <c r="G891" s="6">
        <v>1250</v>
      </c>
      <c r="H891" s="11" t="s">
        <v>2001</v>
      </c>
      <c r="I891" s="6">
        <v>53</v>
      </c>
      <c r="J891" s="6">
        <v>114</v>
      </c>
      <c r="K891" s="6">
        <v>331</v>
      </c>
      <c r="L891" s="6">
        <v>60</v>
      </c>
      <c r="M891" s="10">
        <f t="shared" si="39"/>
        <v>551.66666666666663</v>
      </c>
      <c r="N891" s="10">
        <f t="shared" si="40"/>
        <v>552</v>
      </c>
      <c r="O891" s="6" t="s">
        <v>259</v>
      </c>
      <c r="P891" s="6">
        <v>12</v>
      </c>
      <c r="Q891" s="6">
        <v>9</v>
      </c>
      <c r="R891" s="6">
        <v>27</v>
      </c>
      <c r="S891" s="6">
        <v>48</v>
      </c>
      <c r="T891" s="6" t="str">
        <f t="shared" si="41"/>
        <v>Segunda</v>
      </c>
    </row>
    <row r="892" spans="1:20">
      <c r="A892" s="7" t="s">
        <v>1959</v>
      </c>
      <c r="B892" s="7" t="s">
        <v>451</v>
      </c>
      <c r="C892" s="8">
        <v>2</v>
      </c>
      <c r="D892" s="7" t="s">
        <v>1995</v>
      </c>
      <c r="E892" s="7" t="s">
        <v>2002</v>
      </c>
      <c r="F892">
        <v>1799</v>
      </c>
      <c r="G892" s="6">
        <v>20707</v>
      </c>
      <c r="H892" s="11" t="s">
        <v>2003</v>
      </c>
      <c r="I892" s="6">
        <v>33</v>
      </c>
      <c r="J892" s="6">
        <v>64</v>
      </c>
      <c r="K892" s="6">
        <v>216</v>
      </c>
      <c r="L892" s="6">
        <v>65</v>
      </c>
      <c r="M892" s="10">
        <f t="shared" si="39"/>
        <v>332.30769230769232</v>
      </c>
      <c r="N892" s="10">
        <f t="shared" si="40"/>
        <v>333</v>
      </c>
      <c r="O892" s="6" t="s">
        <v>97</v>
      </c>
      <c r="P892" s="6">
        <v>12</v>
      </c>
      <c r="Q892" s="6">
        <v>9</v>
      </c>
      <c r="R892" s="6">
        <v>15</v>
      </c>
      <c r="S892" s="6">
        <v>36</v>
      </c>
      <c r="T892" s="6" t="str">
        <f t="shared" si="41"/>
        <v>Tercera</v>
      </c>
    </row>
    <row r="893" spans="1:20">
      <c r="A893" s="7" t="s">
        <v>1959</v>
      </c>
      <c r="B893" s="7" t="s">
        <v>451</v>
      </c>
      <c r="C893" s="8">
        <v>2</v>
      </c>
      <c r="D893" s="7" t="s">
        <v>1995</v>
      </c>
      <c r="E893" s="7" t="s">
        <v>2004</v>
      </c>
      <c r="F893">
        <v>1894</v>
      </c>
      <c r="G893" s="6">
        <v>9381</v>
      </c>
      <c r="H893" s="11" t="s">
        <v>2005</v>
      </c>
      <c r="I893" s="6">
        <v>38</v>
      </c>
      <c r="J893" s="6">
        <v>243</v>
      </c>
      <c r="K893" s="6">
        <v>570</v>
      </c>
      <c r="L893" s="6">
        <v>50</v>
      </c>
      <c r="M893" s="10">
        <f t="shared" si="39"/>
        <v>1140</v>
      </c>
      <c r="N893" s="10">
        <f t="shared" si="40"/>
        <v>1140</v>
      </c>
      <c r="O893" s="6" t="s">
        <v>18</v>
      </c>
      <c r="P893" s="6">
        <v>28</v>
      </c>
      <c r="Q893" s="6">
        <v>21</v>
      </c>
      <c r="R893" s="6">
        <v>44</v>
      </c>
      <c r="S893" s="6">
        <v>93</v>
      </c>
      <c r="T893" s="6" t="str">
        <f t="shared" si="41"/>
        <v>Segunda</v>
      </c>
    </row>
    <row r="894" spans="1:20">
      <c r="A894" s="7" t="s">
        <v>1959</v>
      </c>
      <c r="B894" s="7" t="s">
        <v>451</v>
      </c>
      <c r="C894" s="8">
        <v>2</v>
      </c>
      <c r="D894" s="7" t="s">
        <v>1995</v>
      </c>
      <c r="E894" s="7" t="s">
        <v>2006</v>
      </c>
      <c r="F894">
        <v>1784</v>
      </c>
      <c r="G894" s="6">
        <v>21464</v>
      </c>
      <c r="H894" s="11" t="s">
        <v>2007</v>
      </c>
      <c r="I894" s="6">
        <v>20</v>
      </c>
      <c r="J894" s="6">
        <v>57</v>
      </c>
      <c r="K894" s="6">
        <v>135</v>
      </c>
      <c r="L894" s="6">
        <v>44</v>
      </c>
      <c r="M894" s="10">
        <f t="shared" si="39"/>
        <v>306.81818181818181</v>
      </c>
      <c r="N894" s="10">
        <f t="shared" si="40"/>
        <v>307</v>
      </c>
      <c r="O894" s="6" t="s">
        <v>18</v>
      </c>
      <c r="P894" s="6">
        <v>3</v>
      </c>
      <c r="Q894" s="6">
        <v>2</v>
      </c>
      <c r="R894" s="6">
        <v>6</v>
      </c>
      <c r="S894" s="6">
        <v>11</v>
      </c>
      <c r="T894" s="6" t="str">
        <f t="shared" si="41"/>
        <v>Tercera</v>
      </c>
    </row>
    <row r="895" spans="1:20">
      <c r="A895" s="7" t="s">
        <v>1959</v>
      </c>
      <c r="B895" s="7" t="s">
        <v>451</v>
      </c>
      <c r="C895" s="8">
        <v>2</v>
      </c>
      <c r="D895" s="7" t="s">
        <v>1995</v>
      </c>
      <c r="E895" s="7" t="s">
        <v>2008</v>
      </c>
      <c r="F895">
        <v>1826</v>
      </c>
      <c r="G895" s="6">
        <v>21977</v>
      </c>
      <c r="H895" s="11" t="s">
        <v>2009</v>
      </c>
      <c r="I895" s="6">
        <v>16</v>
      </c>
      <c r="J895" s="6">
        <v>73</v>
      </c>
      <c r="K895" s="6">
        <v>225</v>
      </c>
      <c r="L895" s="6">
        <v>61</v>
      </c>
      <c r="M895" s="10">
        <f t="shared" si="39"/>
        <v>368.85245901639342</v>
      </c>
      <c r="N895" s="10">
        <f t="shared" si="40"/>
        <v>369</v>
      </c>
      <c r="O895" s="6" t="s">
        <v>19</v>
      </c>
      <c r="P895" s="6">
        <v>18</v>
      </c>
      <c r="Q895" s="6">
        <v>6</v>
      </c>
      <c r="R895" s="6">
        <v>16</v>
      </c>
      <c r="S895" s="6">
        <v>40</v>
      </c>
      <c r="T895" s="6" t="str">
        <f t="shared" si="41"/>
        <v>Segunda</v>
      </c>
    </row>
    <row r="896" spans="1:20">
      <c r="A896" s="7" t="s">
        <v>1959</v>
      </c>
      <c r="B896" s="7" t="s">
        <v>468</v>
      </c>
      <c r="C896" s="8">
        <v>1</v>
      </c>
      <c r="D896" s="7" t="s">
        <v>1959</v>
      </c>
      <c r="E896" s="7" t="s">
        <v>2010</v>
      </c>
      <c r="F896">
        <v>1799</v>
      </c>
      <c r="G896" s="6">
        <v>22747</v>
      </c>
      <c r="H896" s="11" t="s">
        <v>2011</v>
      </c>
      <c r="I896" s="6">
        <v>55</v>
      </c>
      <c r="J896" s="6">
        <v>43</v>
      </c>
      <c r="K896" s="6">
        <v>133</v>
      </c>
      <c r="L896" s="6">
        <v>69</v>
      </c>
      <c r="M896" s="10">
        <f t="shared" si="39"/>
        <v>192.75362318840581</v>
      </c>
      <c r="N896" s="10">
        <f t="shared" si="40"/>
        <v>193</v>
      </c>
      <c r="O896" s="6" t="s">
        <v>18</v>
      </c>
      <c r="P896" s="6">
        <v>6</v>
      </c>
      <c r="Q896" s="6">
        <v>5</v>
      </c>
      <c r="R896" s="6">
        <v>6</v>
      </c>
      <c r="S896" s="6">
        <v>17</v>
      </c>
      <c r="T896" s="6" t="str">
        <f t="shared" si="41"/>
        <v>Tercera</v>
      </c>
    </row>
    <row r="897" spans="1:20">
      <c r="A897" s="7" t="s">
        <v>1959</v>
      </c>
      <c r="B897" s="7" t="s">
        <v>468</v>
      </c>
      <c r="C897" s="8">
        <v>1</v>
      </c>
      <c r="D897" s="7" t="s">
        <v>1959</v>
      </c>
      <c r="E897" s="7" t="s">
        <v>2012</v>
      </c>
      <c r="F897">
        <v>2287</v>
      </c>
      <c r="G897" s="6">
        <v>16651</v>
      </c>
      <c r="H897" s="11" t="s">
        <v>2013</v>
      </c>
      <c r="I897" s="6">
        <v>39</v>
      </c>
      <c r="J897" s="6">
        <v>1</v>
      </c>
      <c r="K897" s="6">
        <v>0</v>
      </c>
      <c r="L897" s="6">
        <v>0</v>
      </c>
      <c r="M897" s="10">
        <f t="shared" si="39"/>
        <v>0</v>
      </c>
      <c r="N897" s="10">
        <f t="shared" si="40"/>
        <v>0</v>
      </c>
      <c r="O897" s="6" t="s">
        <v>260</v>
      </c>
      <c r="P897" s="6">
        <v>0</v>
      </c>
      <c r="Q897" s="6">
        <v>0</v>
      </c>
      <c r="R897" s="6">
        <v>0</v>
      </c>
      <c r="S897" s="6">
        <v>0</v>
      </c>
      <c r="T897" s="6" t="str">
        <f t="shared" si="41"/>
        <v>Primera</v>
      </c>
    </row>
    <row r="898" spans="1:20">
      <c r="A898" s="7" t="s">
        <v>1959</v>
      </c>
      <c r="B898" s="7" t="s">
        <v>468</v>
      </c>
      <c r="C898" s="8">
        <v>1</v>
      </c>
      <c r="D898" s="7" t="s">
        <v>1959</v>
      </c>
      <c r="E898" s="7" t="s">
        <v>2014</v>
      </c>
      <c r="F898">
        <v>1806</v>
      </c>
      <c r="G898" s="6">
        <v>14656</v>
      </c>
      <c r="H898" s="11" t="s">
        <v>2015</v>
      </c>
      <c r="I898" s="6">
        <v>45</v>
      </c>
      <c r="J898" s="6">
        <v>313</v>
      </c>
      <c r="K898" s="6">
        <v>777</v>
      </c>
      <c r="L898" s="6">
        <v>45</v>
      </c>
      <c r="M898" s="10">
        <f t="shared" si="39"/>
        <v>1726.6666666666667</v>
      </c>
      <c r="N898" s="10">
        <f t="shared" si="40"/>
        <v>1727</v>
      </c>
      <c r="O898" s="6" t="s">
        <v>18</v>
      </c>
      <c r="P898" s="6">
        <v>23</v>
      </c>
      <c r="Q898" s="6">
        <v>26</v>
      </c>
      <c r="R898" s="6">
        <v>49</v>
      </c>
      <c r="S898" s="6">
        <v>98</v>
      </c>
      <c r="T898" s="6" t="str">
        <f t="shared" si="41"/>
        <v>Segunda</v>
      </c>
    </row>
    <row r="899" spans="1:20">
      <c r="A899" s="7" t="s">
        <v>1959</v>
      </c>
      <c r="B899" s="7" t="s">
        <v>468</v>
      </c>
      <c r="C899" s="8">
        <v>1</v>
      </c>
      <c r="D899" s="7" t="s">
        <v>1959</v>
      </c>
      <c r="E899" s="7" t="s">
        <v>2016</v>
      </c>
      <c r="F899">
        <v>1828</v>
      </c>
      <c r="G899" s="6">
        <v>12098</v>
      </c>
      <c r="H899" s="11" t="s">
        <v>2017</v>
      </c>
      <c r="I899" s="6">
        <v>53</v>
      </c>
      <c r="J899" s="6">
        <v>31</v>
      </c>
      <c r="K899" s="6">
        <v>83</v>
      </c>
      <c r="L899" s="6">
        <v>56</v>
      </c>
      <c r="M899" s="10">
        <f t="shared" ref="M899:M962" si="42">IF(K899+L899=0,0,(100*K899/L899))</f>
        <v>148.21428571428572</v>
      </c>
      <c r="N899" s="10">
        <f t="shared" ref="N899:N962" si="43">ROUNDUP(M899,0)</f>
        <v>149</v>
      </c>
      <c r="O899" s="6" t="s">
        <v>261</v>
      </c>
      <c r="P899" s="6">
        <v>4</v>
      </c>
      <c r="Q899" s="6">
        <v>2</v>
      </c>
      <c r="R899" s="6">
        <v>6</v>
      </c>
      <c r="S899" s="6">
        <v>12</v>
      </c>
      <c r="T899" s="6" t="str">
        <f t="shared" ref="T899:T962" si="44">IF(F899&gt;2100,"Primera",
IF(F899&gt;=1800,"Segunda",
IF(F899&gt;=1600,"Tercera",
IF(F899&gt;=1400,"Cuarta",
IF(F899&gt;=1200,"Quinta",
IF(F899&gt;=1080,"Sexta",
IF(F899&gt;=980,"Septima",
"Octava")))))))</f>
        <v>Segunda</v>
      </c>
    </row>
    <row r="900" spans="1:20">
      <c r="A900" s="7" t="s">
        <v>1959</v>
      </c>
      <c r="B900" s="7" t="s">
        <v>468</v>
      </c>
      <c r="C900" s="8">
        <v>1</v>
      </c>
      <c r="D900" s="7" t="s">
        <v>1959</v>
      </c>
      <c r="E900" s="7" t="s">
        <v>2018</v>
      </c>
      <c r="F900">
        <v>1580</v>
      </c>
      <c r="G900" s="6">
        <v>22613</v>
      </c>
      <c r="H900" s="11" t="s">
        <v>2019</v>
      </c>
      <c r="I900" s="6">
        <v>42</v>
      </c>
      <c r="J900" s="6">
        <v>26</v>
      </c>
      <c r="K900" s="6">
        <v>74</v>
      </c>
      <c r="L900" s="6">
        <v>66</v>
      </c>
      <c r="M900" s="10">
        <f t="shared" si="42"/>
        <v>112.12121212121212</v>
      </c>
      <c r="N900" s="10">
        <f t="shared" si="43"/>
        <v>113</v>
      </c>
      <c r="O900" s="6" t="s">
        <v>262</v>
      </c>
      <c r="P900" s="6">
        <v>4</v>
      </c>
      <c r="Q900" s="6">
        <v>2</v>
      </c>
      <c r="R900" s="6">
        <v>6</v>
      </c>
      <c r="S900" s="6">
        <v>12</v>
      </c>
      <c r="T900" s="6" t="str">
        <f t="shared" si="44"/>
        <v>Cuarta</v>
      </c>
    </row>
    <row r="901" spans="1:20">
      <c r="A901" s="7" t="s">
        <v>1959</v>
      </c>
      <c r="B901" s="7" t="s">
        <v>468</v>
      </c>
      <c r="C901" s="8">
        <v>1</v>
      </c>
      <c r="D901" s="7" t="s">
        <v>1959</v>
      </c>
      <c r="E901" s="7" t="s">
        <v>2020</v>
      </c>
      <c r="F901">
        <v>1591</v>
      </c>
      <c r="G901" s="6">
        <v>21587</v>
      </c>
      <c r="H901" s="11" t="s">
        <v>2021</v>
      </c>
      <c r="I901" s="6">
        <v>46</v>
      </c>
      <c r="J901" s="6">
        <v>63</v>
      </c>
      <c r="K901" s="6">
        <v>152</v>
      </c>
      <c r="L901" s="6">
        <v>50</v>
      </c>
      <c r="M901" s="10">
        <f t="shared" si="42"/>
        <v>304</v>
      </c>
      <c r="N901" s="10">
        <f t="shared" si="43"/>
        <v>304</v>
      </c>
      <c r="O901" s="6" t="s">
        <v>19</v>
      </c>
      <c r="P901" s="6">
        <v>5</v>
      </c>
      <c r="Q901" s="6">
        <v>5</v>
      </c>
      <c r="R901" s="6">
        <v>5</v>
      </c>
      <c r="S901" s="6">
        <v>15</v>
      </c>
      <c r="T901" s="6" t="str">
        <f t="shared" si="44"/>
        <v>Cuarta</v>
      </c>
    </row>
    <row r="902" spans="1:20">
      <c r="A902" s="7" t="s">
        <v>1959</v>
      </c>
      <c r="B902" s="7" t="s">
        <v>468</v>
      </c>
      <c r="C902" s="8">
        <v>1</v>
      </c>
      <c r="D902" s="7" t="s">
        <v>1959</v>
      </c>
      <c r="E902" s="7" t="s">
        <v>2022</v>
      </c>
      <c r="F902">
        <v>1639</v>
      </c>
      <c r="G902" s="6">
        <v>23097</v>
      </c>
      <c r="H902" s="11" t="s">
        <v>2023</v>
      </c>
      <c r="I902" s="6">
        <v>44</v>
      </c>
      <c r="J902" s="6">
        <v>55</v>
      </c>
      <c r="K902" s="6">
        <v>176</v>
      </c>
      <c r="L902" s="6">
        <v>56</v>
      </c>
      <c r="M902" s="10">
        <f t="shared" si="42"/>
        <v>314.28571428571428</v>
      </c>
      <c r="N902" s="10">
        <f t="shared" si="43"/>
        <v>315</v>
      </c>
      <c r="O902" s="6" t="s">
        <v>19</v>
      </c>
      <c r="P902" s="6">
        <v>8</v>
      </c>
      <c r="Q902" s="6">
        <v>5</v>
      </c>
      <c r="R902" s="6">
        <v>8</v>
      </c>
      <c r="S902" s="6">
        <v>21</v>
      </c>
      <c r="T902" s="6" t="str">
        <f t="shared" si="44"/>
        <v>Tercera</v>
      </c>
    </row>
    <row r="903" spans="1:20">
      <c r="A903" s="7" t="s">
        <v>1959</v>
      </c>
      <c r="B903" s="7" t="s">
        <v>483</v>
      </c>
      <c r="C903" s="8">
        <v>1</v>
      </c>
      <c r="D903" s="7" t="s">
        <v>1982</v>
      </c>
      <c r="E903" s="7" t="s">
        <v>2024</v>
      </c>
      <c r="F903">
        <v>1787</v>
      </c>
      <c r="G903" s="6">
        <v>22011</v>
      </c>
      <c r="H903" s="11" t="s">
        <v>2025</v>
      </c>
      <c r="I903" s="6">
        <v>47</v>
      </c>
      <c r="J903" s="6">
        <v>66</v>
      </c>
      <c r="K903" s="6">
        <v>180</v>
      </c>
      <c r="L903" s="6">
        <v>58</v>
      </c>
      <c r="M903" s="10">
        <f t="shared" si="42"/>
        <v>310.34482758620692</v>
      </c>
      <c r="N903" s="10">
        <f t="shared" si="43"/>
        <v>311</v>
      </c>
      <c r="O903" s="6" t="s">
        <v>138</v>
      </c>
      <c r="P903" s="6">
        <v>5</v>
      </c>
      <c r="Q903" s="6">
        <v>12</v>
      </c>
      <c r="R903" s="6">
        <v>17</v>
      </c>
      <c r="S903" s="6">
        <v>34</v>
      </c>
      <c r="T903" s="6" t="str">
        <f t="shared" si="44"/>
        <v>Tercera</v>
      </c>
    </row>
    <row r="904" spans="1:20">
      <c r="A904" s="7" t="s">
        <v>1959</v>
      </c>
      <c r="B904" s="7" t="s">
        <v>483</v>
      </c>
      <c r="C904" s="8">
        <v>1</v>
      </c>
      <c r="D904" s="7" t="s">
        <v>1982</v>
      </c>
      <c r="E904" s="7" t="s">
        <v>2026</v>
      </c>
      <c r="F904">
        <v>1682</v>
      </c>
      <c r="G904" s="6">
        <v>3253</v>
      </c>
      <c r="H904" s="11" t="s">
        <v>2027</v>
      </c>
      <c r="I904" s="6">
        <v>67</v>
      </c>
      <c r="J904" s="6">
        <v>160</v>
      </c>
      <c r="K904" s="6">
        <v>424</v>
      </c>
      <c r="L904" s="6">
        <v>53</v>
      </c>
      <c r="M904" s="10">
        <f t="shared" si="42"/>
        <v>800</v>
      </c>
      <c r="N904" s="10">
        <f t="shared" si="43"/>
        <v>800</v>
      </c>
      <c r="O904" s="6" t="s">
        <v>38</v>
      </c>
      <c r="P904" s="6">
        <v>12</v>
      </c>
      <c r="Q904" s="6">
        <v>17</v>
      </c>
      <c r="R904" s="6">
        <v>23</v>
      </c>
      <c r="S904" s="6">
        <v>52</v>
      </c>
      <c r="T904" s="6" t="str">
        <f t="shared" si="44"/>
        <v>Tercera</v>
      </c>
    </row>
    <row r="905" spans="1:20">
      <c r="A905" s="7" t="s">
        <v>1959</v>
      </c>
      <c r="B905" s="7" t="s">
        <v>483</v>
      </c>
      <c r="C905" s="8">
        <v>1</v>
      </c>
      <c r="D905" s="7" t="s">
        <v>1982</v>
      </c>
      <c r="E905" s="7" t="s">
        <v>2028</v>
      </c>
      <c r="F905">
        <v>1249</v>
      </c>
      <c r="G905" s="6">
        <v>9355</v>
      </c>
      <c r="H905" s="11" t="s">
        <v>2029</v>
      </c>
      <c r="I905" s="6">
        <v>63</v>
      </c>
      <c r="J905" s="6">
        <v>2</v>
      </c>
      <c r="K905" s="6">
        <v>0</v>
      </c>
      <c r="L905" s="6">
        <v>0</v>
      </c>
      <c r="M905" s="10">
        <f t="shared" si="42"/>
        <v>0</v>
      </c>
      <c r="N905" s="10">
        <f t="shared" si="43"/>
        <v>0</v>
      </c>
      <c r="O905" s="6" t="s">
        <v>263</v>
      </c>
      <c r="P905" s="6">
        <v>0</v>
      </c>
      <c r="Q905" s="6">
        <v>0</v>
      </c>
      <c r="R905" s="6">
        <v>0</v>
      </c>
      <c r="S905" s="6">
        <v>0</v>
      </c>
      <c r="T905" s="6" t="str">
        <f t="shared" si="44"/>
        <v>Quinta</v>
      </c>
    </row>
    <row r="906" spans="1:20">
      <c r="A906" s="7" t="s">
        <v>1959</v>
      </c>
      <c r="B906" s="7" t="s">
        <v>483</v>
      </c>
      <c r="C906" s="8">
        <v>1</v>
      </c>
      <c r="D906" s="7" t="s">
        <v>1982</v>
      </c>
      <c r="E906" s="7" t="s">
        <v>2030</v>
      </c>
      <c r="F906">
        <v>1454</v>
      </c>
      <c r="G906" s="6">
        <v>15724</v>
      </c>
      <c r="H906" s="11" t="s">
        <v>2031</v>
      </c>
      <c r="I906" s="6">
        <v>61</v>
      </c>
      <c r="J906" s="6">
        <v>69</v>
      </c>
      <c r="K906" s="6">
        <v>165</v>
      </c>
      <c r="L906" s="6">
        <v>57</v>
      </c>
      <c r="M906" s="10">
        <f t="shared" si="42"/>
        <v>289.4736842105263</v>
      </c>
      <c r="N906" s="10">
        <f t="shared" si="43"/>
        <v>290</v>
      </c>
      <c r="O906" s="6" t="s">
        <v>104</v>
      </c>
      <c r="P906" s="6">
        <v>2</v>
      </c>
      <c r="Q906" s="6">
        <v>7</v>
      </c>
      <c r="R906" s="6">
        <v>11</v>
      </c>
      <c r="S906" s="6">
        <v>20</v>
      </c>
      <c r="T906" s="6" t="str">
        <f t="shared" si="44"/>
        <v>Cuarta</v>
      </c>
    </row>
    <row r="907" spans="1:20">
      <c r="A907" s="7" t="s">
        <v>1959</v>
      </c>
      <c r="B907" s="7" t="s">
        <v>483</v>
      </c>
      <c r="C907" s="8">
        <v>1</v>
      </c>
      <c r="D907" s="7" t="s">
        <v>1982</v>
      </c>
      <c r="E907" s="7" t="s">
        <v>2032</v>
      </c>
      <c r="F907">
        <v>1663</v>
      </c>
      <c r="G907" s="6">
        <v>13609</v>
      </c>
      <c r="H907" s="11" t="s">
        <v>2033</v>
      </c>
      <c r="I907" s="6">
        <v>68</v>
      </c>
      <c r="J907" s="6">
        <v>72</v>
      </c>
      <c r="K907" s="6">
        <v>215</v>
      </c>
      <c r="L907" s="6">
        <v>49</v>
      </c>
      <c r="M907" s="10">
        <f t="shared" si="42"/>
        <v>438.77551020408163</v>
      </c>
      <c r="N907" s="10">
        <f t="shared" si="43"/>
        <v>439</v>
      </c>
      <c r="O907" s="6" t="s">
        <v>68</v>
      </c>
      <c r="P907" s="6">
        <v>6</v>
      </c>
      <c r="Q907" s="6">
        <v>4</v>
      </c>
      <c r="R907" s="6">
        <v>14</v>
      </c>
      <c r="S907" s="6">
        <v>24</v>
      </c>
      <c r="T907" s="6" t="str">
        <f t="shared" si="44"/>
        <v>Tercera</v>
      </c>
    </row>
    <row r="908" spans="1:20">
      <c r="A908" s="7" t="s">
        <v>1959</v>
      </c>
      <c r="B908" s="7" t="s">
        <v>483</v>
      </c>
      <c r="C908" s="8">
        <v>1</v>
      </c>
      <c r="D908" s="7" t="s">
        <v>1982</v>
      </c>
      <c r="E908" s="7" t="s">
        <v>2034</v>
      </c>
      <c r="F908">
        <v>1358</v>
      </c>
      <c r="G908" s="6">
        <v>21465</v>
      </c>
      <c r="H908" s="11" t="s">
        <v>2035</v>
      </c>
      <c r="I908" s="6">
        <v>54</v>
      </c>
      <c r="J908" s="6">
        <v>47</v>
      </c>
      <c r="K908" s="6">
        <v>145</v>
      </c>
      <c r="L908" s="6">
        <v>57</v>
      </c>
      <c r="M908" s="10">
        <f t="shared" si="42"/>
        <v>254.38596491228071</v>
      </c>
      <c r="N908" s="10">
        <f t="shared" si="43"/>
        <v>255</v>
      </c>
      <c r="O908" s="6" t="s">
        <v>251</v>
      </c>
      <c r="P908" s="6">
        <v>4</v>
      </c>
      <c r="Q908" s="6">
        <v>8</v>
      </c>
      <c r="R908" s="6">
        <v>9</v>
      </c>
      <c r="S908" s="6">
        <v>21</v>
      </c>
      <c r="T908" s="6" t="str">
        <f t="shared" si="44"/>
        <v>Quinta</v>
      </c>
    </row>
    <row r="909" spans="1:20">
      <c r="A909" s="7" t="s">
        <v>1959</v>
      </c>
      <c r="B909" s="7" t="s">
        <v>483</v>
      </c>
      <c r="C909" s="8">
        <v>1</v>
      </c>
      <c r="D909" s="7" t="s">
        <v>1982</v>
      </c>
      <c r="E909" s="7" t="s">
        <v>2036</v>
      </c>
      <c r="F909">
        <v>1000</v>
      </c>
      <c r="G909" s="6">
        <v>5577</v>
      </c>
      <c r="H909" s="11" t="s">
        <v>2037</v>
      </c>
      <c r="I909" s="6">
        <v>55</v>
      </c>
      <c r="J909" s="6">
        <v>0</v>
      </c>
      <c r="K909" s="6">
        <v>0</v>
      </c>
      <c r="L909" s="6">
        <v>0</v>
      </c>
      <c r="M909" s="10">
        <f t="shared" si="42"/>
        <v>0</v>
      </c>
      <c r="N909" s="10">
        <f t="shared" si="43"/>
        <v>0</v>
      </c>
      <c r="P909" s="6">
        <v>0</v>
      </c>
      <c r="Q909" s="6">
        <v>0</v>
      </c>
      <c r="R909" s="6">
        <v>0</v>
      </c>
      <c r="S909" s="6">
        <v>0</v>
      </c>
      <c r="T909" s="6" t="str">
        <f t="shared" si="44"/>
        <v>Septima</v>
      </c>
    </row>
    <row r="910" spans="1:20">
      <c r="A910" s="7" t="s">
        <v>1959</v>
      </c>
      <c r="B910" s="7" t="s">
        <v>483</v>
      </c>
      <c r="C910" s="8">
        <v>1</v>
      </c>
      <c r="D910" s="7" t="s">
        <v>1982</v>
      </c>
      <c r="E910" s="7" t="s">
        <v>2038</v>
      </c>
      <c r="F910">
        <v>1453</v>
      </c>
      <c r="G910" s="6">
        <v>19176</v>
      </c>
      <c r="H910" s="11" t="s">
        <v>2039</v>
      </c>
      <c r="I910" s="6">
        <v>55</v>
      </c>
      <c r="J910" s="6">
        <v>306</v>
      </c>
      <c r="K910" s="6">
        <v>769</v>
      </c>
      <c r="L910" s="6">
        <v>49</v>
      </c>
      <c r="M910" s="10">
        <f t="shared" si="42"/>
        <v>1569.3877551020407</v>
      </c>
      <c r="N910" s="10">
        <f t="shared" si="43"/>
        <v>1570</v>
      </c>
      <c r="O910" s="6" t="s">
        <v>27</v>
      </c>
      <c r="P910" s="6">
        <v>15</v>
      </c>
      <c r="Q910" s="6">
        <v>27</v>
      </c>
      <c r="R910" s="6">
        <v>72</v>
      </c>
      <c r="S910" s="6">
        <v>114</v>
      </c>
      <c r="T910" s="6" t="str">
        <f t="shared" si="44"/>
        <v>Cuarta</v>
      </c>
    </row>
    <row r="911" spans="1:20">
      <c r="A911" s="7" t="s">
        <v>1959</v>
      </c>
      <c r="B911" s="7" t="s">
        <v>483</v>
      </c>
      <c r="C911" s="8">
        <v>2</v>
      </c>
      <c r="D911" s="7" t="s">
        <v>1995</v>
      </c>
      <c r="E911" s="7" t="s">
        <v>2040</v>
      </c>
      <c r="F911">
        <v>953</v>
      </c>
      <c r="G911" s="6">
        <v>14961</v>
      </c>
      <c r="H911" s="11" t="s">
        <v>2041</v>
      </c>
      <c r="I911" s="6">
        <v>23</v>
      </c>
      <c r="J911" s="6">
        <v>10</v>
      </c>
      <c r="K911" s="6">
        <v>6</v>
      </c>
      <c r="L911" s="6">
        <v>18</v>
      </c>
      <c r="M911" s="10">
        <f t="shared" si="42"/>
        <v>33.333333333333336</v>
      </c>
      <c r="N911" s="10">
        <f t="shared" si="43"/>
        <v>34</v>
      </c>
      <c r="O911" s="6" t="s">
        <v>169</v>
      </c>
      <c r="P911" s="6">
        <v>0</v>
      </c>
      <c r="Q911" s="6">
        <v>0</v>
      </c>
      <c r="R911" s="6">
        <v>0</v>
      </c>
      <c r="S911" s="6">
        <v>0</v>
      </c>
      <c r="T911" s="6" t="str">
        <f t="shared" si="44"/>
        <v>Octava</v>
      </c>
    </row>
    <row r="912" spans="1:20">
      <c r="A912" s="7" t="s">
        <v>1959</v>
      </c>
      <c r="B912" s="7" t="s">
        <v>483</v>
      </c>
      <c r="C912" s="8">
        <v>2</v>
      </c>
      <c r="D912" s="7" t="s">
        <v>1995</v>
      </c>
      <c r="E912" s="7" t="s">
        <v>2042</v>
      </c>
      <c r="F912">
        <v>1562</v>
      </c>
      <c r="G912" s="6">
        <v>22241</v>
      </c>
      <c r="H912" s="11" t="s">
        <v>1554</v>
      </c>
      <c r="I912" s="6">
        <v>45</v>
      </c>
      <c r="J912" s="6">
        <v>200</v>
      </c>
      <c r="K912" s="6">
        <v>516</v>
      </c>
      <c r="L912" s="6">
        <v>60</v>
      </c>
      <c r="M912" s="10">
        <f t="shared" si="42"/>
        <v>860</v>
      </c>
      <c r="N912" s="10">
        <f t="shared" si="43"/>
        <v>860</v>
      </c>
      <c r="O912" s="6" t="s">
        <v>199</v>
      </c>
      <c r="P912" s="6">
        <v>24</v>
      </c>
      <c r="Q912" s="6">
        <v>22</v>
      </c>
      <c r="R912" s="6">
        <v>43</v>
      </c>
      <c r="S912" s="6">
        <v>89</v>
      </c>
      <c r="T912" s="6" t="str">
        <f t="shared" si="44"/>
        <v>Cuarta</v>
      </c>
    </row>
    <row r="913" spans="1:20">
      <c r="A913" s="7" t="s">
        <v>1959</v>
      </c>
      <c r="B913" s="7" t="s">
        <v>483</v>
      </c>
      <c r="C913" s="8">
        <v>2</v>
      </c>
      <c r="D913" s="7" t="s">
        <v>1995</v>
      </c>
      <c r="E913" s="7" t="s">
        <v>2022</v>
      </c>
      <c r="F913">
        <v>1639</v>
      </c>
      <c r="G913" s="6">
        <v>23097</v>
      </c>
      <c r="H913" s="11" t="s">
        <v>2023</v>
      </c>
      <c r="I913" s="6">
        <v>44</v>
      </c>
      <c r="J913" s="6">
        <v>55</v>
      </c>
      <c r="K913" s="6">
        <v>176</v>
      </c>
      <c r="L913" s="6">
        <v>56</v>
      </c>
      <c r="M913" s="10">
        <f t="shared" si="42"/>
        <v>314.28571428571428</v>
      </c>
      <c r="N913" s="10">
        <f t="shared" si="43"/>
        <v>315</v>
      </c>
      <c r="O913" s="6" t="s">
        <v>19</v>
      </c>
      <c r="P913" s="6">
        <v>8</v>
      </c>
      <c r="Q913" s="6">
        <v>5</v>
      </c>
      <c r="R913" s="6">
        <v>8</v>
      </c>
      <c r="S913" s="6">
        <v>21</v>
      </c>
      <c r="T913" s="6" t="str">
        <f t="shared" si="44"/>
        <v>Tercera</v>
      </c>
    </row>
    <row r="914" spans="1:20">
      <c r="A914" s="7" t="s">
        <v>1959</v>
      </c>
      <c r="B914" s="7" t="s">
        <v>483</v>
      </c>
      <c r="C914" s="8">
        <v>2</v>
      </c>
      <c r="D914" s="7" t="s">
        <v>1995</v>
      </c>
      <c r="E914" s="7" t="s">
        <v>2043</v>
      </c>
      <c r="F914">
        <v>1620</v>
      </c>
      <c r="G914" s="6">
        <v>12335</v>
      </c>
      <c r="H914" s="11" t="s">
        <v>2044</v>
      </c>
      <c r="I914" s="6">
        <v>29</v>
      </c>
      <c r="J914" s="6">
        <v>62</v>
      </c>
      <c r="K914" s="6">
        <v>148</v>
      </c>
      <c r="L914" s="6">
        <v>42</v>
      </c>
      <c r="M914" s="10">
        <f t="shared" si="42"/>
        <v>352.38095238095241</v>
      </c>
      <c r="N914" s="10">
        <f t="shared" si="43"/>
        <v>353</v>
      </c>
      <c r="O914" s="6" t="s">
        <v>264</v>
      </c>
      <c r="P914" s="6">
        <v>4</v>
      </c>
      <c r="Q914" s="6">
        <v>6</v>
      </c>
      <c r="R914" s="6">
        <v>8</v>
      </c>
      <c r="S914" s="6">
        <v>18</v>
      </c>
      <c r="T914" s="6" t="str">
        <f t="shared" si="44"/>
        <v>Tercera</v>
      </c>
    </row>
    <row r="915" spans="1:20">
      <c r="A915" s="7" t="s">
        <v>1959</v>
      </c>
      <c r="B915" s="7" t="s">
        <v>483</v>
      </c>
      <c r="C915" s="8">
        <v>2</v>
      </c>
      <c r="D915" s="7" t="s">
        <v>1995</v>
      </c>
      <c r="E915" s="7" t="s">
        <v>2045</v>
      </c>
      <c r="F915">
        <v>1666</v>
      </c>
      <c r="G915" s="6">
        <v>1032</v>
      </c>
      <c r="H915" s="11" t="s">
        <v>2046</v>
      </c>
      <c r="I915" s="6">
        <v>39</v>
      </c>
      <c r="J915" s="6">
        <v>1</v>
      </c>
      <c r="K915" s="6">
        <v>0</v>
      </c>
      <c r="L915" s="6">
        <v>0</v>
      </c>
      <c r="M915" s="10">
        <f t="shared" si="42"/>
        <v>0</v>
      </c>
      <c r="N915" s="10">
        <f t="shared" si="43"/>
        <v>0</v>
      </c>
      <c r="O915" s="6" t="s">
        <v>265</v>
      </c>
      <c r="P915" s="6">
        <v>0</v>
      </c>
      <c r="Q915" s="6">
        <v>0</v>
      </c>
      <c r="R915" s="6">
        <v>0</v>
      </c>
      <c r="S915" s="6">
        <v>0</v>
      </c>
      <c r="T915" s="6" t="str">
        <f t="shared" si="44"/>
        <v>Tercera</v>
      </c>
    </row>
    <row r="916" spans="1:20">
      <c r="A916" s="7" t="s">
        <v>1959</v>
      </c>
      <c r="B916" s="7" t="s">
        <v>483</v>
      </c>
      <c r="C916" s="8">
        <v>2</v>
      </c>
      <c r="D916" s="7" t="s">
        <v>1995</v>
      </c>
      <c r="E916" s="7" t="s">
        <v>2047</v>
      </c>
      <c r="F916">
        <v>1401</v>
      </c>
      <c r="G916" s="6">
        <v>23679</v>
      </c>
      <c r="H916" s="11" t="s">
        <v>2048</v>
      </c>
      <c r="I916" s="6">
        <v>16</v>
      </c>
      <c r="J916" s="6">
        <v>26</v>
      </c>
      <c r="K916" s="6">
        <v>63</v>
      </c>
      <c r="L916" s="6">
        <v>52</v>
      </c>
      <c r="M916" s="10">
        <f t="shared" si="42"/>
        <v>121.15384615384616</v>
      </c>
      <c r="N916" s="10">
        <f t="shared" si="43"/>
        <v>122</v>
      </c>
      <c r="O916" s="6" t="s">
        <v>29</v>
      </c>
      <c r="P916" s="6">
        <v>4</v>
      </c>
      <c r="Q916" s="6">
        <v>1</v>
      </c>
      <c r="R916" s="6">
        <v>10</v>
      </c>
      <c r="S916" s="6">
        <v>15</v>
      </c>
      <c r="T916" s="6" t="str">
        <f t="shared" si="44"/>
        <v>Cuarta</v>
      </c>
    </row>
    <row r="917" spans="1:20">
      <c r="A917" s="7" t="s">
        <v>1959</v>
      </c>
      <c r="B917" s="7" t="s">
        <v>483</v>
      </c>
      <c r="C917" s="8">
        <v>2</v>
      </c>
      <c r="D917" s="7" t="s">
        <v>1995</v>
      </c>
      <c r="E917" s="7" t="s">
        <v>2049</v>
      </c>
      <c r="F917">
        <v>1462</v>
      </c>
      <c r="G917" s="6">
        <v>21980</v>
      </c>
      <c r="H917" s="11" t="s">
        <v>2050</v>
      </c>
      <c r="I917" s="6">
        <v>25</v>
      </c>
      <c r="J917" s="6">
        <v>33</v>
      </c>
      <c r="K917" s="6">
        <v>99</v>
      </c>
      <c r="L917" s="6">
        <v>61</v>
      </c>
      <c r="M917" s="10">
        <f t="shared" si="42"/>
        <v>162.29508196721312</v>
      </c>
      <c r="N917" s="10">
        <f t="shared" si="43"/>
        <v>163</v>
      </c>
      <c r="O917" s="6" t="s">
        <v>19</v>
      </c>
      <c r="P917" s="6">
        <v>9</v>
      </c>
      <c r="Q917" s="6">
        <v>3</v>
      </c>
      <c r="R917" s="6">
        <v>5</v>
      </c>
      <c r="S917" s="6">
        <v>17</v>
      </c>
      <c r="T917" s="6" t="str">
        <f t="shared" si="44"/>
        <v>Cuarta</v>
      </c>
    </row>
    <row r="918" spans="1:20">
      <c r="A918" s="7" t="s">
        <v>1959</v>
      </c>
      <c r="B918" s="7" t="s">
        <v>483</v>
      </c>
      <c r="C918" s="8">
        <v>2</v>
      </c>
      <c r="D918" s="7" t="s">
        <v>1995</v>
      </c>
      <c r="E918" s="7" t="s">
        <v>2051</v>
      </c>
      <c r="F918">
        <v>1449</v>
      </c>
      <c r="G918" s="6">
        <v>26499</v>
      </c>
      <c r="H918" s="11" t="s">
        <v>2052</v>
      </c>
      <c r="I918" s="6">
        <v>34</v>
      </c>
      <c r="J918" s="6">
        <v>11</v>
      </c>
      <c r="K918" s="6">
        <v>47</v>
      </c>
      <c r="L918" s="6">
        <v>71</v>
      </c>
      <c r="M918" s="10">
        <f t="shared" si="42"/>
        <v>66.197183098591552</v>
      </c>
      <c r="N918" s="10">
        <f t="shared" si="43"/>
        <v>67</v>
      </c>
      <c r="O918" s="6" t="s">
        <v>37</v>
      </c>
      <c r="P918" s="6">
        <v>4</v>
      </c>
      <c r="Q918" s="6">
        <v>3</v>
      </c>
      <c r="R918" s="6">
        <v>1</v>
      </c>
      <c r="S918" s="6">
        <v>8</v>
      </c>
      <c r="T918" s="6" t="str">
        <f t="shared" si="44"/>
        <v>Cuarta</v>
      </c>
    </row>
    <row r="919" spans="1:20">
      <c r="A919" s="7" t="s">
        <v>1959</v>
      </c>
      <c r="B919" s="7" t="s">
        <v>507</v>
      </c>
      <c r="C919" s="8">
        <v>1</v>
      </c>
      <c r="D919" s="7" t="s">
        <v>1959</v>
      </c>
      <c r="E919" s="7" t="s">
        <v>2053</v>
      </c>
      <c r="F919">
        <v>1258</v>
      </c>
      <c r="G919" s="6">
        <v>26848</v>
      </c>
      <c r="H919" s="11" t="s">
        <v>2054</v>
      </c>
      <c r="I919" s="6">
        <v>50</v>
      </c>
      <c r="J919" s="6">
        <v>34</v>
      </c>
      <c r="K919" s="6">
        <v>89</v>
      </c>
      <c r="L919" s="6">
        <v>52</v>
      </c>
      <c r="M919" s="10">
        <f t="shared" si="42"/>
        <v>171.15384615384616</v>
      </c>
      <c r="N919" s="10">
        <f t="shared" si="43"/>
        <v>172</v>
      </c>
      <c r="O919" s="6" t="s">
        <v>12</v>
      </c>
      <c r="P919" s="6">
        <v>3</v>
      </c>
      <c r="Q919" s="6">
        <v>6</v>
      </c>
      <c r="R919" s="6">
        <v>5</v>
      </c>
      <c r="S919" s="6">
        <v>14</v>
      </c>
      <c r="T919" s="6" t="str">
        <f t="shared" si="44"/>
        <v>Quinta</v>
      </c>
    </row>
    <row r="920" spans="1:20">
      <c r="A920" s="7" t="s">
        <v>1959</v>
      </c>
      <c r="B920" s="7" t="s">
        <v>507</v>
      </c>
      <c r="C920" s="8">
        <v>1</v>
      </c>
      <c r="D920" s="7" t="s">
        <v>1959</v>
      </c>
      <c r="E920" s="7" t="s">
        <v>2055</v>
      </c>
      <c r="F920">
        <v>1233</v>
      </c>
      <c r="G920" s="6">
        <v>17249</v>
      </c>
      <c r="H920" s="11" t="s">
        <v>2056</v>
      </c>
      <c r="I920" s="6">
        <v>21</v>
      </c>
      <c r="J920" s="6">
        <v>2</v>
      </c>
      <c r="K920" s="6">
        <v>2</v>
      </c>
      <c r="L920" s="6">
        <v>33</v>
      </c>
      <c r="M920" s="10">
        <f t="shared" si="42"/>
        <v>6.0606060606060606</v>
      </c>
      <c r="N920" s="10">
        <f t="shared" si="43"/>
        <v>7</v>
      </c>
      <c r="O920" s="6" t="s">
        <v>266</v>
      </c>
      <c r="P920" s="6">
        <v>0</v>
      </c>
      <c r="Q920" s="6">
        <v>0</v>
      </c>
      <c r="R920" s="6">
        <v>0</v>
      </c>
      <c r="S920" s="6">
        <v>0</v>
      </c>
      <c r="T920" s="6" t="str">
        <f t="shared" si="44"/>
        <v>Quinta</v>
      </c>
    </row>
    <row r="921" spans="1:20">
      <c r="A921" s="7" t="s">
        <v>1959</v>
      </c>
      <c r="B921" s="7" t="s">
        <v>507</v>
      </c>
      <c r="C921" s="8">
        <v>1</v>
      </c>
      <c r="D921" s="7" t="s">
        <v>1959</v>
      </c>
      <c r="E921" s="7" t="s">
        <v>2057</v>
      </c>
      <c r="F921">
        <v>1258</v>
      </c>
      <c r="G921" s="6">
        <v>28041</v>
      </c>
      <c r="H921" s="11" t="s">
        <v>2058</v>
      </c>
      <c r="I921" s="6">
        <v>28</v>
      </c>
      <c r="J921" s="6">
        <v>13</v>
      </c>
      <c r="K921" s="6">
        <v>39</v>
      </c>
      <c r="L921" s="6">
        <v>60</v>
      </c>
      <c r="M921" s="10">
        <f t="shared" si="42"/>
        <v>65</v>
      </c>
      <c r="N921" s="10">
        <f t="shared" si="43"/>
        <v>65</v>
      </c>
      <c r="O921" s="6" t="s">
        <v>69</v>
      </c>
      <c r="P921" s="6">
        <v>2</v>
      </c>
      <c r="Q921" s="6">
        <v>1</v>
      </c>
      <c r="R921" s="6">
        <v>3</v>
      </c>
      <c r="S921" s="6">
        <v>6</v>
      </c>
      <c r="T921" s="6" t="str">
        <f t="shared" si="44"/>
        <v>Quinta</v>
      </c>
    </row>
    <row r="922" spans="1:20">
      <c r="A922" s="7" t="s">
        <v>1959</v>
      </c>
      <c r="B922" s="7" t="s">
        <v>507</v>
      </c>
      <c r="C922" s="8">
        <v>1</v>
      </c>
      <c r="D922" s="7" t="s">
        <v>1959</v>
      </c>
      <c r="E922" s="7" t="s">
        <v>2059</v>
      </c>
      <c r="F922">
        <v>1358</v>
      </c>
      <c r="G922" s="6">
        <v>25283</v>
      </c>
      <c r="H922" s="11" t="s">
        <v>2060</v>
      </c>
      <c r="I922" s="6">
        <v>16</v>
      </c>
      <c r="J922" s="6">
        <v>13</v>
      </c>
      <c r="K922" s="6">
        <v>47</v>
      </c>
      <c r="L922" s="6">
        <v>69</v>
      </c>
      <c r="M922" s="10">
        <f t="shared" si="42"/>
        <v>68.115942028985501</v>
      </c>
      <c r="N922" s="10">
        <f t="shared" si="43"/>
        <v>69</v>
      </c>
      <c r="O922" s="6" t="s">
        <v>19</v>
      </c>
      <c r="P922" s="6">
        <v>2</v>
      </c>
      <c r="Q922" s="6">
        <v>1</v>
      </c>
      <c r="R922" s="6">
        <v>5</v>
      </c>
      <c r="S922" s="6">
        <v>8</v>
      </c>
      <c r="T922" s="6" t="str">
        <f t="shared" si="44"/>
        <v>Quinta</v>
      </c>
    </row>
    <row r="923" spans="1:20">
      <c r="A923" s="7" t="s">
        <v>1959</v>
      </c>
      <c r="B923" s="7" t="s">
        <v>507</v>
      </c>
      <c r="C923" s="8">
        <v>1</v>
      </c>
      <c r="D923" s="7" t="s">
        <v>1959</v>
      </c>
      <c r="E923" s="7" t="s">
        <v>2061</v>
      </c>
      <c r="F923">
        <v>1198</v>
      </c>
      <c r="G923" s="6">
        <v>22198</v>
      </c>
      <c r="H923" s="11" t="s">
        <v>2062</v>
      </c>
      <c r="I923" s="6">
        <v>39</v>
      </c>
      <c r="J923" s="6">
        <v>13</v>
      </c>
      <c r="K923" s="6">
        <v>31</v>
      </c>
      <c r="L923" s="6">
        <v>50</v>
      </c>
      <c r="M923" s="10">
        <f t="shared" si="42"/>
        <v>62</v>
      </c>
      <c r="N923" s="10">
        <f t="shared" si="43"/>
        <v>62</v>
      </c>
      <c r="O923" s="6" t="s">
        <v>167</v>
      </c>
      <c r="P923" s="6">
        <v>0</v>
      </c>
      <c r="Q923" s="6">
        <v>3</v>
      </c>
      <c r="R923" s="6">
        <v>3</v>
      </c>
      <c r="S923" s="6">
        <v>6</v>
      </c>
      <c r="T923" s="6" t="str">
        <f t="shared" si="44"/>
        <v>Sexta</v>
      </c>
    </row>
    <row r="924" spans="1:20">
      <c r="A924" s="7" t="s">
        <v>1959</v>
      </c>
      <c r="B924" s="7" t="s">
        <v>507</v>
      </c>
      <c r="C924" s="8">
        <v>1</v>
      </c>
      <c r="D924" s="7" t="s">
        <v>1959</v>
      </c>
      <c r="E924" s="7" t="s">
        <v>2063</v>
      </c>
      <c r="F924">
        <v>1151</v>
      </c>
      <c r="G924" s="6">
        <v>6009</v>
      </c>
      <c r="H924" s="11" t="s">
        <v>2064</v>
      </c>
      <c r="I924" s="6">
        <v>49</v>
      </c>
      <c r="J924" s="6">
        <v>8</v>
      </c>
      <c r="K924" s="6">
        <v>28</v>
      </c>
      <c r="L924" s="6">
        <v>78</v>
      </c>
      <c r="M924" s="10">
        <f t="shared" si="42"/>
        <v>35.897435897435898</v>
      </c>
      <c r="N924" s="10">
        <f t="shared" si="43"/>
        <v>36</v>
      </c>
      <c r="O924" s="6" t="s">
        <v>70</v>
      </c>
      <c r="P924" s="6">
        <v>2</v>
      </c>
      <c r="Q924" s="6">
        <v>3</v>
      </c>
      <c r="R924" s="6">
        <v>0</v>
      </c>
      <c r="S924" s="6">
        <v>5</v>
      </c>
      <c r="T924" s="6" t="str">
        <f t="shared" si="44"/>
        <v>Sexta</v>
      </c>
    </row>
    <row r="925" spans="1:20">
      <c r="A925" s="7" t="s">
        <v>1959</v>
      </c>
      <c r="B925" s="7" t="s">
        <v>507</v>
      </c>
      <c r="C925" s="8">
        <v>1</v>
      </c>
      <c r="D925" s="7" t="s">
        <v>1959</v>
      </c>
      <c r="E925" s="7" t="s">
        <v>2065</v>
      </c>
      <c r="F925">
        <v>1059</v>
      </c>
      <c r="G925" s="6">
        <v>26259</v>
      </c>
      <c r="H925" s="11" t="s">
        <v>2066</v>
      </c>
      <c r="I925" s="6">
        <v>19</v>
      </c>
      <c r="J925" s="6">
        <v>19</v>
      </c>
      <c r="K925" s="6">
        <v>33</v>
      </c>
      <c r="L925" s="6">
        <v>42</v>
      </c>
      <c r="M925" s="10">
        <f t="shared" si="42"/>
        <v>78.571428571428569</v>
      </c>
      <c r="N925" s="10">
        <f t="shared" si="43"/>
        <v>79</v>
      </c>
      <c r="O925" s="6" t="s">
        <v>19</v>
      </c>
      <c r="P925" s="6">
        <v>1</v>
      </c>
      <c r="Q925" s="6">
        <v>1</v>
      </c>
      <c r="R925" s="6">
        <v>5</v>
      </c>
      <c r="S925" s="6">
        <v>7</v>
      </c>
      <c r="T925" s="6" t="str">
        <f t="shared" si="44"/>
        <v>Septima</v>
      </c>
    </row>
    <row r="926" spans="1:20">
      <c r="A926" s="7" t="s">
        <v>1959</v>
      </c>
      <c r="B926" s="7" t="s">
        <v>507</v>
      </c>
      <c r="C926" s="8">
        <v>1</v>
      </c>
      <c r="D926" s="7" t="s">
        <v>1959</v>
      </c>
      <c r="E926" s="7" t="s">
        <v>2067</v>
      </c>
      <c r="F926">
        <v>1221</v>
      </c>
      <c r="G926" s="6">
        <v>27144</v>
      </c>
      <c r="H926" s="11" t="s">
        <v>2068</v>
      </c>
      <c r="I926" s="6">
        <v>10</v>
      </c>
      <c r="J926" s="6">
        <v>12</v>
      </c>
      <c r="K926" s="6">
        <v>31</v>
      </c>
      <c r="L926" s="6">
        <v>56</v>
      </c>
      <c r="M926" s="10">
        <f t="shared" si="42"/>
        <v>55.357142857142854</v>
      </c>
      <c r="N926" s="10">
        <f t="shared" si="43"/>
        <v>56</v>
      </c>
      <c r="O926" s="6" t="s">
        <v>68</v>
      </c>
      <c r="P926" s="6">
        <v>3</v>
      </c>
      <c r="Q926" s="6">
        <v>1</v>
      </c>
      <c r="R926" s="6">
        <v>4</v>
      </c>
      <c r="S926" s="6">
        <v>8</v>
      </c>
      <c r="T926" s="6" t="str">
        <f t="shared" si="44"/>
        <v>Quinta</v>
      </c>
    </row>
    <row r="927" spans="1:20">
      <c r="A927" s="7" t="s">
        <v>1959</v>
      </c>
      <c r="B927" s="7" t="s">
        <v>526</v>
      </c>
      <c r="C927" s="8">
        <v>1</v>
      </c>
      <c r="D927" s="7" t="s">
        <v>1959</v>
      </c>
      <c r="E927" s="7" t="s">
        <v>2061</v>
      </c>
      <c r="F927">
        <v>1198</v>
      </c>
      <c r="G927" s="6">
        <v>22198</v>
      </c>
      <c r="H927" s="11" t="s">
        <v>2062</v>
      </c>
      <c r="I927" s="6">
        <v>39</v>
      </c>
      <c r="J927" s="6">
        <v>13</v>
      </c>
      <c r="K927" s="6">
        <v>31</v>
      </c>
      <c r="L927" s="6">
        <v>50</v>
      </c>
      <c r="M927" s="10">
        <f t="shared" si="42"/>
        <v>62</v>
      </c>
      <c r="N927" s="10">
        <f t="shared" si="43"/>
        <v>62</v>
      </c>
      <c r="O927" s="6" t="s">
        <v>167</v>
      </c>
      <c r="P927" s="6">
        <v>0</v>
      </c>
      <c r="Q927" s="6">
        <v>3</v>
      </c>
      <c r="R927" s="6">
        <v>3</v>
      </c>
      <c r="S927" s="6">
        <v>6</v>
      </c>
      <c r="T927" s="6" t="str">
        <f t="shared" si="44"/>
        <v>Sexta</v>
      </c>
    </row>
    <row r="928" spans="1:20">
      <c r="A928" s="7" t="s">
        <v>1959</v>
      </c>
      <c r="B928" s="7" t="s">
        <v>526</v>
      </c>
      <c r="C928" s="8">
        <v>1</v>
      </c>
      <c r="D928" s="7" t="s">
        <v>1959</v>
      </c>
      <c r="E928" s="7" t="s">
        <v>2069</v>
      </c>
      <c r="F928">
        <v>1115</v>
      </c>
      <c r="G928" s="6">
        <v>5850</v>
      </c>
      <c r="H928" s="11" t="s">
        <v>2070</v>
      </c>
      <c r="I928" s="6">
        <v>67</v>
      </c>
      <c r="J928" s="6">
        <v>42</v>
      </c>
      <c r="K928" s="6">
        <v>68</v>
      </c>
      <c r="L928" s="6">
        <v>40</v>
      </c>
      <c r="M928" s="10">
        <f t="shared" si="42"/>
        <v>170</v>
      </c>
      <c r="N928" s="10">
        <f t="shared" si="43"/>
        <v>170</v>
      </c>
      <c r="O928" s="6" t="s">
        <v>219</v>
      </c>
      <c r="P928" s="6">
        <v>1</v>
      </c>
      <c r="Q928" s="6">
        <v>2</v>
      </c>
      <c r="R928" s="6">
        <v>6</v>
      </c>
      <c r="S928" s="6">
        <v>9</v>
      </c>
      <c r="T928" s="6" t="str">
        <f t="shared" si="44"/>
        <v>Sexta</v>
      </c>
    </row>
    <row r="929" spans="1:20">
      <c r="A929" s="7" t="s">
        <v>1959</v>
      </c>
      <c r="B929" s="7" t="s">
        <v>526</v>
      </c>
      <c r="C929" s="8">
        <v>1</v>
      </c>
      <c r="D929" s="7" t="s">
        <v>1959</v>
      </c>
      <c r="E929" s="7" t="s">
        <v>2071</v>
      </c>
      <c r="F929">
        <v>1058</v>
      </c>
      <c r="G929" s="6">
        <v>24340</v>
      </c>
      <c r="H929" s="11" t="s">
        <v>2072</v>
      </c>
      <c r="I929" s="6">
        <v>18</v>
      </c>
      <c r="J929" s="6">
        <v>17</v>
      </c>
      <c r="K929" s="6">
        <v>37</v>
      </c>
      <c r="L929" s="6">
        <v>50</v>
      </c>
      <c r="M929" s="10">
        <f t="shared" si="42"/>
        <v>74</v>
      </c>
      <c r="N929" s="10">
        <f t="shared" si="43"/>
        <v>74</v>
      </c>
      <c r="O929" s="6" t="s">
        <v>267</v>
      </c>
      <c r="P929" s="6">
        <v>1</v>
      </c>
      <c r="Q929" s="6">
        <v>2</v>
      </c>
      <c r="R929" s="6">
        <v>2</v>
      </c>
      <c r="S929" s="6">
        <v>5</v>
      </c>
      <c r="T929" s="6" t="str">
        <f t="shared" si="44"/>
        <v>Septima</v>
      </c>
    </row>
    <row r="930" spans="1:20">
      <c r="A930" s="7" t="s">
        <v>1959</v>
      </c>
      <c r="B930" s="7" t="s">
        <v>526</v>
      </c>
      <c r="C930" s="8">
        <v>1</v>
      </c>
      <c r="D930" s="7" t="s">
        <v>1959</v>
      </c>
      <c r="E930" s="7" t="s">
        <v>2073</v>
      </c>
      <c r="F930">
        <v>1063</v>
      </c>
      <c r="G930" s="6">
        <v>26694</v>
      </c>
      <c r="H930" s="11" t="s">
        <v>2074</v>
      </c>
      <c r="I930" s="6">
        <v>48</v>
      </c>
      <c r="J930" s="6">
        <v>20</v>
      </c>
      <c r="K930" s="6">
        <v>42</v>
      </c>
      <c r="L930" s="6">
        <v>45</v>
      </c>
      <c r="M930" s="10">
        <f t="shared" si="42"/>
        <v>93.333333333333329</v>
      </c>
      <c r="N930" s="10">
        <f t="shared" si="43"/>
        <v>94</v>
      </c>
      <c r="O930" s="6" t="s">
        <v>19</v>
      </c>
      <c r="P930" s="6">
        <v>0</v>
      </c>
      <c r="Q930" s="6">
        <v>3</v>
      </c>
      <c r="R930" s="6">
        <v>8</v>
      </c>
      <c r="S930" s="6">
        <v>11</v>
      </c>
      <c r="T930" s="6" t="str">
        <f t="shared" si="44"/>
        <v>Septima</v>
      </c>
    </row>
    <row r="931" spans="1:20">
      <c r="A931" s="7" t="s">
        <v>1959</v>
      </c>
      <c r="B931" s="7" t="s">
        <v>526</v>
      </c>
      <c r="C931" s="8">
        <v>1</v>
      </c>
      <c r="D931" s="7" t="s">
        <v>1959</v>
      </c>
      <c r="E931" s="7" t="s">
        <v>2065</v>
      </c>
      <c r="F931">
        <v>1059</v>
      </c>
      <c r="G931" s="6">
        <v>26259</v>
      </c>
      <c r="H931" s="11" t="s">
        <v>2066</v>
      </c>
      <c r="I931" s="6">
        <v>19</v>
      </c>
      <c r="J931" s="6">
        <v>19</v>
      </c>
      <c r="K931" s="6">
        <v>33</v>
      </c>
      <c r="L931" s="6">
        <v>42</v>
      </c>
      <c r="M931" s="10">
        <f t="shared" si="42"/>
        <v>78.571428571428569</v>
      </c>
      <c r="N931" s="10">
        <f t="shared" si="43"/>
        <v>79</v>
      </c>
      <c r="O931" s="6" t="s">
        <v>19</v>
      </c>
      <c r="P931" s="6">
        <v>1</v>
      </c>
      <c r="Q931" s="6">
        <v>1</v>
      </c>
      <c r="R931" s="6">
        <v>5</v>
      </c>
      <c r="S931" s="6">
        <v>7</v>
      </c>
      <c r="T931" s="6" t="str">
        <f t="shared" si="44"/>
        <v>Septima</v>
      </c>
    </row>
    <row r="932" spans="1:20">
      <c r="A932" s="7" t="s">
        <v>1959</v>
      </c>
      <c r="B932" s="7" t="s">
        <v>526</v>
      </c>
      <c r="C932" s="8">
        <v>1</v>
      </c>
      <c r="D932" s="7" t="s">
        <v>1959</v>
      </c>
      <c r="E932" s="7" t="s">
        <v>2067</v>
      </c>
      <c r="F932">
        <v>1221</v>
      </c>
      <c r="G932" s="6">
        <v>27144</v>
      </c>
      <c r="H932" s="11" t="s">
        <v>2068</v>
      </c>
      <c r="I932" s="6">
        <v>10</v>
      </c>
      <c r="J932" s="6">
        <v>12</v>
      </c>
      <c r="K932" s="6">
        <v>31</v>
      </c>
      <c r="L932" s="6">
        <v>56</v>
      </c>
      <c r="M932" s="10">
        <f t="shared" si="42"/>
        <v>55.357142857142854</v>
      </c>
      <c r="N932" s="10">
        <f t="shared" si="43"/>
        <v>56</v>
      </c>
      <c r="O932" s="6" t="s">
        <v>68</v>
      </c>
      <c r="P932" s="6">
        <v>3</v>
      </c>
      <c r="Q932" s="6">
        <v>1</v>
      </c>
      <c r="R932" s="6">
        <v>4</v>
      </c>
      <c r="S932" s="6">
        <v>8</v>
      </c>
      <c r="T932" s="6" t="str">
        <f t="shared" si="44"/>
        <v>Quinta</v>
      </c>
    </row>
    <row r="933" spans="1:20">
      <c r="A933" s="7" t="s">
        <v>1959</v>
      </c>
      <c r="B933" s="7" t="s">
        <v>526</v>
      </c>
      <c r="C933" s="8">
        <v>1</v>
      </c>
      <c r="D933" s="7" t="s">
        <v>1959</v>
      </c>
      <c r="E933" s="7" t="s">
        <v>2075</v>
      </c>
      <c r="F933">
        <v>869</v>
      </c>
      <c r="G933" s="6">
        <v>29508</v>
      </c>
      <c r="H933" s="11" t="s">
        <v>1977</v>
      </c>
      <c r="I933" s="6">
        <v>24</v>
      </c>
      <c r="J933" s="6">
        <v>2</v>
      </c>
      <c r="K933" s="6">
        <v>0</v>
      </c>
      <c r="L933" s="6">
        <v>0</v>
      </c>
      <c r="M933" s="10">
        <f t="shared" si="42"/>
        <v>0</v>
      </c>
      <c r="N933" s="10">
        <f t="shared" si="43"/>
        <v>0</v>
      </c>
      <c r="O933" s="6" t="s">
        <v>19</v>
      </c>
      <c r="P933" s="6">
        <v>0</v>
      </c>
      <c r="Q933" s="6">
        <v>0</v>
      </c>
      <c r="R933" s="6">
        <v>0</v>
      </c>
      <c r="S933" s="6">
        <v>0</v>
      </c>
      <c r="T933" s="6" t="str">
        <f t="shared" si="44"/>
        <v>Octava</v>
      </c>
    </row>
    <row r="934" spans="1:20">
      <c r="A934" s="7" t="s">
        <v>1959</v>
      </c>
      <c r="B934" s="7" t="s">
        <v>526</v>
      </c>
      <c r="C934" s="8">
        <v>1</v>
      </c>
      <c r="D934" s="7" t="s">
        <v>1959</v>
      </c>
      <c r="E934" s="7" t="s">
        <v>2076</v>
      </c>
      <c r="F934">
        <v>1000</v>
      </c>
      <c r="G934" s="6">
        <v>14746</v>
      </c>
      <c r="H934" s="11" t="s">
        <v>2077</v>
      </c>
      <c r="I934" s="6">
        <v>35</v>
      </c>
      <c r="J934" s="6">
        <v>0</v>
      </c>
      <c r="K934" s="6">
        <v>0</v>
      </c>
      <c r="L934" s="6">
        <v>0</v>
      </c>
      <c r="M934" s="10">
        <f t="shared" si="42"/>
        <v>0</v>
      </c>
      <c r="N934" s="10">
        <f t="shared" si="43"/>
        <v>0</v>
      </c>
      <c r="P934" s="6">
        <v>0</v>
      </c>
      <c r="Q934" s="6">
        <v>0</v>
      </c>
      <c r="R934" s="6">
        <v>0</v>
      </c>
      <c r="S934" s="6">
        <v>0</v>
      </c>
      <c r="T934" s="6" t="str">
        <f t="shared" si="44"/>
        <v>Septima</v>
      </c>
    </row>
    <row r="935" spans="1:20">
      <c r="A935" s="7" t="s">
        <v>2078</v>
      </c>
      <c r="B935" s="7" t="s">
        <v>507</v>
      </c>
      <c r="C935" s="8">
        <v>1</v>
      </c>
      <c r="D935" s="7" t="s">
        <v>2078</v>
      </c>
      <c r="E935" s="7" t="s">
        <v>2079</v>
      </c>
      <c r="F935">
        <v>1437</v>
      </c>
      <c r="G935" s="6">
        <v>23709</v>
      </c>
      <c r="H935" s="11" t="s">
        <v>2080</v>
      </c>
      <c r="I935" s="6">
        <v>16</v>
      </c>
      <c r="J935" s="6">
        <v>3</v>
      </c>
      <c r="K935" s="6">
        <v>13</v>
      </c>
      <c r="L935" s="6">
        <v>81</v>
      </c>
      <c r="M935" s="10">
        <f t="shared" si="42"/>
        <v>16.049382716049383</v>
      </c>
      <c r="N935" s="10">
        <f t="shared" si="43"/>
        <v>17</v>
      </c>
      <c r="O935" s="6" t="s">
        <v>12</v>
      </c>
      <c r="P935" s="6">
        <v>1</v>
      </c>
      <c r="Q935" s="6">
        <v>0</v>
      </c>
      <c r="R935" s="6">
        <v>1</v>
      </c>
      <c r="S935" s="6">
        <v>2</v>
      </c>
      <c r="T935" s="6" t="str">
        <f t="shared" si="44"/>
        <v>Cuarta</v>
      </c>
    </row>
    <row r="936" spans="1:20">
      <c r="A936" s="7" t="s">
        <v>2078</v>
      </c>
      <c r="B936" s="7" t="s">
        <v>507</v>
      </c>
      <c r="C936" s="8">
        <v>1</v>
      </c>
      <c r="D936" s="7" t="s">
        <v>2078</v>
      </c>
      <c r="E936" s="7" t="s">
        <v>2081</v>
      </c>
      <c r="F936">
        <v>2329</v>
      </c>
      <c r="G936" s="6">
        <v>19937</v>
      </c>
      <c r="H936" s="11" t="s">
        <v>1965</v>
      </c>
      <c r="I936" s="6">
        <v>16</v>
      </c>
      <c r="J936" s="6">
        <v>89</v>
      </c>
      <c r="K936" s="6">
        <v>328</v>
      </c>
      <c r="L936" s="6">
        <v>61</v>
      </c>
      <c r="M936" s="10">
        <f t="shared" si="42"/>
        <v>537.70491803278685</v>
      </c>
      <c r="N936" s="10">
        <f t="shared" si="43"/>
        <v>538</v>
      </c>
      <c r="O936" s="6" t="s">
        <v>9</v>
      </c>
      <c r="P936" s="6">
        <v>14</v>
      </c>
      <c r="Q936" s="6">
        <v>8</v>
      </c>
      <c r="R936" s="6">
        <v>21</v>
      </c>
      <c r="S936" s="6">
        <v>43</v>
      </c>
      <c r="T936" s="6" t="str">
        <f t="shared" si="44"/>
        <v>Primera</v>
      </c>
    </row>
    <row r="937" spans="1:20">
      <c r="A937" s="7" t="s">
        <v>2078</v>
      </c>
      <c r="B937" s="7" t="s">
        <v>507</v>
      </c>
      <c r="C937" s="8">
        <v>1</v>
      </c>
      <c r="D937" s="7" t="s">
        <v>2078</v>
      </c>
      <c r="E937" s="7" t="s">
        <v>2082</v>
      </c>
      <c r="F937">
        <v>1076</v>
      </c>
      <c r="G937" s="6">
        <v>24835</v>
      </c>
      <c r="H937" s="11" t="s">
        <v>2083</v>
      </c>
      <c r="I937" s="6">
        <v>17</v>
      </c>
      <c r="J937" s="6">
        <v>9</v>
      </c>
      <c r="K937" s="6">
        <v>14</v>
      </c>
      <c r="L937" s="6">
        <v>40</v>
      </c>
      <c r="M937" s="10">
        <f t="shared" si="42"/>
        <v>35</v>
      </c>
      <c r="N937" s="10">
        <f t="shared" si="43"/>
        <v>35</v>
      </c>
      <c r="O937" s="6" t="s">
        <v>268</v>
      </c>
      <c r="P937" s="6">
        <v>0</v>
      </c>
      <c r="Q937" s="6">
        <v>1</v>
      </c>
      <c r="R937" s="6">
        <v>1</v>
      </c>
      <c r="S937" s="6">
        <v>2</v>
      </c>
      <c r="T937" s="6" t="str">
        <f t="shared" si="44"/>
        <v>Septima</v>
      </c>
    </row>
    <row r="938" spans="1:20">
      <c r="A938" s="7" t="s">
        <v>2078</v>
      </c>
      <c r="B938" s="7" t="s">
        <v>507</v>
      </c>
      <c r="C938" s="8">
        <v>1</v>
      </c>
      <c r="D938" s="7" t="s">
        <v>2078</v>
      </c>
      <c r="E938" s="7" t="s">
        <v>2084</v>
      </c>
      <c r="F938">
        <v>1173</v>
      </c>
      <c r="G938" s="6">
        <v>23676</v>
      </c>
      <c r="H938" s="11" t="s">
        <v>2085</v>
      </c>
      <c r="I938" s="6">
        <v>17</v>
      </c>
      <c r="J938" s="6">
        <v>28</v>
      </c>
      <c r="K938" s="6">
        <v>53</v>
      </c>
      <c r="L938" s="6">
        <v>45</v>
      </c>
      <c r="M938" s="10">
        <f t="shared" si="42"/>
        <v>117.77777777777777</v>
      </c>
      <c r="N938" s="10">
        <f t="shared" si="43"/>
        <v>118</v>
      </c>
      <c r="O938" s="6" t="s">
        <v>269</v>
      </c>
      <c r="P938" s="6">
        <v>1</v>
      </c>
      <c r="Q938" s="6">
        <v>2</v>
      </c>
      <c r="R938" s="6">
        <v>7</v>
      </c>
      <c r="S938" s="6">
        <v>10</v>
      </c>
      <c r="T938" s="6" t="str">
        <f t="shared" si="44"/>
        <v>Sexta</v>
      </c>
    </row>
    <row r="939" spans="1:20">
      <c r="A939" s="7" t="s">
        <v>2078</v>
      </c>
      <c r="B939" s="7" t="s">
        <v>507</v>
      </c>
      <c r="C939" s="8">
        <v>1</v>
      </c>
      <c r="D939" s="7" t="s">
        <v>2078</v>
      </c>
      <c r="E939" s="7" t="s">
        <v>2086</v>
      </c>
      <c r="F939">
        <v>1053</v>
      </c>
      <c r="G939" s="6">
        <v>23801</v>
      </c>
      <c r="H939" s="11" t="s">
        <v>2087</v>
      </c>
      <c r="I939" s="6">
        <v>17</v>
      </c>
      <c r="J939" s="6">
        <v>1</v>
      </c>
      <c r="K939" s="6">
        <v>6</v>
      </c>
      <c r="L939" s="6">
        <v>86</v>
      </c>
      <c r="M939" s="10">
        <f t="shared" si="42"/>
        <v>6.9767441860465116</v>
      </c>
      <c r="N939" s="10">
        <f t="shared" si="43"/>
        <v>7</v>
      </c>
      <c r="O939" s="6" t="s">
        <v>108</v>
      </c>
      <c r="P939" s="6">
        <v>1</v>
      </c>
      <c r="Q939" s="6">
        <v>0</v>
      </c>
      <c r="R939" s="6">
        <v>0</v>
      </c>
      <c r="S939" s="6">
        <v>1</v>
      </c>
      <c r="T939" s="6" t="str">
        <f t="shared" si="44"/>
        <v>Septima</v>
      </c>
    </row>
    <row r="940" spans="1:20">
      <c r="A940" s="7" t="s">
        <v>2078</v>
      </c>
      <c r="B940" s="7" t="s">
        <v>507</v>
      </c>
      <c r="C940" s="8">
        <v>1</v>
      </c>
      <c r="D940" s="7" t="s">
        <v>2078</v>
      </c>
      <c r="E940" s="7" t="s">
        <v>2088</v>
      </c>
      <c r="F940">
        <v>1059</v>
      </c>
      <c r="G940" s="6">
        <v>23273</v>
      </c>
      <c r="H940" s="11" t="s">
        <v>2089</v>
      </c>
      <c r="I940" s="6">
        <v>19</v>
      </c>
      <c r="J940" s="6">
        <v>107</v>
      </c>
      <c r="K940" s="6">
        <v>199</v>
      </c>
      <c r="L940" s="6">
        <v>44</v>
      </c>
      <c r="M940" s="10">
        <f t="shared" si="42"/>
        <v>452.27272727272725</v>
      </c>
      <c r="N940" s="10">
        <f t="shared" si="43"/>
        <v>453</v>
      </c>
      <c r="O940" s="6" t="s">
        <v>18</v>
      </c>
      <c r="P940" s="6">
        <v>3</v>
      </c>
      <c r="Q940" s="6">
        <v>5</v>
      </c>
      <c r="R940" s="6">
        <v>12</v>
      </c>
      <c r="S940" s="6">
        <v>20</v>
      </c>
      <c r="T940" s="6" t="str">
        <f t="shared" si="44"/>
        <v>Septima</v>
      </c>
    </row>
    <row r="941" spans="1:20">
      <c r="A941" s="7" t="s">
        <v>2078</v>
      </c>
      <c r="B941" s="7" t="s">
        <v>507</v>
      </c>
      <c r="C941" s="8">
        <v>1</v>
      </c>
      <c r="D941" s="7" t="s">
        <v>2078</v>
      </c>
      <c r="E941" s="7" t="s">
        <v>2090</v>
      </c>
      <c r="F941">
        <v>1218</v>
      </c>
      <c r="G941" s="6">
        <v>18454</v>
      </c>
      <c r="H941" s="11" t="s">
        <v>2091</v>
      </c>
      <c r="I941" s="6">
        <v>22</v>
      </c>
      <c r="J941" s="6">
        <v>1</v>
      </c>
      <c r="K941" s="6">
        <v>0</v>
      </c>
      <c r="L941" s="6">
        <v>0</v>
      </c>
      <c r="M941" s="10">
        <f t="shared" si="42"/>
        <v>0</v>
      </c>
      <c r="N941" s="10">
        <f t="shared" si="43"/>
        <v>0</v>
      </c>
      <c r="O941" s="6" t="s">
        <v>270</v>
      </c>
      <c r="P941" s="6">
        <v>0</v>
      </c>
      <c r="Q941" s="6">
        <v>0</v>
      </c>
      <c r="R941" s="6">
        <v>0</v>
      </c>
      <c r="S941" s="6">
        <v>0</v>
      </c>
      <c r="T941" s="6" t="str">
        <f t="shared" si="44"/>
        <v>Quinta</v>
      </c>
    </row>
    <row r="942" spans="1:20">
      <c r="A942" s="7" t="s">
        <v>2078</v>
      </c>
      <c r="B942" s="7" t="s">
        <v>507</v>
      </c>
      <c r="C942" s="8">
        <v>1</v>
      </c>
      <c r="D942" s="7" t="s">
        <v>2078</v>
      </c>
      <c r="E942" s="7" t="s">
        <v>2092</v>
      </c>
      <c r="F942">
        <v>1103</v>
      </c>
      <c r="G942" s="6">
        <v>23295</v>
      </c>
      <c r="H942" s="11" t="s">
        <v>2093</v>
      </c>
      <c r="I942" s="6">
        <v>19</v>
      </c>
      <c r="J942" s="6">
        <v>36</v>
      </c>
      <c r="K942" s="6">
        <v>70</v>
      </c>
      <c r="L942" s="6">
        <v>49</v>
      </c>
      <c r="M942" s="10">
        <f t="shared" si="42"/>
        <v>142.85714285714286</v>
      </c>
      <c r="N942" s="10">
        <f t="shared" si="43"/>
        <v>143</v>
      </c>
      <c r="O942" s="6" t="s">
        <v>19</v>
      </c>
      <c r="P942" s="6">
        <v>2</v>
      </c>
      <c r="Q942" s="6">
        <v>3</v>
      </c>
      <c r="R942" s="6">
        <v>4</v>
      </c>
      <c r="S942" s="6">
        <v>9</v>
      </c>
      <c r="T942" s="6" t="str">
        <f t="shared" si="44"/>
        <v>Sexta</v>
      </c>
    </row>
    <row r="943" spans="1:20">
      <c r="A943" s="7" t="s">
        <v>2078</v>
      </c>
      <c r="B943" s="7" t="s">
        <v>526</v>
      </c>
      <c r="C943" s="8">
        <v>1</v>
      </c>
      <c r="D943" s="7" t="s">
        <v>2078</v>
      </c>
      <c r="E943" s="7" t="s">
        <v>2084</v>
      </c>
      <c r="F943">
        <v>1173</v>
      </c>
      <c r="G943" s="6">
        <v>23676</v>
      </c>
      <c r="H943" s="11" t="s">
        <v>2085</v>
      </c>
      <c r="I943" s="6">
        <v>17</v>
      </c>
      <c r="J943" s="6">
        <v>28</v>
      </c>
      <c r="K943" s="6">
        <v>53</v>
      </c>
      <c r="L943" s="6">
        <v>45</v>
      </c>
      <c r="M943" s="10">
        <f t="shared" si="42"/>
        <v>117.77777777777777</v>
      </c>
      <c r="N943" s="10">
        <f t="shared" si="43"/>
        <v>118</v>
      </c>
      <c r="O943" s="6" t="s">
        <v>269</v>
      </c>
      <c r="P943" s="6">
        <v>1</v>
      </c>
      <c r="Q943" s="6">
        <v>2</v>
      </c>
      <c r="R943" s="6">
        <v>7</v>
      </c>
      <c r="S943" s="6">
        <v>10</v>
      </c>
      <c r="T943" s="6" t="str">
        <f t="shared" si="44"/>
        <v>Sexta</v>
      </c>
    </row>
    <row r="944" spans="1:20">
      <c r="A944" s="7" t="s">
        <v>2078</v>
      </c>
      <c r="B944" s="7" t="s">
        <v>526</v>
      </c>
      <c r="C944" s="8">
        <v>1</v>
      </c>
      <c r="D944" s="7" t="s">
        <v>2078</v>
      </c>
      <c r="E944" s="7" t="s">
        <v>2094</v>
      </c>
      <c r="F944">
        <v>1082</v>
      </c>
      <c r="G944" s="6">
        <v>15418</v>
      </c>
      <c r="H944" s="11" t="s">
        <v>2095</v>
      </c>
      <c r="I944" s="6">
        <v>75</v>
      </c>
      <c r="J944" s="6">
        <v>67</v>
      </c>
      <c r="K944" s="6">
        <v>80</v>
      </c>
      <c r="L944" s="6">
        <v>33</v>
      </c>
      <c r="M944" s="10">
        <f t="shared" si="42"/>
        <v>242.42424242424244</v>
      </c>
      <c r="N944" s="10">
        <f t="shared" si="43"/>
        <v>243</v>
      </c>
      <c r="O944" s="6" t="s">
        <v>71</v>
      </c>
      <c r="P944" s="6">
        <v>0</v>
      </c>
      <c r="Q944" s="6">
        <v>1</v>
      </c>
      <c r="R944" s="6">
        <v>3</v>
      </c>
      <c r="S944" s="6">
        <v>4</v>
      </c>
      <c r="T944" s="6" t="str">
        <f t="shared" si="44"/>
        <v>Sexta</v>
      </c>
    </row>
    <row r="945" spans="1:20">
      <c r="A945" s="7" t="s">
        <v>2078</v>
      </c>
      <c r="B945" s="7" t="s">
        <v>526</v>
      </c>
      <c r="C945" s="8">
        <v>1</v>
      </c>
      <c r="D945" s="7" t="s">
        <v>2078</v>
      </c>
      <c r="E945" s="7" t="s">
        <v>2086</v>
      </c>
      <c r="F945">
        <v>1053</v>
      </c>
      <c r="G945" s="6">
        <v>23801</v>
      </c>
      <c r="H945" s="11" t="s">
        <v>2087</v>
      </c>
      <c r="I945" s="6">
        <v>17</v>
      </c>
      <c r="J945" s="6">
        <v>1</v>
      </c>
      <c r="K945" s="6">
        <v>6</v>
      </c>
      <c r="L945" s="6">
        <v>86</v>
      </c>
      <c r="M945" s="10">
        <f t="shared" si="42"/>
        <v>6.9767441860465116</v>
      </c>
      <c r="N945" s="10">
        <f t="shared" si="43"/>
        <v>7</v>
      </c>
      <c r="O945" s="6" t="s">
        <v>108</v>
      </c>
      <c r="P945" s="6">
        <v>1</v>
      </c>
      <c r="Q945" s="6">
        <v>0</v>
      </c>
      <c r="R945" s="6">
        <v>0</v>
      </c>
      <c r="S945" s="6">
        <v>1</v>
      </c>
      <c r="T945" s="6" t="str">
        <f t="shared" si="44"/>
        <v>Septima</v>
      </c>
    </row>
    <row r="946" spans="1:20">
      <c r="A946" s="7" t="s">
        <v>2078</v>
      </c>
      <c r="B946" s="7" t="s">
        <v>526</v>
      </c>
      <c r="C946" s="8">
        <v>1</v>
      </c>
      <c r="D946" s="7" t="s">
        <v>2078</v>
      </c>
      <c r="E946" s="7" t="s">
        <v>2088</v>
      </c>
      <c r="F946">
        <v>1059</v>
      </c>
      <c r="G946" s="6">
        <v>23273</v>
      </c>
      <c r="H946" s="11" t="s">
        <v>2089</v>
      </c>
      <c r="I946" s="6">
        <v>19</v>
      </c>
      <c r="J946" s="6">
        <v>107</v>
      </c>
      <c r="K946" s="6">
        <v>199</v>
      </c>
      <c r="L946" s="6">
        <v>44</v>
      </c>
      <c r="M946" s="10">
        <f t="shared" si="42"/>
        <v>452.27272727272725</v>
      </c>
      <c r="N946" s="10">
        <f t="shared" si="43"/>
        <v>453</v>
      </c>
      <c r="O946" s="6" t="s">
        <v>18</v>
      </c>
      <c r="P946" s="6">
        <v>3</v>
      </c>
      <c r="Q946" s="6">
        <v>5</v>
      </c>
      <c r="R946" s="6">
        <v>12</v>
      </c>
      <c r="S946" s="6">
        <v>20</v>
      </c>
      <c r="T946" s="6" t="str">
        <f t="shared" si="44"/>
        <v>Septima</v>
      </c>
    </row>
    <row r="947" spans="1:20">
      <c r="A947" s="7" t="s">
        <v>2078</v>
      </c>
      <c r="B947" s="7" t="s">
        <v>526</v>
      </c>
      <c r="C947" s="8">
        <v>1</v>
      </c>
      <c r="D947" s="7" t="s">
        <v>2078</v>
      </c>
      <c r="E947" s="7" t="s">
        <v>2090</v>
      </c>
      <c r="F947">
        <v>1218</v>
      </c>
      <c r="G947" s="6">
        <v>18454</v>
      </c>
      <c r="H947" s="11" t="s">
        <v>2091</v>
      </c>
      <c r="I947" s="6">
        <v>22</v>
      </c>
      <c r="J947" s="6">
        <v>1</v>
      </c>
      <c r="K947" s="6">
        <v>0</v>
      </c>
      <c r="L947" s="6">
        <v>0</v>
      </c>
      <c r="M947" s="10">
        <f t="shared" si="42"/>
        <v>0</v>
      </c>
      <c r="N947" s="10">
        <f t="shared" si="43"/>
        <v>0</v>
      </c>
      <c r="O947" s="6" t="s">
        <v>270</v>
      </c>
      <c r="P947" s="6">
        <v>0</v>
      </c>
      <c r="Q947" s="6">
        <v>0</v>
      </c>
      <c r="R947" s="6">
        <v>0</v>
      </c>
      <c r="S947" s="6">
        <v>0</v>
      </c>
      <c r="T947" s="6" t="str">
        <f t="shared" si="44"/>
        <v>Quinta</v>
      </c>
    </row>
    <row r="948" spans="1:20">
      <c r="A948" s="7" t="s">
        <v>2078</v>
      </c>
      <c r="B948" s="7" t="s">
        <v>526</v>
      </c>
      <c r="C948" s="8">
        <v>1</v>
      </c>
      <c r="D948" s="7" t="s">
        <v>2078</v>
      </c>
      <c r="E948" s="7" t="s">
        <v>2096</v>
      </c>
      <c r="F948">
        <v>1235</v>
      </c>
      <c r="G948" s="6">
        <v>16780</v>
      </c>
      <c r="H948" s="11" t="s">
        <v>2097</v>
      </c>
      <c r="I948" s="6">
        <v>60</v>
      </c>
      <c r="J948" s="6">
        <v>1</v>
      </c>
      <c r="K948" s="6">
        <v>1</v>
      </c>
      <c r="L948" s="6">
        <v>25</v>
      </c>
      <c r="M948" s="10">
        <f t="shared" si="42"/>
        <v>4</v>
      </c>
      <c r="N948" s="10">
        <f t="shared" si="43"/>
        <v>4</v>
      </c>
      <c r="O948" s="6" t="s">
        <v>271</v>
      </c>
      <c r="P948" s="6">
        <v>0</v>
      </c>
      <c r="Q948" s="6">
        <v>0</v>
      </c>
      <c r="R948" s="6">
        <v>0</v>
      </c>
      <c r="S948" s="6">
        <v>0</v>
      </c>
      <c r="T948" s="6" t="str">
        <f t="shared" si="44"/>
        <v>Quinta</v>
      </c>
    </row>
    <row r="949" spans="1:20">
      <c r="A949" s="7" t="s">
        <v>2078</v>
      </c>
      <c r="B949" s="7" t="s">
        <v>526</v>
      </c>
      <c r="C949" s="8">
        <v>1</v>
      </c>
      <c r="D949" s="7" t="s">
        <v>2078</v>
      </c>
      <c r="E949" s="7" t="s">
        <v>2098</v>
      </c>
      <c r="F949">
        <v>0</v>
      </c>
      <c r="G949" s="6">
        <v>23965</v>
      </c>
      <c r="H949" s="11" t="s">
        <v>2099</v>
      </c>
      <c r="I949" s="6">
        <v>33</v>
      </c>
      <c r="M949" s="10">
        <f t="shared" si="42"/>
        <v>0</v>
      </c>
      <c r="N949" s="10">
        <f t="shared" si="43"/>
        <v>0</v>
      </c>
      <c r="P949" s="6">
        <v>0</v>
      </c>
      <c r="Q949" s="6">
        <v>0</v>
      </c>
      <c r="R949" s="6">
        <v>0</v>
      </c>
      <c r="S949" s="6">
        <v>0</v>
      </c>
      <c r="T949" s="6" t="str">
        <f t="shared" si="44"/>
        <v>Octava</v>
      </c>
    </row>
    <row r="950" spans="1:20">
      <c r="A950" s="7" t="s">
        <v>2078</v>
      </c>
      <c r="B950" s="7" t="s">
        <v>526</v>
      </c>
      <c r="C950" s="8">
        <v>1</v>
      </c>
      <c r="D950" s="7" t="s">
        <v>2078</v>
      </c>
      <c r="E950" s="7" t="s">
        <v>2092</v>
      </c>
      <c r="F950">
        <v>1103</v>
      </c>
      <c r="G950" s="6">
        <v>23295</v>
      </c>
      <c r="H950" s="11" t="s">
        <v>2093</v>
      </c>
      <c r="I950" s="6">
        <v>19</v>
      </c>
      <c r="J950" s="6">
        <v>36</v>
      </c>
      <c r="K950" s="6">
        <v>70</v>
      </c>
      <c r="L950" s="6">
        <v>49</v>
      </c>
      <c r="M950" s="10">
        <f t="shared" si="42"/>
        <v>142.85714285714286</v>
      </c>
      <c r="N950" s="10">
        <f t="shared" si="43"/>
        <v>143</v>
      </c>
      <c r="O950" s="6" t="s">
        <v>19</v>
      </c>
      <c r="P950" s="6">
        <v>2</v>
      </c>
      <c r="Q950" s="6">
        <v>3</v>
      </c>
      <c r="R950" s="6">
        <v>4</v>
      </c>
      <c r="S950" s="6">
        <v>9</v>
      </c>
      <c r="T950" s="6" t="str">
        <f t="shared" si="44"/>
        <v>Sexta</v>
      </c>
    </row>
    <row r="951" spans="1:20">
      <c r="A951" s="7" t="s">
        <v>2100</v>
      </c>
      <c r="B951" s="7" t="s">
        <v>781</v>
      </c>
      <c r="C951" s="8">
        <v>1</v>
      </c>
      <c r="D951" s="7" t="s">
        <v>2101</v>
      </c>
      <c r="E951" s="7" t="s">
        <v>2102</v>
      </c>
      <c r="F951">
        <v>1895</v>
      </c>
      <c r="G951" s="6">
        <v>22175</v>
      </c>
      <c r="H951" s="11" t="s">
        <v>2103</v>
      </c>
      <c r="I951" s="6">
        <v>15</v>
      </c>
      <c r="J951" s="6">
        <v>45</v>
      </c>
      <c r="K951" s="6">
        <v>190</v>
      </c>
      <c r="L951" s="6">
        <v>60</v>
      </c>
      <c r="M951" s="10">
        <f t="shared" si="42"/>
        <v>316.66666666666669</v>
      </c>
      <c r="N951" s="10">
        <f t="shared" si="43"/>
        <v>317</v>
      </c>
      <c r="O951" s="6" t="s">
        <v>79</v>
      </c>
      <c r="P951" s="6">
        <v>7</v>
      </c>
      <c r="Q951" s="6">
        <v>8</v>
      </c>
      <c r="R951" s="6">
        <v>15</v>
      </c>
      <c r="S951" s="6">
        <v>30</v>
      </c>
      <c r="T951" s="6" t="str">
        <f t="shared" si="44"/>
        <v>Segunda</v>
      </c>
    </row>
    <row r="952" spans="1:20">
      <c r="A952" s="7" t="s">
        <v>2100</v>
      </c>
      <c r="B952" s="7" t="s">
        <v>781</v>
      </c>
      <c r="C952" s="8">
        <v>1</v>
      </c>
      <c r="D952" s="7" t="s">
        <v>2101</v>
      </c>
      <c r="E952" s="7" t="s">
        <v>2104</v>
      </c>
      <c r="F952">
        <v>1790</v>
      </c>
      <c r="G952" s="6">
        <v>861</v>
      </c>
      <c r="H952" s="11" t="s">
        <v>2105</v>
      </c>
      <c r="I952" s="6">
        <v>57</v>
      </c>
      <c r="J952" s="6">
        <v>60</v>
      </c>
      <c r="K952" s="6">
        <v>167</v>
      </c>
      <c r="L952" s="6">
        <v>55</v>
      </c>
      <c r="M952" s="10">
        <f t="shared" si="42"/>
        <v>303.63636363636363</v>
      </c>
      <c r="N952" s="10">
        <f t="shared" si="43"/>
        <v>304</v>
      </c>
      <c r="O952" s="6" t="s">
        <v>62</v>
      </c>
      <c r="P952" s="6">
        <v>5</v>
      </c>
      <c r="Q952" s="6">
        <v>4</v>
      </c>
      <c r="R952" s="6">
        <v>13</v>
      </c>
      <c r="S952" s="6">
        <v>22</v>
      </c>
      <c r="T952" s="6" t="str">
        <f t="shared" si="44"/>
        <v>Tercera</v>
      </c>
    </row>
    <row r="953" spans="1:20">
      <c r="A953" s="7" t="s">
        <v>2100</v>
      </c>
      <c r="B953" s="7" t="s">
        <v>781</v>
      </c>
      <c r="C953" s="8">
        <v>1</v>
      </c>
      <c r="D953" s="7" t="s">
        <v>2101</v>
      </c>
      <c r="E953" s="7" t="s">
        <v>2106</v>
      </c>
      <c r="F953">
        <v>1859</v>
      </c>
      <c r="G953" s="6">
        <v>19963</v>
      </c>
      <c r="H953" s="11" t="s">
        <v>2107</v>
      </c>
      <c r="I953" s="6">
        <v>19</v>
      </c>
      <c r="J953" s="6">
        <v>36</v>
      </c>
      <c r="K953" s="6">
        <v>132</v>
      </c>
      <c r="L953" s="6">
        <v>51</v>
      </c>
      <c r="M953" s="10">
        <f t="shared" si="42"/>
        <v>258.8235294117647</v>
      </c>
      <c r="N953" s="10">
        <f t="shared" si="43"/>
        <v>259</v>
      </c>
      <c r="O953" s="6" t="s">
        <v>79</v>
      </c>
      <c r="P953" s="6">
        <v>3</v>
      </c>
      <c r="Q953" s="6">
        <v>6</v>
      </c>
      <c r="R953" s="6">
        <v>12</v>
      </c>
      <c r="S953" s="6">
        <v>21</v>
      </c>
      <c r="T953" s="6" t="str">
        <f t="shared" si="44"/>
        <v>Segunda</v>
      </c>
    </row>
    <row r="954" spans="1:20">
      <c r="A954" s="7" t="s">
        <v>2100</v>
      </c>
      <c r="B954" s="7" t="s">
        <v>781</v>
      </c>
      <c r="C954" s="8">
        <v>1</v>
      </c>
      <c r="D954" s="7" t="s">
        <v>2101</v>
      </c>
      <c r="E954" s="7" t="s">
        <v>2108</v>
      </c>
      <c r="F954">
        <v>1607</v>
      </c>
      <c r="G954" s="6">
        <v>3599</v>
      </c>
      <c r="H954" s="11" t="s">
        <v>2109</v>
      </c>
      <c r="I954" s="6">
        <v>33</v>
      </c>
      <c r="J954" s="6">
        <v>85</v>
      </c>
      <c r="K954" s="6">
        <v>295</v>
      </c>
      <c r="L954" s="6">
        <v>50</v>
      </c>
      <c r="M954" s="10">
        <f t="shared" si="42"/>
        <v>590</v>
      </c>
      <c r="N954" s="10">
        <f t="shared" si="43"/>
        <v>590</v>
      </c>
      <c r="O954" s="6" t="s">
        <v>272</v>
      </c>
      <c r="P954" s="6">
        <v>5</v>
      </c>
      <c r="Q954" s="6">
        <v>11</v>
      </c>
      <c r="R954" s="6">
        <v>21</v>
      </c>
      <c r="S954" s="6">
        <v>37</v>
      </c>
      <c r="T954" s="6" t="str">
        <f t="shared" si="44"/>
        <v>Tercera</v>
      </c>
    </row>
    <row r="955" spans="1:20">
      <c r="A955" s="7" t="s">
        <v>2100</v>
      </c>
      <c r="B955" s="7" t="s">
        <v>781</v>
      </c>
      <c r="C955" s="8">
        <v>2</v>
      </c>
      <c r="D955" s="7" t="s">
        <v>2110</v>
      </c>
      <c r="E955" s="7" t="s">
        <v>2111</v>
      </c>
      <c r="F955">
        <v>1740</v>
      </c>
      <c r="G955" s="6">
        <v>6797</v>
      </c>
      <c r="H955" s="11" t="s">
        <v>2112</v>
      </c>
      <c r="I955" s="6">
        <v>57</v>
      </c>
      <c r="J955" s="6">
        <v>31</v>
      </c>
      <c r="K955" s="6">
        <v>128</v>
      </c>
      <c r="L955" s="6">
        <v>77</v>
      </c>
      <c r="M955" s="10">
        <f t="shared" si="42"/>
        <v>166.23376623376623</v>
      </c>
      <c r="N955" s="10">
        <f t="shared" si="43"/>
        <v>167</v>
      </c>
      <c r="O955" s="6" t="s">
        <v>79</v>
      </c>
      <c r="P955" s="6">
        <v>9</v>
      </c>
      <c r="Q955" s="6">
        <v>7</v>
      </c>
      <c r="R955" s="6">
        <v>9</v>
      </c>
      <c r="S955" s="6">
        <v>25</v>
      </c>
      <c r="T955" s="6" t="str">
        <f t="shared" si="44"/>
        <v>Tercera</v>
      </c>
    </row>
    <row r="956" spans="1:20">
      <c r="A956" s="7" t="s">
        <v>2100</v>
      </c>
      <c r="B956" s="7" t="s">
        <v>781</v>
      </c>
      <c r="C956" s="8">
        <v>2</v>
      </c>
      <c r="D956" s="7" t="s">
        <v>2110</v>
      </c>
      <c r="E956" s="7" t="s">
        <v>2113</v>
      </c>
      <c r="F956">
        <v>2040</v>
      </c>
      <c r="G956" s="6">
        <v>22319</v>
      </c>
      <c r="H956" s="11" t="s">
        <v>2114</v>
      </c>
      <c r="I956" s="6">
        <v>22</v>
      </c>
      <c r="J956" s="6">
        <v>46</v>
      </c>
      <c r="K956" s="6">
        <v>197</v>
      </c>
      <c r="L956" s="6">
        <v>64</v>
      </c>
      <c r="M956" s="10">
        <f t="shared" si="42"/>
        <v>307.8125</v>
      </c>
      <c r="N956" s="10">
        <f t="shared" si="43"/>
        <v>308</v>
      </c>
      <c r="O956" s="6" t="s">
        <v>273</v>
      </c>
      <c r="P956" s="6">
        <v>19</v>
      </c>
      <c r="Q956" s="6">
        <v>4</v>
      </c>
      <c r="R956" s="6">
        <v>7</v>
      </c>
      <c r="S956" s="6">
        <v>30</v>
      </c>
      <c r="T956" s="6" t="str">
        <f t="shared" si="44"/>
        <v>Segunda</v>
      </c>
    </row>
    <row r="957" spans="1:20">
      <c r="A957" s="7" t="s">
        <v>2100</v>
      </c>
      <c r="B957" s="7" t="s">
        <v>781</v>
      </c>
      <c r="C957" s="8">
        <v>2</v>
      </c>
      <c r="D957" s="7" t="s">
        <v>2110</v>
      </c>
      <c r="E957" s="7" t="s">
        <v>2115</v>
      </c>
      <c r="F957">
        <v>2043</v>
      </c>
      <c r="G957" s="6">
        <v>16829</v>
      </c>
      <c r="H957" s="11" t="s">
        <v>2116</v>
      </c>
      <c r="I957" s="6">
        <v>36</v>
      </c>
      <c r="J957" s="6">
        <v>54</v>
      </c>
      <c r="K957" s="6">
        <v>178</v>
      </c>
      <c r="L957" s="6">
        <v>52</v>
      </c>
      <c r="M957" s="10">
        <f t="shared" si="42"/>
        <v>342.30769230769232</v>
      </c>
      <c r="N957" s="10">
        <f t="shared" si="43"/>
        <v>343</v>
      </c>
      <c r="O957" s="6" t="s">
        <v>79</v>
      </c>
      <c r="P957" s="6">
        <v>13</v>
      </c>
      <c r="Q957" s="6">
        <v>5</v>
      </c>
      <c r="R957" s="6">
        <v>9</v>
      </c>
      <c r="S957" s="6">
        <v>27</v>
      </c>
      <c r="T957" s="6" t="str">
        <f t="shared" si="44"/>
        <v>Segunda</v>
      </c>
    </row>
    <row r="958" spans="1:20">
      <c r="A958" s="7" t="s">
        <v>2100</v>
      </c>
      <c r="B958" s="7" t="s">
        <v>781</v>
      </c>
      <c r="C958" s="8">
        <v>2</v>
      </c>
      <c r="D958" s="7" t="s">
        <v>2110</v>
      </c>
      <c r="E958" s="7" t="s">
        <v>2117</v>
      </c>
      <c r="F958">
        <v>1587</v>
      </c>
      <c r="G958" s="6">
        <v>17014</v>
      </c>
      <c r="H958" s="11" t="s">
        <v>2118</v>
      </c>
      <c r="I958" s="6">
        <v>22</v>
      </c>
      <c r="J958" s="6">
        <v>36</v>
      </c>
      <c r="K958" s="6">
        <v>127</v>
      </c>
      <c r="L958" s="6">
        <v>50</v>
      </c>
      <c r="M958" s="10">
        <f t="shared" si="42"/>
        <v>254</v>
      </c>
      <c r="N958" s="10">
        <f t="shared" si="43"/>
        <v>254</v>
      </c>
      <c r="O958" s="6" t="s">
        <v>13</v>
      </c>
      <c r="P958" s="6">
        <v>6</v>
      </c>
      <c r="Q958" s="6">
        <v>3</v>
      </c>
      <c r="R958" s="6">
        <v>14</v>
      </c>
      <c r="S958" s="6">
        <v>23</v>
      </c>
      <c r="T958" s="6" t="str">
        <f t="shared" si="44"/>
        <v>Cuarta</v>
      </c>
    </row>
    <row r="959" spans="1:20">
      <c r="A959" s="7" t="s">
        <v>2100</v>
      </c>
      <c r="B959" s="7" t="s">
        <v>483</v>
      </c>
      <c r="C959" s="8">
        <v>1</v>
      </c>
      <c r="D959" s="7" t="s">
        <v>2100</v>
      </c>
      <c r="E959" s="7" t="s">
        <v>2119</v>
      </c>
      <c r="F959">
        <v>1519</v>
      </c>
      <c r="G959" s="6">
        <v>18744</v>
      </c>
      <c r="H959" s="11" t="s">
        <v>2120</v>
      </c>
      <c r="I959" s="6">
        <v>71</v>
      </c>
      <c r="J959" s="6">
        <v>82</v>
      </c>
      <c r="K959" s="6">
        <v>297</v>
      </c>
      <c r="L959" s="6">
        <v>53</v>
      </c>
      <c r="M959" s="10">
        <f t="shared" si="42"/>
        <v>560.37735849056605</v>
      </c>
      <c r="N959" s="10">
        <f t="shared" si="43"/>
        <v>561</v>
      </c>
      <c r="O959" s="6" t="s">
        <v>106</v>
      </c>
      <c r="P959" s="6">
        <v>10</v>
      </c>
      <c r="Q959" s="6">
        <v>12</v>
      </c>
      <c r="R959" s="6">
        <v>19</v>
      </c>
      <c r="S959" s="6">
        <v>41</v>
      </c>
      <c r="T959" s="6" t="str">
        <f t="shared" si="44"/>
        <v>Cuarta</v>
      </c>
    </row>
    <row r="960" spans="1:20">
      <c r="A960" s="7" t="s">
        <v>2100</v>
      </c>
      <c r="B960" s="7" t="s">
        <v>483</v>
      </c>
      <c r="C960" s="8">
        <v>1</v>
      </c>
      <c r="D960" s="7" t="s">
        <v>2100</v>
      </c>
      <c r="E960" s="7" t="s">
        <v>2121</v>
      </c>
      <c r="F960">
        <v>1536</v>
      </c>
      <c r="G960" s="6">
        <v>8353</v>
      </c>
      <c r="H960" s="11" t="s">
        <v>2122</v>
      </c>
      <c r="I960" s="6">
        <v>45</v>
      </c>
      <c r="J960" s="6">
        <v>21</v>
      </c>
      <c r="K960" s="6">
        <v>75</v>
      </c>
      <c r="L960" s="6">
        <v>65</v>
      </c>
      <c r="M960" s="10">
        <f t="shared" si="42"/>
        <v>115.38461538461539</v>
      </c>
      <c r="N960" s="10">
        <f t="shared" si="43"/>
        <v>116</v>
      </c>
      <c r="O960" s="6" t="s">
        <v>106</v>
      </c>
      <c r="P960" s="6">
        <v>3</v>
      </c>
      <c r="Q960" s="6">
        <v>0</v>
      </c>
      <c r="R960" s="6">
        <v>5</v>
      </c>
      <c r="S960" s="6">
        <v>8</v>
      </c>
      <c r="T960" s="6" t="str">
        <f t="shared" si="44"/>
        <v>Cuarta</v>
      </c>
    </row>
    <row r="961" spans="1:20">
      <c r="A961" s="7" t="s">
        <v>2100</v>
      </c>
      <c r="B961" s="7" t="s">
        <v>483</v>
      </c>
      <c r="C961" s="8">
        <v>1</v>
      </c>
      <c r="D961" s="7" t="s">
        <v>2100</v>
      </c>
      <c r="E961" s="7" t="s">
        <v>2123</v>
      </c>
      <c r="F961">
        <v>1557</v>
      </c>
      <c r="G961" s="6">
        <v>5238</v>
      </c>
      <c r="H961" s="11" t="s">
        <v>2124</v>
      </c>
      <c r="I961" s="6">
        <v>43</v>
      </c>
      <c r="J961" s="6">
        <v>36</v>
      </c>
      <c r="K961" s="6">
        <v>121</v>
      </c>
      <c r="L961" s="6">
        <v>49</v>
      </c>
      <c r="M961" s="10">
        <f t="shared" si="42"/>
        <v>246.9387755102041</v>
      </c>
      <c r="N961" s="10">
        <f t="shared" si="43"/>
        <v>247</v>
      </c>
      <c r="O961" s="6" t="s">
        <v>79</v>
      </c>
      <c r="P961" s="6">
        <v>1</v>
      </c>
      <c r="Q961" s="6">
        <v>5</v>
      </c>
      <c r="R961" s="6">
        <v>6</v>
      </c>
      <c r="S961" s="6">
        <v>12</v>
      </c>
      <c r="T961" s="6" t="str">
        <f t="shared" si="44"/>
        <v>Cuarta</v>
      </c>
    </row>
    <row r="962" spans="1:20">
      <c r="A962" s="7" t="s">
        <v>2100</v>
      </c>
      <c r="B962" s="7" t="s">
        <v>483</v>
      </c>
      <c r="C962" s="8">
        <v>1</v>
      </c>
      <c r="D962" s="7" t="s">
        <v>2100</v>
      </c>
      <c r="E962" s="7" t="s">
        <v>2125</v>
      </c>
      <c r="F962">
        <v>1218</v>
      </c>
      <c r="G962" s="6">
        <v>8638</v>
      </c>
      <c r="H962" s="11" t="s">
        <v>2126</v>
      </c>
      <c r="I962" s="6">
        <v>61</v>
      </c>
      <c r="J962" s="6">
        <v>63</v>
      </c>
      <c r="K962" s="6">
        <v>184</v>
      </c>
      <c r="L962" s="6">
        <v>45</v>
      </c>
      <c r="M962" s="10">
        <f t="shared" si="42"/>
        <v>408.88888888888891</v>
      </c>
      <c r="N962" s="10">
        <f t="shared" si="43"/>
        <v>409</v>
      </c>
      <c r="O962" s="6" t="s">
        <v>79</v>
      </c>
      <c r="P962" s="6">
        <v>5</v>
      </c>
      <c r="Q962" s="6">
        <v>6</v>
      </c>
      <c r="R962" s="6">
        <v>17</v>
      </c>
      <c r="S962" s="6">
        <v>28</v>
      </c>
      <c r="T962" s="6" t="str">
        <f t="shared" si="44"/>
        <v>Quinta</v>
      </c>
    </row>
    <row r="963" spans="1:20" ht="24">
      <c r="A963" s="7" t="s">
        <v>2100</v>
      </c>
      <c r="B963" s="7" t="s">
        <v>483</v>
      </c>
      <c r="C963" s="8">
        <v>1</v>
      </c>
      <c r="D963" s="7" t="s">
        <v>2100</v>
      </c>
      <c r="E963" s="7" t="s">
        <v>2127</v>
      </c>
      <c r="F963">
        <v>1395</v>
      </c>
      <c r="G963" s="6">
        <v>18144</v>
      </c>
      <c r="H963" s="11" t="s">
        <v>2128</v>
      </c>
      <c r="I963" s="6">
        <v>54</v>
      </c>
      <c r="J963" s="6">
        <v>82</v>
      </c>
      <c r="K963" s="6">
        <v>278</v>
      </c>
      <c r="L963" s="6">
        <v>47</v>
      </c>
      <c r="M963" s="10">
        <f t="shared" ref="M963:M1026" si="45">IF(K963+L963=0,0,(100*K963/L963))</f>
        <v>591.48936170212767</v>
      </c>
      <c r="N963" s="10">
        <f t="shared" ref="N963:N1026" si="46">ROUNDUP(M963,0)</f>
        <v>592</v>
      </c>
      <c r="O963" s="6" t="s">
        <v>106</v>
      </c>
      <c r="P963" s="6">
        <v>8</v>
      </c>
      <c r="Q963" s="6">
        <v>8</v>
      </c>
      <c r="R963" s="6">
        <v>25</v>
      </c>
      <c r="S963" s="6">
        <v>41</v>
      </c>
      <c r="T963" s="6" t="str">
        <f t="shared" ref="T963:T1026" si="47">IF(F963&gt;2100,"Primera",
IF(F963&gt;=1800,"Segunda",
IF(F963&gt;=1600,"Tercera",
IF(F963&gt;=1400,"Cuarta",
IF(F963&gt;=1200,"Quinta",
IF(F963&gt;=1080,"Sexta",
IF(F963&gt;=980,"Septima",
"Octava")))))))</f>
        <v>Quinta</v>
      </c>
    </row>
    <row r="964" spans="1:20" ht="24">
      <c r="A964" s="7" t="s">
        <v>2100</v>
      </c>
      <c r="B964" s="7" t="s">
        <v>496</v>
      </c>
      <c r="C964" s="8">
        <v>1</v>
      </c>
      <c r="D964" s="7" t="s">
        <v>2100</v>
      </c>
      <c r="E964" s="7" t="s">
        <v>2129</v>
      </c>
      <c r="F964">
        <v>1339</v>
      </c>
      <c r="G964" s="6">
        <v>26411</v>
      </c>
      <c r="H964" s="11" t="s">
        <v>2130</v>
      </c>
      <c r="I964" s="6">
        <v>15</v>
      </c>
      <c r="J964" s="6">
        <v>25</v>
      </c>
      <c r="K964" s="6">
        <v>58</v>
      </c>
      <c r="L964" s="6">
        <v>31</v>
      </c>
      <c r="M964" s="10">
        <f t="shared" si="45"/>
        <v>187.09677419354838</v>
      </c>
      <c r="N964" s="10">
        <f t="shared" si="46"/>
        <v>188</v>
      </c>
      <c r="O964" s="6" t="s">
        <v>79</v>
      </c>
      <c r="P964" s="6">
        <v>1</v>
      </c>
      <c r="Q964" s="6">
        <v>1</v>
      </c>
      <c r="R964" s="6">
        <v>5</v>
      </c>
      <c r="S964" s="6">
        <v>7</v>
      </c>
      <c r="T964" s="6" t="str">
        <f t="shared" si="47"/>
        <v>Quinta</v>
      </c>
    </row>
    <row r="965" spans="1:20">
      <c r="A965" s="7" t="s">
        <v>2100</v>
      </c>
      <c r="B965" s="7" t="s">
        <v>496</v>
      </c>
      <c r="C965" s="8">
        <v>1</v>
      </c>
      <c r="D965" s="7" t="s">
        <v>2100</v>
      </c>
      <c r="E965" s="7" t="s">
        <v>2131</v>
      </c>
      <c r="F965">
        <v>1239</v>
      </c>
      <c r="G965" s="6">
        <v>27553</v>
      </c>
      <c r="H965" s="11" t="s">
        <v>2132</v>
      </c>
      <c r="I965" s="6">
        <v>25</v>
      </c>
      <c r="J965" s="6">
        <v>12</v>
      </c>
      <c r="K965" s="6">
        <v>48</v>
      </c>
      <c r="L965" s="6">
        <v>53</v>
      </c>
      <c r="M965" s="10">
        <f t="shared" si="45"/>
        <v>90.566037735849051</v>
      </c>
      <c r="N965" s="10">
        <f t="shared" si="46"/>
        <v>91</v>
      </c>
      <c r="O965" s="6" t="s">
        <v>21</v>
      </c>
      <c r="P965" s="6">
        <v>1</v>
      </c>
      <c r="Q965" s="6">
        <v>4</v>
      </c>
      <c r="R965" s="6">
        <v>1</v>
      </c>
      <c r="S965" s="6">
        <v>6</v>
      </c>
      <c r="T965" s="6" t="str">
        <f t="shared" si="47"/>
        <v>Quinta</v>
      </c>
    </row>
    <row r="966" spans="1:20">
      <c r="A966" s="7" t="s">
        <v>2100</v>
      </c>
      <c r="B966" s="7" t="s">
        <v>496</v>
      </c>
      <c r="C966" s="8">
        <v>1</v>
      </c>
      <c r="D966" s="7" t="s">
        <v>2100</v>
      </c>
      <c r="E966" s="7" t="s">
        <v>2133</v>
      </c>
      <c r="F966">
        <v>1248</v>
      </c>
      <c r="G966" s="6">
        <v>23285</v>
      </c>
      <c r="H966" s="11" t="s">
        <v>2134</v>
      </c>
      <c r="I966" s="6">
        <v>37</v>
      </c>
      <c r="J966" s="6">
        <v>10</v>
      </c>
      <c r="K966" s="6">
        <v>28</v>
      </c>
      <c r="L966" s="6">
        <v>43</v>
      </c>
      <c r="M966" s="10">
        <f t="shared" si="45"/>
        <v>65.116279069767444</v>
      </c>
      <c r="N966" s="10">
        <f t="shared" si="46"/>
        <v>66</v>
      </c>
      <c r="O966" s="6" t="s">
        <v>79</v>
      </c>
      <c r="P966" s="6">
        <v>0</v>
      </c>
      <c r="Q966" s="6">
        <v>0</v>
      </c>
      <c r="R966" s="6">
        <v>5</v>
      </c>
      <c r="S966" s="6">
        <v>5</v>
      </c>
      <c r="T966" s="6" t="str">
        <f t="shared" si="47"/>
        <v>Quinta</v>
      </c>
    </row>
    <row r="967" spans="1:20">
      <c r="A967" s="7" t="s">
        <v>2100</v>
      </c>
      <c r="B967" s="7" t="s">
        <v>496</v>
      </c>
      <c r="C967" s="8">
        <v>1</v>
      </c>
      <c r="D967" s="7" t="s">
        <v>2100</v>
      </c>
      <c r="E967" s="7" t="s">
        <v>2135</v>
      </c>
      <c r="F967">
        <v>1293</v>
      </c>
      <c r="G967" s="6">
        <v>7566</v>
      </c>
      <c r="H967" s="11" t="s">
        <v>2136</v>
      </c>
      <c r="I967" s="6">
        <v>34</v>
      </c>
      <c r="J967" s="6">
        <v>19</v>
      </c>
      <c r="K967" s="6">
        <v>36</v>
      </c>
      <c r="L967" s="6">
        <v>35</v>
      </c>
      <c r="M967" s="10">
        <f t="shared" si="45"/>
        <v>102.85714285714286</v>
      </c>
      <c r="N967" s="10">
        <f t="shared" si="46"/>
        <v>103</v>
      </c>
      <c r="O967" s="6" t="s">
        <v>13</v>
      </c>
      <c r="P967" s="6">
        <v>0</v>
      </c>
      <c r="Q967" s="6">
        <v>0</v>
      </c>
      <c r="R967" s="6">
        <v>2</v>
      </c>
      <c r="S967" s="6">
        <v>2</v>
      </c>
      <c r="T967" s="6" t="str">
        <f t="shared" si="47"/>
        <v>Quinta</v>
      </c>
    </row>
    <row r="968" spans="1:20">
      <c r="A968" s="7" t="s">
        <v>2100</v>
      </c>
      <c r="B968" s="7" t="s">
        <v>496</v>
      </c>
      <c r="C968" s="8">
        <v>1</v>
      </c>
      <c r="D968" s="7" t="s">
        <v>2100</v>
      </c>
      <c r="E968" s="7" t="s">
        <v>2137</v>
      </c>
      <c r="F968">
        <v>1070</v>
      </c>
      <c r="G968" s="6">
        <v>22535</v>
      </c>
      <c r="H968" s="11" t="s">
        <v>2138</v>
      </c>
      <c r="I968" s="6">
        <v>16</v>
      </c>
      <c r="J968" s="6">
        <v>1</v>
      </c>
      <c r="K968" s="6">
        <v>0</v>
      </c>
      <c r="L968" s="6">
        <v>0</v>
      </c>
      <c r="M968" s="10">
        <f t="shared" si="45"/>
        <v>0</v>
      </c>
      <c r="N968" s="10">
        <f t="shared" si="46"/>
        <v>0</v>
      </c>
      <c r="O968" s="6" t="s">
        <v>274</v>
      </c>
      <c r="P968" s="6">
        <v>0</v>
      </c>
      <c r="Q968" s="6">
        <v>0</v>
      </c>
      <c r="R968" s="6">
        <v>0</v>
      </c>
      <c r="S968" s="6">
        <v>0</v>
      </c>
      <c r="T968" s="6" t="str">
        <f t="shared" si="47"/>
        <v>Septima</v>
      </c>
    </row>
    <row r="969" spans="1:20">
      <c r="A969" s="7" t="s">
        <v>2139</v>
      </c>
      <c r="B969" s="7" t="s">
        <v>421</v>
      </c>
      <c r="C969" s="8">
        <v>1</v>
      </c>
      <c r="D969" s="7" t="s">
        <v>2139</v>
      </c>
      <c r="E969" s="7" t="s">
        <v>2140</v>
      </c>
      <c r="F969">
        <v>2401</v>
      </c>
      <c r="G969" s="6">
        <v>5511</v>
      </c>
      <c r="H969" s="11" t="s">
        <v>2141</v>
      </c>
      <c r="I969" s="6">
        <v>30</v>
      </c>
      <c r="J969" s="6">
        <v>172</v>
      </c>
      <c r="K969" s="6">
        <v>504</v>
      </c>
      <c r="L969" s="6">
        <v>65</v>
      </c>
      <c r="M969" s="10">
        <f t="shared" si="45"/>
        <v>775.38461538461536</v>
      </c>
      <c r="N969" s="10">
        <f t="shared" si="46"/>
        <v>776</v>
      </c>
      <c r="O969" s="6" t="s">
        <v>275</v>
      </c>
      <c r="P969" s="6">
        <v>17</v>
      </c>
      <c r="Q969" s="6">
        <v>16</v>
      </c>
      <c r="R969" s="6">
        <v>43</v>
      </c>
      <c r="S969" s="6">
        <v>76</v>
      </c>
      <c r="T969" s="6" t="str">
        <f t="shared" si="47"/>
        <v>Primera</v>
      </c>
    </row>
    <row r="970" spans="1:20">
      <c r="A970" s="7" t="s">
        <v>2139</v>
      </c>
      <c r="B970" s="7" t="s">
        <v>421</v>
      </c>
      <c r="C970" s="8">
        <v>1</v>
      </c>
      <c r="D970" s="7" t="s">
        <v>2139</v>
      </c>
      <c r="E970" s="7" t="s">
        <v>2142</v>
      </c>
      <c r="F970">
        <v>2223</v>
      </c>
      <c r="G970" s="6">
        <v>13788</v>
      </c>
      <c r="H970" s="11" t="s">
        <v>2143</v>
      </c>
      <c r="I970" s="6">
        <v>34</v>
      </c>
      <c r="J970" s="6">
        <v>11</v>
      </c>
      <c r="K970" s="6">
        <v>31</v>
      </c>
      <c r="L970" s="6">
        <v>66</v>
      </c>
      <c r="M970" s="10">
        <f t="shared" si="45"/>
        <v>46.969696969696969</v>
      </c>
      <c r="N970" s="10">
        <f t="shared" si="46"/>
        <v>47</v>
      </c>
      <c r="O970" s="6" t="s">
        <v>20</v>
      </c>
      <c r="P970" s="6">
        <v>2</v>
      </c>
      <c r="Q970" s="6">
        <v>1</v>
      </c>
      <c r="R970" s="6">
        <v>2</v>
      </c>
      <c r="S970" s="6">
        <v>5</v>
      </c>
      <c r="T970" s="6" t="str">
        <f t="shared" si="47"/>
        <v>Primera</v>
      </c>
    </row>
    <row r="971" spans="1:20">
      <c r="A971" s="7" t="s">
        <v>2139</v>
      </c>
      <c r="B971" s="7" t="s">
        <v>421</v>
      </c>
      <c r="C971" s="8">
        <v>1</v>
      </c>
      <c r="D971" s="7" t="s">
        <v>2139</v>
      </c>
      <c r="E971" s="7" t="s">
        <v>2144</v>
      </c>
      <c r="F971">
        <v>1822</v>
      </c>
      <c r="G971" s="6">
        <v>9823</v>
      </c>
      <c r="H971" s="11" t="s">
        <v>2145</v>
      </c>
      <c r="I971" s="6">
        <v>43</v>
      </c>
      <c r="J971" s="6">
        <v>43</v>
      </c>
      <c r="K971" s="6">
        <v>118</v>
      </c>
      <c r="L971" s="6">
        <v>53</v>
      </c>
      <c r="M971" s="10">
        <f t="shared" si="45"/>
        <v>222.64150943396226</v>
      </c>
      <c r="N971" s="10">
        <f t="shared" si="46"/>
        <v>223</v>
      </c>
      <c r="O971" s="6" t="s">
        <v>12</v>
      </c>
      <c r="P971" s="6">
        <v>5</v>
      </c>
      <c r="Q971" s="6">
        <v>3</v>
      </c>
      <c r="R971" s="6">
        <v>8</v>
      </c>
      <c r="S971" s="6">
        <v>16</v>
      </c>
      <c r="T971" s="6" t="str">
        <f t="shared" si="47"/>
        <v>Segunda</v>
      </c>
    </row>
    <row r="972" spans="1:20">
      <c r="A972" s="7" t="s">
        <v>2139</v>
      </c>
      <c r="B972" s="7" t="s">
        <v>421</v>
      </c>
      <c r="C972" s="8">
        <v>1</v>
      </c>
      <c r="D972" s="7" t="s">
        <v>2139</v>
      </c>
      <c r="E972" s="7" t="s">
        <v>2146</v>
      </c>
      <c r="F972">
        <v>1932</v>
      </c>
      <c r="G972" s="6">
        <v>1025</v>
      </c>
      <c r="H972" s="11" t="s">
        <v>2147</v>
      </c>
      <c r="I972" s="6">
        <v>35</v>
      </c>
      <c r="J972" s="6">
        <v>143</v>
      </c>
      <c r="K972" s="6">
        <v>455</v>
      </c>
      <c r="L972" s="6">
        <v>54</v>
      </c>
      <c r="M972" s="10">
        <f t="shared" si="45"/>
        <v>842.59259259259261</v>
      </c>
      <c r="N972" s="10">
        <f t="shared" si="46"/>
        <v>843</v>
      </c>
      <c r="O972" s="6" t="s">
        <v>122</v>
      </c>
      <c r="P972" s="6">
        <v>8</v>
      </c>
      <c r="Q972" s="6">
        <v>14</v>
      </c>
      <c r="R972" s="6">
        <v>44</v>
      </c>
      <c r="S972" s="6">
        <v>66</v>
      </c>
      <c r="T972" s="6" t="str">
        <f t="shared" si="47"/>
        <v>Segunda</v>
      </c>
    </row>
    <row r="973" spans="1:20">
      <c r="A973" s="7" t="s">
        <v>2139</v>
      </c>
      <c r="B973" s="7" t="s">
        <v>421</v>
      </c>
      <c r="C973" s="8">
        <v>1</v>
      </c>
      <c r="D973" s="7" t="s">
        <v>2139</v>
      </c>
      <c r="E973" s="7" t="s">
        <v>2148</v>
      </c>
      <c r="F973">
        <v>1864</v>
      </c>
      <c r="G973" s="6">
        <v>24118</v>
      </c>
      <c r="H973" s="11" t="s">
        <v>2149</v>
      </c>
      <c r="I973" s="6">
        <v>18</v>
      </c>
      <c r="J973" s="6">
        <v>88</v>
      </c>
      <c r="K973" s="6">
        <v>224</v>
      </c>
      <c r="L973" s="6">
        <v>51</v>
      </c>
      <c r="M973" s="10">
        <f t="shared" si="45"/>
        <v>439.21568627450978</v>
      </c>
      <c r="N973" s="10">
        <f t="shared" si="46"/>
        <v>440</v>
      </c>
      <c r="O973" s="6" t="s">
        <v>18</v>
      </c>
      <c r="P973" s="6">
        <v>4</v>
      </c>
      <c r="Q973" s="6">
        <v>10</v>
      </c>
      <c r="R973" s="6">
        <v>7</v>
      </c>
      <c r="S973" s="6">
        <v>21</v>
      </c>
      <c r="T973" s="6" t="str">
        <f t="shared" si="47"/>
        <v>Segunda</v>
      </c>
    </row>
    <row r="974" spans="1:20">
      <c r="A974" s="7" t="s">
        <v>2139</v>
      </c>
      <c r="B974" s="7" t="s">
        <v>451</v>
      </c>
      <c r="C974" s="8">
        <v>1</v>
      </c>
      <c r="D974" s="7" t="s">
        <v>2139</v>
      </c>
      <c r="E974" s="7" t="s">
        <v>2144</v>
      </c>
      <c r="F974">
        <v>1822</v>
      </c>
      <c r="G974" s="6">
        <v>9823</v>
      </c>
      <c r="H974" s="11" t="s">
        <v>2145</v>
      </c>
      <c r="I974" s="6">
        <v>43</v>
      </c>
      <c r="J974" s="6">
        <v>43</v>
      </c>
      <c r="K974" s="6">
        <v>118</v>
      </c>
      <c r="L974" s="6">
        <v>53</v>
      </c>
      <c r="M974" s="10">
        <f t="shared" si="45"/>
        <v>222.64150943396226</v>
      </c>
      <c r="N974" s="10">
        <f t="shared" si="46"/>
        <v>223</v>
      </c>
      <c r="O974" s="6" t="s">
        <v>12</v>
      </c>
      <c r="P974" s="6">
        <v>5</v>
      </c>
      <c r="Q974" s="6">
        <v>3</v>
      </c>
      <c r="R974" s="6">
        <v>8</v>
      </c>
      <c r="S974" s="6">
        <v>16</v>
      </c>
      <c r="T974" s="6" t="str">
        <f t="shared" si="47"/>
        <v>Segunda</v>
      </c>
    </row>
    <row r="975" spans="1:20">
      <c r="A975" s="7" t="s">
        <v>2139</v>
      </c>
      <c r="B975" s="7" t="s">
        <v>451</v>
      </c>
      <c r="C975" s="8">
        <v>1</v>
      </c>
      <c r="D975" s="7" t="s">
        <v>2139</v>
      </c>
      <c r="E975" s="7" t="s">
        <v>2146</v>
      </c>
      <c r="F975">
        <v>1932</v>
      </c>
      <c r="G975" s="6">
        <v>1025</v>
      </c>
      <c r="H975" s="11" t="s">
        <v>2147</v>
      </c>
      <c r="I975" s="6">
        <v>35</v>
      </c>
      <c r="J975" s="6">
        <v>143</v>
      </c>
      <c r="K975" s="6">
        <v>455</v>
      </c>
      <c r="L975" s="6">
        <v>54</v>
      </c>
      <c r="M975" s="10">
        <f t="shared" si="45"/>
        <v>842.59259259259261</v>
      </c>
      <c r="N975" s="10">
        <f t="shared" si="46"/>
        <v>843</v>
      </c>
      <c r="O975" s="6" t="s">
        <v>122</v>
      </c>
      <c r="P975" s="6">
        <v>8</v>
      </c>
      <c r="Q975" s="6">
        <v>14</v>
      </c>
      <c r="R975" s="6">
        <v>44</v>
      </c>
      <c r="S975" s="6">
        <v>66</v>
      </c>
      <c r="T975" s="6" t="str">
        <f t="shared" si="47"/>
        <v>Segunda</v>
      </c>
    </row>
    <row r="976" spans="1:20">
      <c r="A976" s="7" t="s">
        <v>2139</v>
      </c>
      <c r="B976" s="7" t="s">
        <v>451</v>
      </c>
      <c r="C976" s="8">
        <v>1</v>
      </c>
      <c r="D976" s="7" t="s">
        <v>2139</v>
      </c>
      <c r="E976" s="7" t="s">
        <v>2150</v>
      </c>
      <c r="F976">
        <v>2091</v>
      </c>
      <c r="G976" s="6">
        <v>22902</v>
      </c>
      <c r="H976" s="11" t="s">
        <v>2151</v>
      </c>
      <c r="I976" s="6">
        <v>28</v>
      </c>
      <c r="J976" s="6">
        <v>228</v>
      </c>
      <c r="K976" s="6">
        <v>616</v>
      </c>
      <c r="L976" s="6">
        <v>52</v>
      </c>
      <c r="M976" s="10">
        <f t="shared" si="45"/>
        <v>1184.6153846153845</v>
      </c>
      <c r="N976" s="10">
        <f t="shared" si="46"/>
        <v>1185</v>
      </c>
      <c r="O976" s="6" t="s">
        <v>12</v>
      </c>
      <c r="P976" s="6">
        <v>29</v>
      </c>
      <c r="Q976" s="6">
        <v>22</v>
      </c>
      <c r="R976" s="6">
        <v>43</v>
      </c>
      <c r="S976" s="6">
        <v>94</v>
      </c>
      <c r="T976" s="6" t="str">
        <f t="shared" si="47"/>
        <v>Segunda</v>
      </c>
    </row>
    <row r="977" spans="1:20">
      <c r="A977" s="7" t="s">
        <v>2139</v>
      </c>
      <c r="B977" s="7" t="s">
        <v>451</v>
      </c>
      <c r="C977" s="8">
        <v>1</v>
      </c>
      <c r="D977" s="7" t="s">
        <v>2139</v>
      </c>
      <c r="E977" s="7" t="s">
        <v>2148</v>
      </c>
      <c r="F977">
        <v>1864</v>
      </c>
      <c r="G977" s="6">
        <v>24118</v>
      </c>
      <c r="H977" s="11" t="s">
        <v>2149</v>
      </c>
      <c r="I977" s="6">
        <v>18</v>
      </c>
      <c r="J977" s="6">
        <v>88</v>
      </c>
      <c r="K977" s="6">
        <v>224</v>
      </c>
      <c r="L977" s="6">
        <v>51</v>
      </c>
      <c r="M977" s="10">
        <f t="shared" si="45"/>
        <v>439.21568627450978</v>
      </c>
      <c r="N977" s="10">
        <f t="shared" si="46"/>
        <v>440</v>
      </c>
      <c r="O977" s="6" t="s">
        <v>18</v>
      </c>
      <c r="P977" s="6">
        <v>4</v>
      </c>
      <c r="Q977" s="6">
        <v>10</v>
      </c>
      <c r="R977" s="6">
        <v>7</v>
      </c>
      <c r="S977" s="6">
        <v>21</v>
      </c>
      <c r="T977" s="6" t="str">
        <f t="shared" si="47"/>
        <v>Segunda</v>
      </c>
    </row>
    <row r="978" spans="1:20">
      <c r="A978" s="7" t="s">
        <v>2139</v>
      </c>
      <c r="B978" s="7" t="s">
        <v>483</v>
      </c>
      <c r="C978" s="8">
        <v>1</v>
      </c>
      <c r="D978" s="7" t="s">
        <v>2139</v>
      </c>
      <c r="E978" s="7" t="s">
        <v>2152</v>
      </c>
      <c r="F978">
        <v>1627</v>
      </c>
      <c r="G978" s="6">
        <v>16314</v>
      </c>
      <c r="H978" s="11" t="s">
        <v>2153</v>
      </c>
      <c r="I978" s="6">
        <v>25</v>
      </c>
      <c r="J978" s="6">
        <v>21</v>
      </c>
      <c r="K978" s="6">
        <v>54</v>
      </c>
      <c r="L978" s="6">
        <v>62</v>
      </c>
      <c r="M978" s="10">
        <f t="shared" si="45"/>
        <v>87.096774193548384</v>
      </c>
      <c r="N978" s="10">
        <f t="shared" si="46"/>
        <v>88</v>
      </c>
      <c r="O978" s="6" t="s">
        <v>69</v>
      </c>
      <c r="P978" s="6">
        <v>2</v>
      </c>
      <c r="Q978" s="6">
        <v>2</v>
      </c>
      <c r="R978" s="6">
        <v>4</v>
      </c>
      <c r="S978" s="6">
        <v>8</v>
      </c>
      <c r="T978" s="6" t="str">
        <f t="shared" si="47"/>
        <v>Tercera</v>
      </c>
    </row>
    <row r="979" spans="1:20">
      <c r="A979" s="7" t="s">
        <v>2139</v>
      </c>
      <c r="B979" s="7" t="s">
        <v>483</v>
      </c>
      <c r="C979" s="8">
        <v>1</v>
      </c>
      <c r="D979" s="7" t="s">
        <v>2139</v>
      </c>
      <c r="E979" s="7" t="s">
        <v>2154</v>
      </c>
      <c r="F979">
        <v>1000</v>
      </c>
      <c r="G979" s="6">
        <v>5481</v>
      </c>
      <c r="H979" s="11" t="s">
        <v>2155</v>
      </c>
      <c r="I979" s="6">
        <v>40</v>
      </c>
      <c r="J979" s="6">
        <v>0</v>
      </c>
      <c r="K979" s="6">
        <v>0</v>
      </c>
      <c r="L979" s="6">
        <v>0</v>
      </c>
      <c r="M979" s="10">
        <f t="shared" si="45"/>
        <v>0</v>
      </c>
      <c r="N979" s="10">
        <f t="shared" si="46"/>
        <v>0</v>
      </c>
      <c r="P979" s="6">
        <v>0</v>
      </c>
      <c r="Q979" s="6">
        <v>0</v>
      </c>
      <c r="R979" s="6">
        <v>0</v>
      </c>
      <c r="S979" s="6">
        <v>0</v>
      </c>
      <c r="T979" s="6" t="str">
        <f t="shared" si="47"/>
        <v>Septima</v>
      </c>
    </row>
    <row r="980" spans="1:20">
      <c r="A980" s="7" t="s">
        <v>2139</v>
      </c>
      <c r="B980" s="7" t="s">
        <v>483</v>
      </c>
      <c r="C980" s="8">
        <v>1</v>
      </c>
      <c r="D980" s="7" t="s">
        <v>2139</v>
      </c>
      <c r="E980" s="7" t="s">
        <v>2156</v>
      </c>
      <c r="F980">
        <v>1611</v>
      </c>
      <c r="G980" s="6">
        <v>14657</v>
      </c>
      <c r="H980" s="11" t="s">
        <v>2157</v>
      </c>
      <c r="I980" s="6">
        <v>24</v>
      </c>
      <c r="J980" s="6">
        <v>62</v>
      </c>
      <c r="K980" s="6">
        <v>148</v>
      </c>
      <c r="L980" s="6">
        <v>51</v>
      </c>
      <c r="M980" s="10">
        <f t="shared" si="45"/>
        <v>290.19607843137254</v>
      </c>
      <c r="N980" s="10">
        <f t="shared" si="46"/>
        <v>291</v>
      </c>
      <c r="O980" s="6" t="s">
        <v>18</v>
      </c>
      <c r="P980" s="6">
        <v>4</v>
      </c>
      <c r="Q980" s="6">
        <v>6</v>
      </c>
      <c r="R980" s="6">
        <v>11</v>
      </c>
      <c r="S980" s="6">
        <v>21</v>
      </c>
      <c r="T980" s="6" t="str">
        <f t="shared" si="47"/>
        <v>Tercera</v>
      </c>
    </row>
    <row r="981" spans="1:20">
      <c r="A981" s="7" t="s">
        <v>2139</v>
      </c>
      <c r="B981" s="7" t="s">
        <v>483</v>
      </c>
      <c r="C981" s="8">
        <v>1</v>
      </c>
      <c r="D981" s="7" t="s">
        <v>2139</v>
      </c>
      <c r="E981" s="7" t="s">
        <v>2158</v>
      </c>
      <c r="F981">
        <v>1423</v>
      </c>
      <c r="G981" s="6">
        <v>26693</v>
      </c>
      <c r="H981" s="11" t="s">
        <v>2159</v>
      </c>
      <c r="I981" s="6">
        <v>45</v>
      </c>
      <c r="J981" s="6">
        <v>140</v>
      </c>
      <c r="K981" s="6">
        <v>347</v>
      </c>
      <c r="L981" s="6">
        <v>51</v>
      </c>
      <c r="M981" s="10">
        <f t="shared" si="45"/>
        <v>680.39215686274508</v>
      </c>
      <c r="N981" s="10">
        <f t="shared" si="46"/>
        <v>681</v>
      </c>
      <c r="O981" s="6" t="s">
        <v>27</v>
      </c>
      <c r="P981" s="6">
        <v>12</v>
      </c>
      <c r="Q981" s="6">
        <v>16</v>
      </c>
      <c r="R981" s="6">
        <v>36</v>
      </c>
      <c r="S981" s="6">
        <v>64</v>
      </c>
      <c r="T981" s="6" t="str">
        <f t="shared" si="47"/>
        <v>Cuarta</v>
      </c>
    </row>
    <row r="982" spans="1:20">
      <c r="A982" s="7" t="s">
        <v>2139</v>
      </c>
      <c r="B982" s="7" t="s">
        <v>483</v>
      </c>
      <c r="C982" s="8">
        <v>1</v>
      </c>
      <c r="D982" s="7" t="s">
        <v>2139</v>
      </c>
      <c r="E982" s="7" t="s">
        <v>2160</v>
      </c>
      <c r="F982">
        <v>1000</v>
      </c>
      <c r="G982" s="6">
        <v>8979</v>
      </c>
      <c r="H982" s="11" t="s">
        <v>2161</v>
      </c>
      <c r="I982" s="6">
        <v>39</v>
      </c>
      <c r="J982" s="6">
        <v>0</v>
      </c>
      <c r="K982" s="6">
        <v>0</v>
      </c>
      <c r="L982" s="6">
        <v>0</v>
      </c>
      <c r="M982" s="10">
        <f t="shared" si="45"/>
        <v>0</v>
      </c>
      <c r="N982" s="10">
        <f t="shared" si="46"/>
        <v>0</v>
      </c>
      <c r="P982" s="6">
        <v>0</v>
      </c>
      <c r="Q982" s="6">
        <v>0</v>
      </c>
      <c r="R982" s="6">
        <v>0</v>
      </c>
      <c r="S982" s="6">
        <v>0</v>
      </c>
      <c r="T982" s="6" t="str">
        <f t="shared" si="47"/>
        <v>Septima</v>
      </c>
    </row>
    <row r="983" spans="1:20">
      <c r="A983" s="7" t="s">
        <v>2139</v>
      </c>
      <c r="B983" s="7" t="s">
        <v>483</v>
      </c>
      <c r="C983" s="8">
        <v>1</v>
      </c>
      <c r="D983" s="7" t="s">
        <v>2139</v>
      </c>
      <c r="E983" s="7" t="s">
        <v>2162</v>
      </c>
      <c r="F983">
        <v>1351</v>
      </c>
      <c r="G983" s="6">
        <v>5772</v>
      </c>
      <c r="H983" s="11" t="s">
        <v>2163</v>
      </c>
      <c r="I983" s="6">
        <v>35</v>
      </c>
      <c r="J983" s="6">
        <v>33</v>
      </c>
      <c r="K983" s="6">
        <v>32</v>
      </c>
      <c r="L983" s="6">
        <v>26</v>
      </c>
      <c r="M983" s="10">
        <f t="shared" si="45"/>
        <v>123.07692307692308</v>
      </c>
      <c r="N983" s="10">
        <f t="shared" si="46"/>
        <v>124</v>
      </c>
      <c r="O983" s="6" t="s">
        <v>276</v>
      </c>
      <c r="P983" s="6">
        <v>0</v>
      </c>
      <c r="Q983" s="6">
        <v>0</v>
      </c>
      <c r="R983" s="6">
        <v>2</v>
      </c>
      <c r="S983" s="6">
        <v>2</v>
      </c>
      <c r="T983" s="6" t="str">
        <f t="shared" si="47"/>
        <v>Quinta</v>
      </c>
    </row>
    <row r="984" spans="1:20">
      <c r="A984" s="7" t="s">
        <v>2164</v>
      </c>
      <c r="B984" s="7" t="s">
        <v>434</v>
      </c>
      <c r="C984" s="8">
        <v>1</v>
      </c>
      <c r="D984" s="7" t="s">
        <v>2164</v>
      </c>
      <c r="E984" s="7" t="s">
        <v>2165</v>
      </c>
      <c r="F984">
        <v>2250</v>
      </c>
      <c r="G984" s="6">
        <v>13308</v>
      </c>
      <c r="H984" s="11" t="s">
        <v>2166</v>
      </c>
      <c r="I984" s="6">
        <v>22</v>
      </c>
      <c r="J984" s="6">
        <v>40</v>
      </c>
      <c r="K984" s="6">
        <v>131</v>
      </c>
      <c r="L984" s="6">
        <v>60</v>
      </c>
      <c r="M984" s="10">
        <f t="shared" si="45"/>
        <v>218.33333333333334</v>
      </c>
      <c r="N984" s="10">
        <f t="shared" si="46"/>
        <v>219</v>
      </c>
      <c r="O984" s="6" t="s">
        <v>153</v>
      </c>
      <c r="P984" s="6">
        <v>4</v>
      </c>
      <c r="Q984" s="6">
        <v>1</v>
      </c>
      <c r="R984" s="6">
        <v>3</v>
      </c>
      <c r="S984" s="6">
        <v>8</v>
      </c>
      <c r="T984" s="6" t="str">
        <f t="shared" si="47"/>
        <v>Primera</v>
      </c>
    </row>
    <row r="985" spans="1:20">
      <c r="A985" s="7" t="s">
        <v>2164</v>
      </c>
      <c r="B985" s="7" t="s">
        <v>434</v>
      </c>
      <c r="C985" s="8">
        <v>1</v>
      </c>
      <c r="D985" s="7" t="s">
        <v>2164</v>
      </c>
      <c r="E985" s="7" t="s">
        <v>2167</v>
      </c>
      <c r="F985">
        <v>2162</v>
      </c>
      <c r="G985" s="6">
        <v>19880</v>
      </c>
      <c r="H985" s="11" t="s">
        <v>2168</v>
      </c>
      <c r="I985" s="6">
        <v>20</v>
      </c>
      <c r="J985" s="6">
        <v>67</v>
      </c>
      <c r="K985" s="6">
        <v>231</v>
      </c>
      <c r="L985" s="6">
        <v>67</v>
      </c>
      <c r="M985" s="10">
        <f t="shared" si="45"/>
        <v>344.7761194029851</v>
      </c>
      <c r="N985" s="10">
        <f t="shared" si="46"/>
        <v>345</v>
      </c>
      <c r="O985" s="6" t="s">
        <v>27</v>
      </c>
      <c r="P985" s="6">
        <v>10</v>
      </c>
      <c r="Q985" s="6">
        <v>8</v>
      </c>
      <c r="R985" s="6">
        <v>9</v>
      </c>
      <c r="S985" s="6">
        <v>27</v>
      </c>
      <c r="T985" s="6" t="str">
        <f t="shared" si="47"/>
        <v>Primera</v>
      </c>
    </row>
    <row r="986" spans="1:20">
      <c r="A986" s="7" t="s">
        <v>2164</v>
      </c>
      <c r="B986" s="7" t="s">
        <v>434</v>
      </c>
      <c r="C986" s="8">
        <v>1</v>
      </c>
      <c r="D986" s="7" t="s">
        <v>2164</v>
      </c>
      <c r="E986" s="7" t="s">
        <v>2169</v>
      </c>
      <c r="F986">
        <v>1940</v>
      </c>
      <c r="G986" s="6">
        <v>22303</v>
      </c>
      <c r="H986" s="11" t="s">
        <v>2170</v>
      </c>
      <c r="I986" s="6">
        <v>29</v>
      </c>
      <c r="J986" s="6">
        <v>29</v>
      </c>
      <c r="K986" s="6">
        <v>141</v>
      </c>
      <c r="L986" s="6">
        <v>67</v>
      </c>
      <c r="M986" s="10">
        <f t="shared" si="45"/>
        <v>210.44776119402985</v>
      </c>
      <c r="N986" s="10">
        <f t="shared" si="46"/>
        <v>211</v>
      </c>
      <c r="O986" s="6" t="s">
        <v>219</v>
      </c>
      <c r="P986" s="6">
        <v>9</v>
      </c>
      <c r="Q986" s="6">
        <v>4</v>
      </c>
      <c r="R986" s="6">
        <v>10</v>
      </c>
      <c r="S986" s="6">
        <v>23</v>
      </c>
      <c r="T986" s="6" t="str">
        <f t="shared" si="47"/>
        <v>Segunda</v>
      </c>
    </row>
    <row r="987" spans="1:20">
      <c r="A987" s="7" t="s">
        <v>2164</v>
      </c>
      <c r="B987" s="7" t="s">
        <v>434</v>
      </c>
      <c r="C987" s="8">
        <v>1</v>
      </c>
      <c r="D987" s="7" t="s">
        <v>2164</v>
      </c>
      <c r="E987" s="7" t="s">
        <v>2171</v>
      </c>
      <c r="F987">
        <v>1906</v>
      </c>
      <c r="G987" s="6">
        <v>15852</v>
      </c>
      <c r="H987" s="11" t="s">
        <v>2172</v>
      </c>
      <c r="I987" s="6">
        <v>23</v>
      </c>
      <c r="J987" s="6">
        <v>22</v>
      </c>
      <c r="K987" s="6">
        <v>104</v>
      </c>
      <c r="L987" s="6">
        <v>82</v>
      </c>
      <c r="M987" s="10">
        <f t="shared" si="45"/>
        <v>126.82926829268293</v>
      </c>
      <c r="N987" s="10">
        <f t="shared" si="46"/>
        <v>127</v>
      </c>
      <c r="O987" s="6" t="s">
        <v>69</v>
      </c>
      <c r="P987" s="6">
        <v>8</v>
      </c>
      <c r="Q987" s="6">
        <v>6</v>
      </c>
      <c r="R987" s="6">
        <v>1</v>
      </c>
      <c r="S987" s="6">
        <v>15</v>
      </c>
      <c r="T987" s="6" t="str">
        <f t="shared" si="47"/>
        <v>Segunda</v>
      </c>
    </row>
    <row r="988" spans="1:20">
      <c r="A988" s="7" t="s">
        <v>2164</v>
      </c>
      <c r="B988" s="7" t="s">
        <v>781</v>
      </c>
      <c r="C988" s="8">
        <v>1</v>
      </c>
      <c r="D988" s="7" t="s">
        <v>2164</v>
      </c>
      <c r="E988" s="7" t="s">
        <v>2173</v>
      </c>
      <c r="F988">
        <v>1693</v>
      </c>
      <c r="G988" s="6">
        <v>3912</v>
      </c>
      <c r="H988" s="11" t="s">
        <v>2174</v>
      </c>
      <c r="I988" s="6">
        <v>36</v>
      </c>
      <c r="J988" s="6">
        <v>20</v>
      </c>
      <c r="K988" s="6">
        <v>77</v>
      </c>
      <c r="L988" s="6">
        <v>70</v>
      </c>
      <c r="M988" s="10">
        <f t="shared" si="45"/>
        <v>110</v>
      </c>
      <c r="N988" s="10">
        <f t="shared" si="46"/>
        <v>110</v>
      </c>
      <c r="O988" s="6" t="s">
        <v>27</v>
      </c>
      <c r="P988" s="6">
        <v>5</v>
      </c>
      <c r="Q988" s="6">
        <v>1</v>
      </c>
      <c r="R988" s="6">
        <v>3</v>
      </c>
      <c r="S988" s="6">
        <v>9</v>
      </c>
      <c r="T988" s="6" t="str">
        <f t="shared" si="47"/>
        <v>Tercera</v>
      </c>
    </row>
    <row r="989" spans="1:20">
      <c r="A989" s="7" t="s">
        <v>2164</v>
      </c>
      <c r="B989" s="7" t="s">
        <v>781</v>
      </c>
      <c r="C989" s="8">
        <v>1</v>
      </c>
      <c r="D989" s="7" t="s">
        <v>2164</v>
      </c>
      <c r="E989" s="7" t="s">
        <v>2171</v>
      </c>
      <c r="F989">
        <v>1906</v>
      </c>
      <c r="G989" s="6">
        <v>15852</v>
      </c>
      <c r="H989" s="11" t="s">
        <v>2172</v>
      </c>
      <c r="I989" s="6">
        <v>23</v>
      </c>
      <c r="J989" s="6">
        <v>22</v>
      </c>
      <c r="K989" s="6">
        <v>104</v>
      </c>
      <c r="L989" s="6">
        <v>82</v>
      </c>
      <c r="M989" s="10">
        <f t="shared" si="45"/>
        <v>126.82926829268293</v>
      </c>
      <c r="N989" s="10">
        <f t="shared" si="46"/>
        <v>127</v>
      </c>
      <c r="O989" s="6" t="s">
        <v>69</v>
      </c>
      <c r="P989" s="6">
        <v>8</v>
      </c>
      <c r="Q989" s="6">
        <v>6</v>
      </c>
      <c r="R989" s="6">
        <v>1</v>
      </c>
      <c r="S989" s="6">
        <v>15</v>
      </c>
      <c r="T989" s="6" t="str">
        <f t="shared" si="47"/>
        <v>Segunda</v>
      </c>
    </row>
    <row r="990" spans="1:20">
      <c r="A990" s="7" t="s">
        <v>2164</v>
      </c>
      <c r="B990" s="7" t="s">
        <v>781</v>
      </c>
      <c r="C990" s="8">
        <v>1</v>
      </c>
      <c r="D990" s="7" t="s">
        <v>2164</v>
      </c>
      <c r="E990" s="7" t="s">
        <v>2175</v>
      </c>
      <c r="F990">
        <v>1783</v>
      </c>
      <c r="G990" s="6">
        <v>22950</v>
      </c>
      <c r="H990" s="11" t="s">
        <v>2176</v>
      </c>
      <c r="I990" s="6">
        <v>35</v>
      </c>
      <c r="J990" s="6">
        <v>72</v>
      </c>
      <c r="K990" s="6">
        <v>213</v>
      </c>
      <c r="L990" s="6">
        <v>63</v>
      </c>
      <c r="M990" s="10">
        <f t="shared" si="45"/>
        <v>338.09523809523807</v>
      </c>
      <c r="N990" s="10">
        <f t="shared" si="46"/>
        <v>339</v>
      </c>
      <c r="O990" s="6" t="s">
        <v>27</v>
      </c>
      <c r="P990" s="6">
        <v>8</v>
      </c>
      <c r="Q990" s="6">
        <v>7</v>
      </c>
      <c r="R990" s="6">
        <v>13</v>
      </c>
      <c r="S990" s="6">
        <v>28</v>
      </c>
      <c r="T990" s="6" t="str">
        <f t="shared" si="47"/>
        <v>Tercera</v>
      </c>
    </row>
    <row r="991" spans="1:20">
      <c r="A991" s="7" t="s">
        <v>2164</v>
      </c>
      <c r="B991" s="7" t="s">
        <v>781</v>
      </c>
      <c r="C991" s="8">
        <v>1</v>
      </c>
      <c r="D991" s="7" t="s">
        <v>2164</v>
      </c>
      <c r="E991" s="7" t="s">
        <v>2177</v>
      </c>
      <c r="F991">
        <v>1662</v>
      </c>
      <c r="G991" s="6">
        <v>25952</v>
      </c>
      <c r="H991" s="11" t="s">
        <v>2178</v>
      </c>
      <c r="I991" s="6">
        <v>41</v>
      </c>
      <c r="J991" s="6">
        <v>35</v>
      </c>
      <c r="K991" s="6">
        <v>136</v>
      </c>
      <c r="L991" s="6">
        <v>65</v>
      </c>
      <c r="M991" s="10">
        <f t="shared" si="45"/>
        <v>209.23076923076923</v>
      </c>
      <c r="N991" s="10">
        <f t="shared" si="46"/>
        <v>210</v>
      </c>
      <c r="O991" s="6" t="s">
        <v>26</v>
      </c>
      <c r="P991" s="6">
        <v>5</v>
      </c>
      <c r="Q991" s="6">
        <v>4</v>
      </c>
      <c r="R991" s="6">
        <v>11</v>
      </c>
      <c r="S991" s="6">
        <v>20</v>
      </c>
      <c r="T991" s="6" t="str">
        <f t="shared" si="47"/>
        <v>Tercera</v>
      </c>
    </row>
    <row r="992" spans="1:20">
      <c r="A992" s="7" t="s">
        <v>2164</v>
      </c>
      <c r="B992" s="7" t="s">
        <v>483</v>
      </c>
      <c r="C992" s="8">
        <v>1</v>
      </c>
      <c r="D992" s="7" t="s">
        <v>2164</v>
      </c>
      <c r="E992" s="7" t="s">
        <v>2179</v>
      </c>
      <c r="F992">
        <v>1618</v>
      </c>
      <c r="G992" s="6">
        <v>21740</v>
      </c>
      <c r="H992" s="11" t="s">
        <v>2180</v>
      </c>
      <c r="I992" s="6">
        <v>16</v>
      </c>
      <c r="J992" s="6">
        <v>42</v>
      </c>
      <c r="K992" s="6">
        <v>128</v>
      </c>
      <c r="L992" s="6">
        <v>63</v>
      </c>
      <c r="M992" s="10">
        <f t="shared" si="45"/>
        <v>203.17460317460316</v>
      </c>
      <c r="N992" s="10">
        <f t="shared" si="46"/>
        <v>204</v>
      </c>
      <c r="O992" s="6" t="s">
        <v>27</v>
      </c>
      <c r="P992" s="6">
        <v>9</v>
      </c>
      <c r="Q992" s="6">
        <v>5</v>
      </c>
      <c r="R992" s="6">
        <v>5</v>
      </c>
      <c r="S992" s="6">
        <v>19</v>
      </c>
      <c r="T992" s="6" t="str">
        <f t="shared" si="47"/>
        <v>Tercera</v>
      </c>
    </row>
    <row r="993" spans="1:20">
      <c r="A993" s="7" t="s">
        <v>2164</v>
      </c>
      <c r="B993" s="7" t="s">
        <v>483</v>
      </c>
      <c r="C993" s="8">
        <v>1</v>
      </c>
      <c r="D993" s="7" t="s">
        <v>2164</v>
      </c>
      <c r="E993" s="7" t="s">
        <v>2181</v>
      </c>
      <c r="F993">
        <v>1572</v>
      </c>
      <c r="G993" s="6">
        <v>13931</v>
      </c>
      <c r="H993" s="11" t="s">
        <v>2182</v>
      </c>
      <c r="I993" s="6">
        <v>24</v>
      </c>
      <c r="J993" s="6">
        <v>25</v>
      </c>
      <c r="K993" s="6">
        <v>62</v>
      </c>
      <c r="L993" s="6">
        <v>57</v>
      </c>
      <c r="M993" s="10">
        <f t="shared" si="45"/>
        <v>108.7719298245614</v>
      </c>
      <c r="N993" s="10">
        <f t="shared" si="46"/>
        <v>109</v>
      </c>
      <c r="O993" s="6" t="s">
        <v>226</v>
      </c>
      <c r="P993" s="6">
        <v>3</v>
      </c>
      <c r="Q993" s="6">
        <v>2</v>
      </c>
      <c r="R993" s="6">
        <v>5</v>
      </c>
      <c r="S993" s="6">
        <v>10</v>
      </c>
      <c r="T993" s="6" t="str">
        <f t="shared" si="47"/>
        <v>Cuarta</v>
      </c>
    </row>
    <row r="994" spans="1:20">
      <c r="A994" s="7" t="s">
        <v>2164</v>
      </c>
      <c r="B994" s="7" t="s">
        <v>483</v>
      </c>
      <c r="C994" s="8">
        <v>1</v>
      </c>
      <c r="D994" s="7" t="s">
        <v>2164</v>
      </c>
      <c r="E994" s="7" t="s">
        <v>2183</v>
      </c>
      <c r="F994">
        <v>1476</v>
      </c>
      <c r="G994" s="6">
        <v>884</v>
      </c>
      <c r="H994" s="11" t="s">
        <v>2184</v>
      </c>
      <c r="I994" s="6">
        <v>44</v>
      </c>
      <c r="J994" s="6">
        <v>48</v>
      </c>
      <c r="K994" s="6">
        <v>74</v>
      </c>
      <c r="L994" s="6">
        <v>36</v>
      </c>
      <c r="M994" s="10">
        <f t="shared" si="45"/>
        <v>205.55555555555554</v>
      </c>
      <c r="N994" s="10">
        <f t="shared" si="46"/>
        <v>206</v>
      </c>
      <c r="O994" s="6" t="s">
        <v>27</v>
      </c>
      <c r="P994" s="6">
        <v>3</v>
      </c>
      <c r="Q994" s="6">
        <v>0</v>
      </c>
      <c r="R994" s="6">
        <v>2</v>
      </c>
      <c r="S994" s="6">
        <v>5</v>
      </c>
      <c r="T994" s="6" t="str">
        <f t="shared" si="47"/>
        <v>Cuarta</v>
      </c>
    </row>
    <row r="995" spans="1:20">
      <c r="A995" s="7" t="s">
        <v>2164</v>
      </c>
      <c r="B995" s="7" t="s">
        <v>483</v>
      </c>
      <c r="C995" s="8">
        <v>1</v>
      </c>
      <c r="D995" s="7" t="s">
        <v>2164</v>
      </c>
      <c r="E995" s="7" t="s">
        <v>2185</v>
      </c>
      <c r="F995">
        <v>1377</v>
      </c>
      <c r="G995" s="6">
        <v>4909</v>
      </c>
      <c r="H995" s="11" t="s">
        <v>2186</v>
      </c>
      <c r="I995" s="6">
        <v>41</v>
      </c>
      <c r="J995" s="6">
        <v>1</v>
      </c>
      <c r="K995" s="6">
        <v>1</v>
      </c>
      <c r="L995" s="6">
        <v>25</v>
      </c>
      <c r="M995" s="10">
        <f t="shared" si="45"/>
        <v>4</v>
      </c>
      <c r="N995" s="10">
        <f t="shared" si="46"/>
        <v>4</v>
      </c>
      <c r="O995" s="6" t="s">
        <v>277</v>
      </c>
      <c r="P995" s="6">
        <v>0</v>
      </c>
      <c r="Q995" s="6">
        <v>0</v>
      </c>
      <c r="R995" s="6">
        <v>0</v>
      </c>
      <c r="S995" s="6">
        <v>0</v>
      </c>
      <c r="T995" s="6" t="str">
        <f t="shared" si="47"/>
        <v>Quinta</v>
      </c>
    </row>
    <row r="996" spans="1:20">
      <c r="A996" s="7" t="s">
        <v>2164</v>
      </c>
      <c r="B996" s="7" t="s">
        <v>483</v>
      </c>
      <c r="C996" s="8">
        <v>1</v>
      </c>
      <c r="D996" s="7" t="s">
        <v>2164</v>
      </c>
      <c r="E996" s="7" t="s">
        <v>2187</v>
      </c>
      <c r="F996">
        <v>1476</v>
      </c>
      <c r="G996" s="6">
        <v>21721</v>
      </c>
      <c r="H996" s="11" t="s">
        <v>2188</v>
      </c>
      <c r="I996" s="6">
        <v>27</v>
      </c>
      <c r="J996" s="6">
        <v>60</v>
      </c>
      <c r="K996" s="6">
        <v>153</v>
      </c>
      <c r="L996" s="6">
        <v>52</v>
      </c>
      <c r="M996" s="10">
        <f t="shared" si="45"/>
        <v>294.23076923076923</v>
      </c>
      <c r="N996" s="10">
        <f t="shared" si="46"/>
        <v>295</v>
      </c>
      <c r="O996" s="6" t="s">
        <v>278</v>
      </c>
      <c r="P996" s="6">
        <v>3</v>
      </c>
      <c r="Q996" s="6">
        <v>7</v>
      </c>
      <c r="R996" s="6">
        <v>13</v>
      </c>
      <c r="S996" s="6">
        <v>23</v>
      </c>
      <c r="T996" s="6" t="str">
        <f t="shared" si="47"/>
        <v>Cuarta</v>
      </c>
    </row>
    <row r="997" spans="1:20">
      <c r="A997" s="7" t="s">
        <v>2164</v>
      </c>
      <c r="B997" s="7" t="s">
        <v>483</v>
      </c>
      <c r="C997" s="8">
        <v>1</v>
      </c>
      <c r="D997" s="7" t="s">
        <v>2164</v>
      </c>
      <c r="E997" s="7" t="s">
        <v>2189</v>
      </c>
      <c r="F997">
        <v>1542</v>
      </c>
      <c r="G997" s="6">
        <v>5933</v>
      </c>
      <c r="H997" s="11" t="s">
        <v>2190</v>
      </c>
      <c r="I997" s="6">
        <v>58</v>
      </c>
      <c r="J997" s="6">
        <v>3</v>
      </c>
      <c r="K997" s="6">
        <v>7</v>
      </c>
      <c r="L997" s="6">
        <v>64</v>
      </c>
      <c r="M997" s="10">
        <f t="shared" si="45"/>
        <v>10.9375</v>
      </c>
      <c r="N997" s="10">
        <f t="shared" si="46"/>
        <v>11</v>
      </c>
      <c r="O997" s="6" t="s">
        <v>226</v>
      </c>
      <c r="P997" s="6">
        <v>0</v>
      </c>
      <c r="Q997" s="6">
        <v>0</v>
      </c>
      <c r="R997" s="6">
        <v>1</v>
      </c>
      <c r="S997" s="6">
        <v>1</v>
      </c>
      <c r="T997" s="6" t="str">
        <f t="shared" si="47"/>
        <v>Cuarta</v>
      </c>
    </row>
    <row r="998" spans="1:20">
      <c r="A998" s="7" t="s">
        <v>2164</v>
      </c>
      <c r="B998" s="7" t="s">
        <v>483</v>
      </c>
      <c r="C998" s="8">
        <v>1</v>
      </c>
      <c r="D998" s="7" t="s">
        <v>2164</v>
      </c>
      <c r="E998" s="7" t="s">
        <v>2191</v>
      </c>
      <c r="F998">
        <v>1431</v>
      </c>
      <c r="G998" s="6">
        <v>25107</v>
      </c>
      <c r="H998" s="11" t="s">
        <v>2192</v>
      </c>
      <c r="I998" s="6">
        <v>18</v>
      </c>
      <c r="J998" s="6">
        <v>35</v>
      </c>
      <c r="K998" s="6">
        <v>95</v>
      </c>
      <c r="L998" s="6">
        <v>53</v>
      </c>
      <c r="M998" s="10">
        <f t="shared" si="45"/>
        <v>179.24528301886792</v>
      </c>
      <c r="N998" s="10">
        <f t="shared" si="46"/>
        <v>180</v>
      </c>
      <c r="O998" s="6" t="s">
        <v>27</v>
      </c>
      <c r="P998" s="6">
        <v>2</v>
      </c>
      <c r="Q998" s="6">
        <v>5</v>
      </c>
      <c r="R998" s="6">
        <v>9</v>
      </c>
      <c r="S998" s="6">
        <v>16</v>
      </c>
      <c r="T998" s="6" t="str">
        <f t="shared" si="47"/>
        <v>Cuarta</v>
      </c>
    </row>
    <row r="999" spans="1:20">
      <c r="A999" s="7" t="s">
        <v>2164</v>
      </c>
      <c r="B999" s="7" t="s">
        <v>496</v>
      </c>
      <c r="C999" s="8">
        <v>1</v>
      </c>
      <c r="D999" s="7" t="s">
        <v>2164</v>
      </c>
      <c r="E999" s="7" t="s">
        <v>2187</v>
      </c>
      <c r="F999">
        <v>1476</v>
      </c>
      <c r="G999" s="6">
        <v>21721</v>
      </c>
      <c r="H999" s="11" t="s">
        <v>2188</v>
      </c>
      <c r="I999" s="6">
        <v>27</v>
      </c>
      <c r="J999" s="6">
        <v>60</v>
      </c>
      <c r="K999" s="6">
        <v>153</v>
      </c>
      <c r="L999" s="6">
        <v>52</v>
      </c>
      <c r="M999" s="10">
        <f t="shared" si="45"/>
        <v>294.23076923076923</v>
      </c>
      <c r="N999" s="10">
        <f t="shared" si="46"/>
        <v>295</v>
      </c>
      <c r="O999" s="6" t="s">
        <v>278</v>
      </c>
      <c r="P999" s="6">
        <v>3</v>
      </c>
      <c r="Q999" s="6">
        <v>7</v>
      </c>
      <c r="R999" s="6">
        <v>13</v>
      </c>
      <c r="S999" s="6">
        <v>23</v>
      </c>
      <c r="T999" s="6" t="str">
        <f t="shared" si="47"/>
        <v>Cuarta</v>
      </c>
    </row>
    <row r="1000" spans="1:20">
      <c r="A1000" s="7" t="s">
        <v>2164</v>
      </c>
      <c r="B1000" s="7" t="s">
        <v>496</v>
      </c>
      <c r="C1000" s="8">
        <v>1</v>
      </c>
      <c r="D1000" s="7" t="s">
        <v>2164</v>
      </c>
      <c r="E1000" s="7" t="s">
        <v>2185</v>
      </c>
      <c r="F1000">
        <v>1377</v>
      </c>
      <c r="G1000" s="6">
        <v>4909</v>
      </c>
      <c r="H1000" s="11" t="s">
        <v>2186</v>
      </c>
      <c r="I1000" s="6">
        <v>41</v>
      </c>
      <c r="J1000" s="6">
        <v>1</v>
      </c>
      <c r="K1000" s="6">
        <v>1</v>
      </c>
      <c r="L1000" s="6">
        <v>25</v>
      </c>
      <c r="M1000" s="10">
        <f t="shared" si="45"/>
        <v>4</v>
      </c>
      <c r="N1000" s="10">
        <f t="shared" si="46"/>
        <v>4</v>
      </c>
      <c r="O1000" s="6" t="s">
        <v>277</v>
      </c>
      <c r="P1000" s="6">
        <v>0</v>
      </c>
      <c r="Q1000" s="6">
        <v>0</v>
      </c>
      <c r="R1000" s="6">
        <v>0</v>
      </c>
      <c r="S1000" s="6">
        <v>0</v>
      </c>
      <c r="T1000" s="6" t="str">
        <f t="shared" si="47"/>
        <v>Quinta</v>
      </c>
    </row>
    <row r="1001" spans="1:20">
      <c r="A1001" s="7" t="s">
        <v>2164</v>
      </c>
      <c r="B1001" s="7" t="s">
        <v>496</v>
      </c>
      <c r="C1001" s="8">
        <v>1</v>
      </c>
      <c r="D1001" s="7" t="s">
        <v>2164</v>
      </c>
      <c r="E1001" s="7" t="s">
        <v>2193</v>
      </c>
      <c r="F1001">
        <v>1465</v>
      </c>
      <c r="G1001" s="6">
        <v>26403</v>
      </c>
      <c r="H1001" s="11" t="s">
        <v>2194</v>
      </c>
      <c r="I1001" s="6">
        <v>31</v>
      </c>
      <c r="J1001" s="6">
        <v>22</v>
      </c>
      <c r="K1001" s="6">
        <v>73</v>
      </c>
      <c r="L1001" s="6">
        <v>72</v>
      </c>
      <c r="M1001" s="10">
        <f t="shared" si="45"/>
        <v>101.38888888888889</v>
      </c>
      <c r="N1001" s="10">
        <f t="shared" si="46"/>
        <v>102</v>
      </c>
      <c r="O1001" s="6" t="s">
        <v>226</v>
      </c>
      <c r="P1001" s="6">
        <v>5</v>
      </c>
      <c r="Q1001" s="6">
        <v>1</v>
      </c>
      <c r="R1001" s="6">
        <v>5</v>
      </c>
      <c r="S1001" s="6">
        <v>11</v>
      </c>
      <c r="T1001" s="6" t="str">
        <f t="shared" si="47"/>
        <v>Cuarta</v>
      </c>
    </row>
    <row r="1002" spans="1:20">
      <c r="A1002" s="7" t="s">
        <v>2164</v>
      </c>
      <c r="B1002" s="7" t="s">
        <v>496</v>
      </c>
      <c r="C1002" s="8">
        <v>1</v>
      </c>
      <c r="D1002" s="7" t="s">
        <v>2164</v>
      </c>
      <c r="E1002" s="7" t="s">
        <v>2195</v>
      </c>
      <c r="F1002">
        <v>1396</v>
      </c>
      <c r="G1002" s="6">
        <v>7221</v>
      </c>
      <c r="H1002" s="11" t="s">
        <v>2196</v>
      </c>
      <c r="I1002" s="6">
        <v>33</v>
      </c>
      <c r="J1002" s="6">
        <v>117</v>
      </c>
      <c r="K1002" s="6">
        <v>285</v>
      </c>
      <c r="L1002" s="6">
        <v>54</v>
      </c>
      <c r="M1002" s="10">
        <f t="shared" si="45"/>
        <v>527.77777777777783</v>
      </c>
      <c r="N1002" s="10">
        <f t="shared" si="46"/>
        <v>528</v>
      </c>
      <c r="O1002" s="6" t="s">
        <v>114</v>
      </c>
      <c r="P1002" s="6">
        <v>3</v>
      </c>
      <c r="Q1002" s="6">
        <v>9</v>
      </c>
      <c r="R1002" s="6">
        <v>17</v>
      </c>
      <c r="S1002" s="6">
        <v>29</v>
      </c>
      <c r="T1002" s="6" t="str">
        <f t="shared" si="47"/>
        <v>Quinta</v>
      </c>
    </row>
    <row r="1003" spans="1:20">
      <c r="A1003" s="7" t="s">
        <v>2164</v>
      </c>
      <c r="B1003" s="7" t="s">
        <v>496</v>
      </c>
      <c r="C1003" s="8">
        <v>1</v>
      </c>
      <c r="D1003" s="7" t="s">
        <v>2164</v>
      </c>
      <c r="E1003" s="7" t="s">
        <v>2197</v>
      </c>
      <c r="F1003">
        <v>977</v>
      </c>
      <c r="G1003" s="6">
        <v>9139</v>
      </c>
      <c r="H1003" s="11" t="s">
        <v>2198</v>
      </c>
      <c r="I1003" s="6">
        <v>62</v>
      </c>
      <c r="J1003" s="6">
        <v>1</v>
      </c>
      <c r="K1003" s="6">
        <v>0</v>
      </c>
      <c r="L1003" s="6">
        <v>0</v>
      </c>
      <c r="M1003" s="10">
        <f t="shared" si="45"/>
        <v>0</v>
      </c>
      <c r="N1003" s="10">
        <f t="shared" si="46"/>
        <v>0</v>
      </c>
      <c r="O1003" s="6" t="s">
        <v>40</v>
      </c>
      <c r="P1003" s="6">
        <v>0</v>
      </c>
      <c r="Q1003" s="6">
        <v>0</v>
      </c>
      <c r="R1003" s="6">
        <v>0</v>
      </c>
      <c r="S1003" s="6">
        <v>0</v>
      </c>
      <c r="T1003" s="6" t="str">
        <f t="shared" si="47"/>
        <v>Octava</v>
      </c>
    </row>
    <row r="1004" spans="1:20">
      <c r="A1004" s="7" t="s">
        <v>2164</v>
      </c>
      <c r="B1004" s="7" t="s">
        <v>496</v>
      </c>
      <c r="C1004" s="8">
        <v>1</v>
      </c>
      <c r="D1004" s="7" t="s">
        <v>2164</v>
      </c>
      <c r="E1004" s="7" t="s">
        <v>2199</v>
      </c>
      <c r="F1004">
        <v>1293</v>
      </c>
      <c r="G1004" s="6">
        <v>22108</v>
      </c>
      <c r="H1004" s="11" t="s">
        <v>2200</v>
      </c>
      <c r="I1004" s="6">
        <v>34</v>
      </c>
      <c r="J1004" s="6">
        <v>27</v>
      </c>
      <c r="K1004" s="6">
        <v>53</v>
      </c>
      <c r="L1004" s="6">
        <v>46</v>
      </c>
      <c r="M1004" s="10">
        <f t="shared" si="45"/>
        <v>115.21739130434783</v>
      </c>
      <c r="N1004" s="10">
        <f t="shared" si="46"/>
        <v>116</v>
      </c>
      <c r="O1004" s="6" t="s">
        <v>27</v>
      </c>
      <c r="P1004" s="6">
        <v>1</v>
      </c>
      <c r="Q1004" s="6">
        <v>2</v>
      </c>
      <c r="R1004" s="6">
        <v>0</v>
      </c>
      <c r="S1004" s="6">
        <v>3</v>
      </c>
      <c r="T1004" s="6" t="str">
        <f t="shared" si="47"/>
        <v>Quinta</v>
      </c>
    </row>
    <row r="1005" spans="1:20">
      <c r="A1005" s="7" t="s">
        <v>2164</v>
      </c>
      <c r="B1005" s="7" t="s">
        <v>496</v>
      </c>
      <c r="C1005" s="8">
        <v>1</v>
      </c>
      <c r="D1005" s="7" t="s">
        <v>2164</v>
      </c>
      <c r="E1005" s="7" t="s">
        <v>2201</v>
      </c>
      <c r="F1005">
        <v>1344</v>
      </c>
      <c r="G1005" s="6">
        <v>25352</v>
      </c>
      <c r="H1005" s="11" t="s">
        <v>2202</v>
      </c>
      <c r="I1005" s="6">
        <v>41</v>
      </c>
      <c r="J1005" s="6">
        <v>26</v>
      </c>
      <c r="K1005" s="6">
        <v>78</v>
      </c>
      <c r="L1005" s="6">
        <v>63</v>
      </c>
      <c r="M1005" s="10">
        <f t="shared" si="45"/>
        <v>123.80952380952381</v>
      </c>
      <c r="N1005" s="10">
        <f t="shared" si="46"/>
        <v>124</v>
      </c>
      <c r="O1005" s="6" t="s">
        <v>157</v>
      </c>
      <c r="P1005" s="6">
        <v>4</v>
      </c>
      <c r="Q1005" s="6">
        <v>2</v>
      </c>
      <c r="R1005" s="6">
        <v>5</v>
      </c>
      <c r="S1005" s="6">
        <v>11</v>
      </c>
      <c r="T1005" s="6" t="str">
        <f t="shared" si="47"/>
        <v>Quinta</v>
      </c>
    </row>
    <row r="1006" spans="1:20">
      <c r="A1006" s="7" t="s">
        <v>2164</v>
      </c>
      <c r="B1006" s="7" t="s">
        <v>496</v>
      </c>
      <c r="C1006" s="8">
        <v>1</v>
      </c>
      <c r="D1006" s="7" t="s">
        <v>2164</v>
      </c>
      <c r="E1006" s="7" t="s">
        <v>2203</v>
      </c>
      <c r="F1006">
        <v>1339</v>
      </c>
      <c r="G1006" s="6">
        <v>21031</v>
      </c>
      <c r="H1006" s="11" t="s">
        <v>2204</v>
      </c>
      <c r="I1006" s="6">
        <v>27</v>
      </c>
      <c r="J1006" s="6">
        <v>67</v>
      </c>
      <c r="K1006" s="6">
        <v>162</v>
      </c>
      <c r="L1006" s="6">
        <v>48</v>
      </c>
      <c r="M1006" s="10">
        <f t="shared" si="45"/>
        <v>337.5</v>
      </c>
      <c r="N1006" s="10">
        <f t="shared" si="46"/>
        <v>338</v>
      </c>
      <c r="O1006" s="6" t="s">
        <v>12</v>
      </c>
      <c r="P1006" s="6">
        <v>3</v>
      </c>
      <c r="Q1006" s="6">
        <v>7</v>
      </c>
      <c r="R1006" s="6">
        <v>9</v>
      </c>
      <c r="S1006" s="6">
        <v>19</v>
      </c>
      <c r="T1006" s="6" t="str">
        <f t="shared" si="47"/>
        <v>Quinta</v>
      </c>
    </row>
    <row r="1007" spans="1:20">
      <c r="A1007" s="7" t="s">
        <v>2164</v>
      </c>
      <c r="B1007" s="7" t="s">
        <v>507</v>
      </c>
      <c r="C1007" s="8">
        <v>1</v>
      </c>
      <c r="D1007" s="7" t="s">
        <v>2164</v>
      </c>
      <c r="E1007" s="7" t="s">
        <v>2205</v>
      </c>
      <c r="F1007">
        <v>1180</v>
      </c>
      <c r="G1007" s="6">
        <v>28148</v>
      </c>
      <c r="H1007" s="11" t="s">
        <v>2206</v>
      </c>
      <c r="I1007" s="6">
        <v>28</v>
      </c>
      <c r="J1007" s="6">
        <v>15</v>
      </c>
      <c r="K1007" s="6">
        <v>39</v>
      </c>
      <c r="L1007" s="6">
        <v>56</v>
      </c>
      <c r="M1007" s="10">
        <f t="shared" si="45"/>
        <v>69.642857142857139</v>
      </c>
      <c r="N1007" s="10">
        <f t="shared" si="46"/>
        <v>70</v>
      </c>
      <c r="O1007" s="6" t="s">
        <v>68</v>
      </c>
      <c r="P1007" s="6">
        <v>2</v>
      </c>
      <c r="Q1007" s="6">
        <v>2</v>
      </c>
      <c r="R1007" s="6">
        <v>2</v>
      </c>
      <c r="S1007" s="6">
        <v>6</v>
      </c>
      <c r="T1007" s="6" t="str">
        <f t="shared" si="47"/>
        <v>Sexta</v>
      </c>
    </row>
    <row r="1008" spans="1:20">
      <c r="A1008" s="7" t="s">
        <v>2164</v>
      </c>
      <c r="B1008" s="7" t="s">
        <v>507</v>
      </c>
      <c r="C1008" s="8">
        <v>1</v>
      </c>
      <c r="D1008" s="7" t="s">
        <v>2164</v>
      </c>
      <c r="E1008" s="7" t="s">
        <v>2207</v>
      </c>
      <c r="F1008">
        <v>1309</v>
      </c>
      <c r="G1008" s="6">
        <v>25335</v>
      </c>
      <c r="H1008" s="11" t="s">
        <v>2208</v>
      </c>
      <c r="I1008" s="6">
        <v>21</v>
      </c>
      <c r="J1008" s="6">
        <v>37</v>
      </c>
      <c r="K1008" s="6">
        <v>92</v>
      </c>
      <c r="L1008" s="6">
        <v>52</v>
      </c>
      <c r="M1008" s="10">
        <f t="shared" si="45"/>
        <v>176.92307692307693</v>
      </c>
      <c r="N1008" s="10">
        <f t="shared" si="46"/>
        <v>177</v>
      </c>
      <c r="O1008" s="6" t="s">
        <v>27</v>
      </c>
      <c r="P1008" s="6">
        <v>4</v>
      </c>
      <c r="Q1008" s="6">
        <v>3</v>
      </c>
      <c r="R1008" s="6">
        <v>5</v>
      </c>
      <c r="S1008" s="6">
        <v>12</v>
      </c>
      <c r="T1008" s="6" t="str">
        <f t="shared" si="47"/>
        <v>Quinta</v>
      </c>
    </row>
    <row r="1009" spans="1:20">
      <c r="A1009" s="7" t="s">
        <v>2164</v>
      </c>
      <c r="B1009" s="7" t="s">
        <v>507</v>
      </c>
      <c r="C1009" s="8">
        <v>1</v>
      </c>
      <c r="D1009" s="7" t="s">
        <v>2164</v>
      </c>
      <c r="E1009" s="7" t="s">
        <v>2199</v>
      </c>
      <c r="F1009">
        <v>1293</v>
      </c>
      <c r="G1009" s="6">
        <v>22108</v>
      </c>
      <c r="H1009" s="11" t="s">
        <v>2200</v>
      </c>
      <c r="I1009" s="6">
        <v>34</v>
      </c>
      <c r="J1009" s="6">
        <v>27</v>
      </c>
      <c r="K1009" s="6">
        <v>53</v>
      </c>
      <c r="L1009" s="6">
        <v>46</v>
      </c>
      <c r="M1009" s="10">
        <f t="shared" si="45"/>
        <v>115.21739130434783</v>
      </c>
      <c r="N1009" s="10">
        <f t="shared" si="46"/>
        <v>116</v>
      </c>
      <c r="O1009" s="6" t="s">
        <v>27</v>
      </c>
      <c r="P1009" s="6">
        <v>1</v>
      </c>
      <c r="Q1009" s="6">
        <v>2</v>
      </c>
      <c r="R1009" s="6">
        <v>0</v>
      </c>
      <c r="S1009" s="6">
        <v>3</v>
      </c>
      <c r="T1009" s="6" t="str">
        <f t="shared" si="47"/>
        <v>Quinta</v>
      </c>
    </row>
    <row r="1010" spans="1:20">
      <c r="A1010" s="7" t="s">
        <v>2164</v>
      </c>
      <c r="B1010" s="7" t="s">
        <v>507</v>
      </c>
      <c r="C1010" s="8">
        <v>1</v>
      </c>
      <c r="D1010" s="7" t="s">
        <v>2164</v>
      </c>
      <c r="E1010" s="7" t="s">
        <v>2209</v>
      </c>
      <c r="F1010">
        <v>1304</v>
      </c>
      <c r="G1010" s="6">
        <v>19871</v>
      </c>
      <c r="H1010" s="11" t="s">
        <v>2210</v>
      </c>
      <c r="I1010" s="6">
        <v>54</v>
      </c>
      <c r="J1010" s="6">
        <v>72</v>
      </c>
      <c r="K1010" s="6">
        <v>152</v>
      </c>
      <c r="L1010" s="6">
        <v>42</v>
      </c>
      <c r="M1010" s="10">
        <f t="shared" si="45"/>
        <v>361.90476190476193</v>
      </c>
      <c r="N1010" s="10">
        <f t="shared" si="46"/>
        <v>362</v>
      </c>
      <c r="O1010" s="6" t="s">
        <v>18</v>
      </c>
      <c r="P1010" s="6">
        <v>1</v>
      </c>
      <c r="Q1010" s="6">
        <v>5</v>
      </c>
      <c r="R1010" s="6">
        <v>7</v>
      </c>
      <c r="S1010" s="6">
        <v>13</v>
      </c>
      <c r="T1010" s="6" t="str">
        <f t="shared" si="47"/>
        <v>Quinta</v>
      </c>
    </row>
    <row r="1011" spans="1:20">
      <c r="A1011" s="7" t="s">
        <v>2164</v>
      </c>
      <c r="B1011" s="7" t="s">
        <v>507</v>
      </c>
      <c r="C1011" s="8">
        <v>1</v>
      </c>
      <c r="D1011" s="7" t="s">
        <v>2164</v>
      </c>
      <c r="E1011" s="7" t="s">
        <v>2211</v>
      </c>
      <c r="F1011">
        <v>1111</v>
      </c>
      <c r="G1011" s="6">
        <v>26651</v>
      </c>
      <c r="H1011" s="11" t="s">
        <v>2212</v>
      </c>
      <c r="I1011" s="6">
        <v>32</v>
      </c>
      <c r="J1011" s="6">
        <v>27</v>
      </c>
      <c r="K1011" s="6">
        <v>58</v>
      </c>
      <c r="L1011" s="6">
        <v>53</v>
      </c>
      <c r="M1011" s="10">
        <f t="shared" si="45"/>
        <v>109.43396226415095</v>
      </c>
      <c r="N1011" s="10">
        <f t="shared" si="46"/>
        <v>110</v>
      </c>
      <c r="O1011" s="6" t="s">
        <v>26</v>
      </c>
      <c r="P1011" s="6">
        <v>2</v>
      </c>
      <c r="Q1011" s="6">
        <v>0</v>
      </c>
      <c r="R1011" s="6">
        <v>5</v>
      </c>
      <c r="S1011" s="6">
        <v>7</v>
      </c>
      <c r="T1011" s="6" t="str">
        <f t="shared" si="47"/>
        <v>Sexta</v>
      </c>
    </row>
    <row r="1012" spans="1:20">
      <c r="A1012" s="7" t="s">
        <v>2164</v>
      </c>
      <c r="B1012" s="7" t="s">
        <v>507</v>
      </c>
      <c r="C1012" s="8">
        <v>1</v>
      </c>
      <c r="D1012" s="7" t="s">
        <v>2164</v>
      </c>
      <c r="E1012" s="7" t="s">
        <v>2213</v>
      </c>
      <c r="F1012">
        <v>1119</v>
      </c>
      <c r="G1012" s="6">
        <v>25145</v>
      </c>
      <c r="H1012" s="11" t="s">
        <v>2214</v>
      </c>
      <c r="I1012" s="6">
        <v>30</v>
      </c>
      <c r="J1012" s="6">
        <v>21</v>
      </c>
      <c r="K1012" s="6">
        <v>60</v>
      </c>
      <c r="L1012" s="6">
        <v>48</v>
      </c>
      <c r="M1012" s="10">
        <f t="shared" si="45"/>
        <v>125</v>
      </c>
      <c r="N1012" s="10">
        <f t="shared" si="46"/>
        <v>125</v>
      </c>
      <c r="O1012" s="6" t="s">
        <v>279</v>
      </c>
      <c r="P1012" s="6">
        <v>2</v>
      </c>
      <c r="Q1012" s="6">
        <v>2</v>
      </c>
      <c r="R1012" s="6">
        <v>0</v>
      </c>
      <c r="S1012" s="6">
        <v>4</v>
      </c>
      <c r="T1012" s="6" t="str">
        <f t="shared" si="47"/>
        <v>Sexta</v>
      </c>
    </row>
    <row r="1013" spans="1:20">
      <c r="A1013" s="7" t="s">
        <v>2164</v>
      </c>
      <c r="B1013" s="7" t="s">
        <v>507</v>
      </c>
      <c r="C1013" s="8">
        <v>1</v>
      </c>
      <c r="D1013" s="7" t="s">
        <v>2164</v>
      </c>
      <c r="E1013" s="7" t="s">
        <v>2215</v>
      </c>
      <c r="F1013">
        <v>1605</v>
      </c>
      <c r="G1013" s="6">
        <v>12854</v>
      </c>
      <c r="H1013" s="11" t="s">
        <v>2216</v>
      </c>
      <c r="I1013" s="6">
        <v>68</v>
      </c>
      <c r="J1013" s="6">
        <v>2</v>
      </c>
      <c r="K1013" s="6">
        <v>2</v>
      </c>
      <c r="L1013" s="6">
        <v>20</v>
      </c>
      <c r="M1013" s="10">
        <f t="shared" si="45"/>
        <v>10</v>
      </c>
      <c r="N1013" s="10">
        <f t="shared" si="46"/>
        <v>10</v>
      </c>
      <c r="O1013" s="6" t="s">
        <v>280</v>
      </c>
      <c r="P1013" s="6">
        <v>0</v>
      </c>
      <c r="Q1013" s="6">
        <v>0</v>
      </c>
      <c r="R1013" s="6">
        <v>0</v>
      </c>
      <c r="S1013" s="6">
        <v>0</v>
      </c>
      <c r="T1013" s="6" t="str">
        <f t="shared" si="47"/>
        <v>Tercera</v>
      </c>
    </row>
    <row r="1014" spans="1:20">
      <c r="A1014" s="7" t="s">
        <v>2217</v>
      </c>
      <c r="B1014" s="7" t="s">
        <v>781</v>
      </c>
      <c r="C1014" s="8">
        <v>1</v>
      </c>
      <c r="D1014" s="7" t="s">
        <v>2217</v>
      </c>
      <c r="E1014" s="7" t="s">
        <v>2218</v>
      </c>
      <c r="F1014">
        <v>1700</v>
      </c>
      <c r="G1014" s="6">
        <v>26168</v>
      </c>
      <c r="H1014" s="11" t="s">
        <v>2219</v>
      </c>
      <c r="I1014" s="6">
        <v>39</v>
      </c>
      <c r="J1014" s="6">
        <v>1</v>
      </c>
      <c r="K1014" s="6">
        <v>2</v>
      </c>
      <c r="L1014" s="6">
        <v>67</v>
      </c>
      <c r="M1014" s="10">
        <f t="shared" si="45"/>
        <v>2.9850746268656718</v>
      </c>
      <c r="N1014" s="10">
        <f t="shared" si="46"/>
        <v>3</v>
      </c>
      <c r="O1014" s="6" t="s">
        <v>206</v>
      </c>
      <c r="P1014" s="6">
        <v>0</v>
      </c>
      <c r="Q1014" s="6">
        <v>0</v>
      </c>
      <c r="R1014" s="6">
        <v>0</v>
      </c>
      <c r="S1014" s="6">
        <v>0</v>
      </c>
      <c r="T1014" s="6" t="str">
        <f t="shared" si="47"/>
        <v>Tercera</v>
      </c>
    </row>
    <row r="1015" spans="1:20">
      <c r="A1015" s="7" t="s">
        <v>2217</v>
      </c>
      <c r="B1015" s="7" t="s">
        <v>781</v>
      </c>
      <c r="C1015" s="8">
        <v>1</v>
      </c>
      <c r="D1015" s="7" t="s">
        <v>2217</v>
      </c>
      <c r="E1015" s="7" t="s">
        <v>2220</v>
      </c>
      <c r="F1015">
        <v>1783</v>
      </c>
      <c r="G1015" s="6">
        <v>660</v>
      </c>
      <c r="H1015" s="11" t="s">
        <v>2221</v>
      </c>
      <c r="I1015" s="6">
        <v>42</v>
      </c>
      <c r="J1015" s="6">
        <v>37</v>
      </c>
      <c r="K1015" s="6">
        <v>123</v>
      </c>
      <c r="L1015" s="6">
        <v>62</v>
      </c>
      <c r="M1015" s="10">
        <f t="shared" si="45"/>
        <v>198.38709677419354</v>
      </c>
      <c r="N1015" s="10">
        <f t="shared" si="46"/>
        <v>199</v>
      </c>
      <c r="O1015" s="6" t="s">
        <v>18</v>
      </c>
      <c r="P1015" s="6">
        <v>2</v>
      </c>
      <c r="Q1015" s="6">
        <v>1</v>
      </c>
      <c r="R1015" s="6">
        <v>8</v>
      </c>
      <c r="S1015" s="6">
        <v>11</v>
      </c>
      <c r="T1015" s="6" t="str">
        <f t="shared" si="47"/>
        <v>Tercera</v>
      </c>
    </row>
    <row r="1016" spans="1:20">
      <c r="A1016" s="7" t="s">
        <v>2217</v>
      </c>
      <c r="B1016" s="7" t="s">
        <v>781</v>
      </c>
      <c r="C1016" s="8">
        <v>1</v>
      </c>
      <c r="D1016" s="7" t="s">
        <v>2217</v>
      </c>
      <c r="E1016" s="7" t="s">
        <v>2222</v>
      </c>
      <c r="F1016">
        <v>1868</v>
      </c>
      <c r="G1016" s="6">
        <v>18508</v>
      </c>
      <c r="H1016" s="11" t="s">
        <v>2223</v>
      </c>
      <c r="I1016" s="6">
        <v>26</v>
      </c>
      <c r="J1016" s="6">
        <v>46</v>
      </c>
      <c r="K1016" s="6">
        <v>130</v>
      </c>
      <c r="L1016" s="6">
        <v>62</v>
      </c>
      <c r="M1016" s="10">
        <f t="shared" si="45"/>
        <v>209.67741935483872</v>
      </c>
      <c r="N1016" s="10">
        <f t="shared" si="46"/>
        <v>210</v>
      </c>
      <c r="O1016" s="6" t="s">
        <v>19</v>
      </c>
      <c r="P1016" s="6">
        <v>7</v>
      </c>
      <c r="Q1016" s="6">
        <v>2</v>
      </c>
      <c r="R1016" s="6">
        <v>8</v>
      </c>
      <c r="S1016" s="6">
        <v>17</v>
      </c>
      <c r="T1016" s="6" t="str">
        <f t="shared" si="47"/>
        <v>Segunda</v>
      </c>
    </row>
    <row r="1017" spans="1:20">
      <c r="A1017" s="7" t="s">
        <v>2217</v>
      </c>
      <c r="B1017" s="7" t="s">
        <v>781</v>
      </c>
      <c r="C1017" s="8">
        <v>1</v>
      </c>
      <c r="D1017" s="7" t="s">
        <v>2217</v>
      </c>
      <c r="E1017" s="7" t="s">
        <v>2224</v>
      </c>
      <c r="F1017">
        <v>1754</v>
      </c>
      <c r="G1017" s="6">
        <v>24599</v>
      </c>
      <c r="H1017" s="11" t="s">
        <v>2225</v>
      </c>
      <c r="I1017" s="6">
        <v>30</v>
      </c>
      <c r="J1017" s="6">
        <v>79</v>
      </c>
      <c r="K1017" s="6">
        <v>221</v>
      </c>
      <c r="L1017" s="6">
        <v>48</v>
      </c>
      <c r="M1017" s="10">
        <f t="shared" si="45"/>
        <v>460.41666666666669</v>
      </c>
      <c r="N1017" s="10">
        <f t="shared" si="46"/>
        <v>461</v>
      </c>
      <c r="O1017" s="6" t="s">
        <v>18</v>
      </c>
      <c r="P1017" s="6">
        <v>4</v>
      </c>
      <c r="Q1017" s="6">
        <v>9</v>
      </c>
      <c r="R1017" s="6">
        <v>13</v>
      </c>
      <c r="S1017" s="6">
        <v>26</v>
      </c>
      <c r="T1017" s="6" t="str">
        <f t="shared" si="47"/>
        <v>Tercera</v>
      </c>
    </row>
    <row r="1018" spans="1:20">
      <c r="A1018" s="7" t="s">
        <v>2217</v>
      </c>
      <c r="B1018" s="7" t="s">
        <v>483</v>
      </c>
      <c r="C1018" s="8">
        <v>1</v>
      </c>
      <c r="D1018" s="7" t="s">
        <v>2217</v>
      </c>
      <c r="E1018" s="7" t="s">
        <v>2226</v>
      </c>
      <c r="F1018">
        <v>1561</v>
      </c>
      <c r="G1018" s="6">
        <v>1917</v>
      </c>
      <c r="H1018" s="11" t="s">
        <v>2227</v>
      </c>
      <c r="I1018" s="6">
        <v>45</v>
      </c>
      <c r="J1018" s="6">
        <v>22</v>
      </c>
      <c r="K1018" s="6">
        <v>53</v>
      </c>
      <c r="L1018" s="6">
        <v>50</v>
      </c>
      <c r="M1018" s="10">
        <f t="shared" si="45"/>
        <v>106</v>
      </c>
      <c r="N1018" s="10">
        <f t="shared" si="46"/>
        <v>106</v>
      </c>
      <c r="O1018" s="6" t="s">
        <v>37</v>
      </c>
      <c r="P1018" s="6">
        <v>1</v>
      </c>
      <c r="Q1018" s="6">
        <v>1</v>
      </c>
      <c r="R1018" s="6">
        <v>3</v>
      </c>
      <c r="S1018" s="6">
        <v>5</v>
      </c>
      <c r="T1018" s="6" t="str">
        <f t="shared" si="47"/>
        <v>Cuarta</v>
      </c>
    </row>
    <row r="1019" spans="1:20">
      <c r="A1019" s="7" t="s">
        <v>2217</v>
      </c>
      <c r="B1019" s="7" t="s">
        <v>483</v>
      </c>
      <c r="C1019" s="8">
        <v>1</v>
      </c>
      <c r="D1019" s="7" t="s">
        <v>2217</v>
      </c>
      <c r="E1019" s="7" t="s">
        <v>2228</v>
      </c>
      <c r="F1019">
        <v>1000</v>
      </c>
      <c r="G1019" s="6">
        <v>14202</v>
      </c>
      <c r="H1019" s="11" t="s">
        <v>2229</v>
      </c>
      <c r="I1019" s="6">
        <v>52</v>
      </c>
      <c r="J1019" s="6">
        <v>0</v>
      </c>
      <c r="K1019" s="6">
        <v>0</v>
      </c>
      <c r="L1019" s="6">
        <v>0</v>
      </c>
      <c r="M1019" s="10">
        <f t="shared" si="45"/>
        <v>0</v>
      </c>
      <c r="N1019" s="10">
        <f t="shared" si="46"/>
        <v>0</v>
      </c>
      <c r="P1019" s="6">
        <v>0</v>
      </c>
      <c r="Q1019" s="6">
        <v>0</v>
      </c>
      <c r="R1019" s="6">
        <v>0</v>
      </c>
      <c r="S1019" s="6">
        <v>0</v>
      </c>
      <c r="T1019" s="6" t="str">
        <f t="shared" si="47"/>
        <v>Septima</v>
      </c>
    </row>
    <row r="1020" spans="1:20">
      <c r="A1020" s="7" t="s">
        <v>2217</v>
      </c>
      <c r="B1020" s="7" t="s">
        <v>483</v>
      </c>
      <c r="C1020" s="8">
        <v>1</v>
      </c>
      <c r="D1020" s="7" t="s">
        <v>2217</v>
      </c>
      <c r="E1020" s="7" t="s">
        <v>2230</v>
      </c>
      <c r="F1020">
        <v>1513</v>
      </c>
      <c r="G1020" s="6">
        <v>17687</v>
      </c>
      <c r="H1020" s="11" t="s">
        <v>2231</v>
      </c>
      <c r="I1020" s="6">
        <v>37</v>
      </c>
      <c r="J1020" s="6">
        <v>127</v>
      </c>
      <c r="K1020" s="6">
        <v>269</v>
      </c>
      <c r="L1020" s="6">
        <v>40</v>
      </c>
      <c r="M1020" s="10">
        <f t="shared" si="45"/>
        <v>672.5</v>
      </c>
      <c r="N1020" s="10">
        <f t="shared" si="46"/>
        <v>673</v>
      </c>
      <c r="O1020" s="6" t="s">
        <v>37</v>
      </c>
      <c r="P1020" s="6">
        <v>1</v>
      </c>
      <c r="Q1020" s="6">
        <v>4</v>
      </c>
      <c r="R1020" s="6">
        <v>15</v>
      </c>
      <c r="S1020" s="6">
        <v>20</v>
      </c>
      <c r="T1020" s="6" t="str">
        <f t="shared" si="47"/>
        <v>Cuarta</v>
      </c>
    </row>
    <row r="1021" spans="1:20">
      <c r="A1021" s="7" t="s">
        <v>2217</v>
      </c>
      <c r="B1021" s="7" t="s">
        <v>483</v>
      </c>
      <c r="C1021" s="8">
        <v>1</v>
      </c>
      <c r="D1021" s="7" t="s">
        <v>2217</v>
      </c>
      <c r="E1021" s="7" t="s">
        <v>2232</v>
      </c>
      <c r="F1021">
        <v>1626</v>
      </c>
      <c r="G1021" s="6">
        <v>28079</v>
      </c>
      <c r="H1021" s="11" t="s">
        <v>2233</v>
      </c>
      <c r="I1021" s="6">
        <v>9</v>
      </c>
      <c r="J1021" s="6">
        <v>51</v>
      </c>
      <c r="K1021" s="6">
        <v>117</v>
      </c>
      <c r="L1021" s="6">
        <v>46</v>
      </c>
      <c r="M1021" s="10">
        <f t="shared" si="45"/>
        <v>254.34782608695653</v>
      </c>
      <c r="N1021" s="10">
        <f t="shared" si="46"/>
        <v>255</v>
      </c>
      <c r="O1021" s="6" t="s">
        <v>37</v>
      </c>
      <c r="P1021" s="6">
        <v>2</v>
      </c>
      <c r="Q1021" s="6">
        <v>1</v>
      </c>
      <c r="R1021" s="6">
        <v>6</v>
      </c>
      <c r="S1021" s="6">
        <v>9</v>
      </c>
      <c r="T1021" s="6" t="str">
        <f t="shared" si="47"/>
        <v>Tercera</v>
      </c>
    </row>
    <row r="1022" spans="1:20">
      <c r="A1022" s="7" t="s">
        <v>2217</v>
      </c>
      <c r="B1022" s="7" t="s">
        <v>483</v>
      </c>
      <c r="C1022" s="8">
        <v>1</v>
      </c>
      <c r="D1022" s="7" t="s">
        <v>2217</v>
      </c>
      <c r="E1022" s="7" t="s">
        <v>2234</v>
      </c>
      <c r="F1022">
        <v>1486</v>
      </c>
      <c r="G1022" s="6">
        <v>16152</v>
      </c>
      <c r="H1022" s="11" t="s">
        <v>2235</v>
      </c>
      <c r="I1022" s="6">
        <v>24</v>
      </c>
      <c r="J1022" s="6">
        <v>19</v>
      </c>
      <c r="K1022" s="6">
        <v>48</v>
      </c>
      <c r="L1022" s="6">
        <v>56</v>
      </c>
      <c r="M1022" s="10">
        <f t="shared" si="45"/>
        <v>85.714285714285708</v>
      </c>
      <c r="N1022" s="10">
        <f t="shared" si="46"/>
        <v>86</v>
      </c>
      <c r="O1022" s="6" t="s">
        <v>136</v>
      </c>
      <c r="P1022" s="6">
        <v>2</v>
      </c>
      <c r="Q1022" s="6">
        <v>0</v>
      </c>
      <c r="R1022" s="6">
        <v>3</v>
      </c>
      <c r="S1022" s="6">
        <v>5</v>
      </c>
      <c r="T1022" s="6" t="str">
        <f t="shared" si="47"/>
        <v>Cuarta</v>
      </c>
    </row>
    <row r="1023" spans="1:20">
      <c r="A1023" s="7" t="s">
        <v>2217</v>
      </c>
      <c r="B1023" s="7" t="s">
        <v>483</v>
      </c>
      <c r="C1023" s="8">
        <v>1</v>
      </c>
      <c r="D1023" s="7" t="s">
        <v>2217</v>
      </c>
      <c r="E1023" s="7" t="s">
        <v>2236</v>
      </c>
      <c r="F1023">
        <v>1125</v>
      </c>
      <c r="G1023" s="6">
        <v>9722</v>
      </c>
      <c r="H1023" s="11" t="s">
        <v>2237</v>
      </c>
      <c r="I1023" s="6">
        <v>36</v>
      </c>
      <c r="J1023" s="6">
        <v>33</v>
      </c>
      <c r="K1023" s="6">
        <v>40</v>
      </c>
      <c r="L1023" s="6">
        <v>28</v>
      </c>
      <c r="M1023" s="10">
        <f t="shared" si="45"/>
        <v>142.85714285714286</v>
      </c>
      <c r="N1023" s="10">
        <f t="shared" si="46"/>
        <v>143</v>
      </c>
      <c r="O1023" s="6" t="s">
        <v>37</v>
      </c>
      <c r="P1023" s="6">
        <v>1</v>
      </c>
      <c r="Q1023" s="6">
        <v>0</v>
      </c>
      <c r="R1023" s="6">
        <v>1</v>
      </c>
      <c r="S1023" s="6">
        <v>2</v>
      </c>
      <c r="T1023" s="6" t="str">
        <f t="shared" si="47"/>
        <v>Sexta</v>
      </c>
    </row>
    <row r="1024" spans="1:20">
      <c r="A1024" s="7" t="s">
        <v>2217</v>
      </c>
      <c r="B1024" s="7" t="s">
        <v>507</v>
      </c>
      <c r="C1024" s="8">
        <v>1</v>
      </c>
      <c r="D1024" s="7" t="s">
        <v>2217</v>
      </c>
      <c r="E1024" s="7" t="s">
        <v>2238</v>
      </c>
      <c r="F1024">
        <v>1184</v>
      </c>
      <c r="G1024" s="6">
        <v>28323</v>
      </c>
      <c r="H1024" s="11" t="s">
        <v>2239</v>
      </c>
      <c r="I1024" s="6">
        <v>15</v>
      </c>
      <c r="J1024" s="6">
        <v>41</v>
      </c>
      <c r="K1024" s="6">
        <v>67</v>
      </c>
      <c r="L1024" s="6">
        <v>41</v>
      </c>
      <c r="M1024" s="10">
        <f t="shared" si="45"/>
        <v>163.41463414634146</v>
      </c>
      <c r="N1024" s="10">
        <f t="shared" si="46"/>
        <v>164</v>
      </c>
      <c r="O1024" s="6" t="s">
        <v>12</v>
      </c>
      <c r="P1024" s="6">
        <v>2</v>
      </c>
      <c r="Q1024" s="6">
        <v>3</v>
      </c>
      <c r="R1024" s="6">
        <v>2</v>
      </c>
      <c r="S1024" s="6">
        <v>7</v>
      </c>
      <c r="T1024" s="6" t="str">
        <f t="shared" si="47"/>
        <v>Sexta</v>
      </c>
    </row>
    <row r="1025" spans="1:20">
      <c r="A1025" s="7" t="s">
        <v>2217</v>
      </c>
      <c r="B1025" s="7" t="s">
        <v>507</v>
      </c>
      <c r="C1025" s="8">
        <v>1</v>
      </c>
      <c r="D1025" s="7" t="s">
        <v>2217</v>
      </c>
      <c r="E1025" s="7" t="s">
        <v>2240</v>
      </c>
      <c r="F1025">
        <v>1176</v>
      </c>
      <c r="G1025" s="6">
        <v>28665</v>
      </c>
      <c r="H1025" s="11" t="s">
        <v>2241</v>
      </c>
      <c r="I1025" s="6">
        <v>11</v>
      </c>
      <c r="J1025" s="6">
        <v>20</v>
      </c>
      <c r="K1025" s="6">
        <v>40</v>
      </c>
      <c r="L1025" s="6">
        <v>51</v>
      </c>
      <c r="M1025" s="10">
        <f t="shared" si="45"/>
        <v>78.431372549019613</v>
      </c>
      <c r="N1025" s="10">
        <f t="shared" si="46"/>
        <v>79</v>
      </c>
      <c r="O1025" s="6" t="s">
        <v>18</v>
      </c>
      <c r="P1025" s="6">
        <v>1</v>
      </c>
      <c r="Q1025" s="6">
        <v>2</v>
      </c>
      <c r="R1025" s="6">
        <v>2</v>
      </c>
      <c r="S1025" s="6">
        <v>5</v>
      </c>
      <c r="T1025" s="6" t="str">
        <f t="shared" si="47"/>
        <v>Sexta</v>
      </c>
    </row>
    <row r="1026" spans="1:20">
      <c r="A1026" s="7" t="s">
        <v>2217</v>
      </c>
      <c r="B1026" s="7" t="s">
        <v>507</v>
      </c>
      <c r="C1026" s="8">
        <v>1</v>
      </c>
      <c r="D1026" s="7" t="s">
        <v>2217</v>
      </c>
      <c r="E1026" s="7" t="s">
        <v>2242</v>
      </c>
      <c r="F1026">
        <v>996</v>
      </c>
      <c r="G1026" s="6">
        <v>28711</v>
      </c>
      <c r="H1026" s="11" t="s">
        <v>2243</v>
      </c>
      <c r="I1026" s="6">
        <v>39</v>
      </c>
      <c r="J1026" s="6">
        <v>25</v>
      </c>
      <c r="K1026" s="6">
        <v>37</v>
      </c>
      <c r="L1026" s="6">
        <v>38</v>
      </c>
      <c r="M1026" s="10">
        <f t="shared" si="45"/>
        <v>97.368421052631575</v>
      </c>
      <c r="N1026" s="10">
        <f t="shared" si="46"/>
        <v>98</v>
      </c>
      <c r="O1026" s="6" t="s">
        <v>281</v>
      </c>
      <c r="P1026" s="6">
        <v>0</v>
      </c>
      <c r="Q1026" s="6">
        <v>0</v>
      </c>
      <c r="R1026" s="6">
        <v>4</v>
      </c>
      <c r="S1026" s="6">
        <v>4</v>
      </c>
      <c r="T1026" s="6" t="str">
        <f t="shared" si="47"/>
        <v>Septima</v>
      </c>
    </row>
    <row r="1027" spans="1:20">
      <c r="A1027" s="7" t="s">
        <v>2217</v>
      </c>
      <c r="B1027" s="7" t="s">
        <v>507</v>
      </c>
      <c r="C1027" s="8">
        <v>1</v>
      </c>
      <c r="D1027" s="7" t="s">
        <v>2217</v>
      </c>
      <c r="E1027" s="7" t="s">
        <v>2244</v>
      </c>
      <c r="F1027">
        <v>950</v>
      </c>
      <c r="G1027" s="6">
        <v>27484</v>
      </c>
      <c r="H1027" s="11" t="s">
        <v>2245</v>
      </c>
      <c r="I1027" s="6">
        <v>34</v>
      </c>
      <c r="J1027" s="6">
        <v>11</v>
      </c>
      <c r="K1027" s="6">
        <v>15</v>
      </c>
      <c r="L1027" s="6">
        <v>38</v>
      </c>
      <c r="M1027" s="10">
        <f t="shared" ref="M1027:M1090" si="48">IF(K1027+L1027=0,0,(100*K1027/L1027))</f>
        <v>39.473684210526315</v>
      </c>
      <c r="N1027" s="10">
        <f t="shared" ref="N1027:N1090" si="49">ROUNDUP(M1027,0)</f>
        <v>40</v>
      </c>
      <c r="O1027" s="6" t="s">
        <v>12</v>
      </c>
      <c r="P1027" s="6">
        <v>0</v>
      </c>
      <c r="Q1027" s="6">
        <v>0</v>
      </c>
      <c r="R1027" s="6">
        <v>1</v>
      </c>
      <c r="S1027" s="6">
        <v>1</v>
      </c>
      <c r="T1027" s="6" t="str">
        <f t="shared" ref="T1027:T1090" si="50">IF(F1027&gt;2100,"Primera",
IF(F1027&gt;=1800,"Segunda",
IF(F1027&gt;=1600,"Tercera",
IF(F1027&gt;=1400,"Cuarta",
IF(F1027&gt;=1200,"Quinta",
IF(F1027&gt;=1080,"Sexta",
IF(F1027&gt;=980,"Septima",
"Octava")))))))</f>
        <v>Octava</v>
      </c>
    </row>
    <row r="1028" spans="1:20">
      <c r="A1028" s="7" t="s">
        <v>2217</v>
      </c>
      <c r="B1028" s="7" t="s">
        <v>507</v>
      </c>
      <c r="C1028" s="8">
        <v>1</v>
      </c>
      <c r="D1028" s="7" t="s">
        <v>2217</v>
      </c>
      <c r="E1028" s="7" t="s">
        <v>2246</v>
      </c>
      <c r="F1028">
        <v>1142</v>
      </c>
      <c r="G1028" s="6">
        <v>23900</v>
      </c>
      <c r="H1028" s="11" t="s">
        <v>2247</v>
      </c>
      <c r="I1028" s="6">
        <v>37</v>
      </c>
      <c r="J1028" s="6">
        <v>30</v>
      </c>
      <c r="K1028" s="6">
        <v>73</v>
      </c>
      <c r="L1028" s="6">
        <v>49</v>
      </c>
      <c r="M1028" s="10">
        <f t="shared" si="48"/>
        <v>148.9795918367347</v>
      </c>
      <c r="N1028" s="10">
        <f t="shared" si="49"/>
        <v>149</v>
      </c>
      <c r="O1028" s="6" t="s">
        <v>12</v>
      </c>
      <c r="P1028" s="6">
        <v>4</v>
      </c>
      <c r="Q1028" s="6">
        <v>2</v>
      </c>
      <c r="R1028" s="6">
        <v>4</v>
      </c>
      <c r="S1028" s="6">
        <v>10</v>
      </c>
      <c r="T1028" s="6" t="str">
        <f t="shared" si="50"/>
        <v>Sexta</v>
      </c>
    </row>
    <row r="1029" spans="1:20">
      <c r="A1029" s="7" t="s">
        <v>2217</v>
      </c>
      <c r="B1029" s="7" t="s">
        <v>507</v>
      </c>
      <c r="C1029" s="8">
        <v>1</v>
      </c>
      <c r="D1029" s="7" t="s">
        <v>2217</v>
      </c>
      <c r="E1029" s="7" t="s">
        <v>2248</v>
      </c>
      <c r="F1029">
        <v>905</v>
      </c>
      <c r="G1029" s="6">
        <v>29131</v>
      </c>
      <c r="H1029" s="11" t="s">
        <v>2249</v>
      </c>
      <c r="I1029" s="6">
        <v>41</v>
      </c>
      <c r="J1029" s="6">
        <v>5</v>
      </c>
      <c r="K1029" s="6">
        <v>2</v>
      </c>
      <c r="L1029" s="6">
        <v>13</v>
      </c>
      <c r="M1029" s="10">
        <f t="shared" si="48"/>
        <v>15.384615384615385</v>
      </c>
      <c r="N1029" s="10">
        <f t="shared" si="49"/>
        <v>16</v>
      </c>
      <c r="O1029" s="6" t="s">
        <v>12</v>
      </c>
      <c r="P1029" s="6">
        <v>0</v>
      </c>
      <c r="Q1029" s="6">
        <v>0</v>
      </c>
      <c r="R1029" s="6">
        <v>0</v>
      </c>
      <c r="S1029" s="6">
        <v>0</v>
      </c>
      <c r="T1029" s="6" t="str">
        <f t="shared" si="50"/>
        <v>Octava</v>
      </c>
    </row>
    <row r="1030" spans="1:20">
      <c r="A1030" s="7" t="s">
        <v>2250</v>
      </c>
      <c r="B1030" s="7" t="s">
        <v>483</v>
      </c>
      <c r="C1030" s="8">
        <v>1</v>
      </c>
      <c r="D1030" s="7" t="s">
        <v>2250</v>
      </c>
      <c r="E1030" s="7" t="s">
        <v>2251</v>
      </c>
      <c r="F1030">
        <v>1680</v>
      </c>
      <c r="G1030" s="6">
        <v>15735</v>
      </c>
      <c r="H1030" s="11" t="s">
        <v>2252</v>
      </c>
      <c r="I1030" s="6">
        <v>51</v>
      </c>
      <c r="J1030" s="6">
        <v>106</v>
      </c>
      <c r="K1030" s="6">
        <v>232</v>
      </c>
      <c r="L1030" s="6">
        <v>48</v>
      </c>
      <c r="M1030" s="10">
        <f t="shared" si="48"/>
        <v>483.33333333333331</v>
      </c>
      <c r="N1030" s="10">
        <f t="shared" si="49"/>
        <v>484</v>
      </c>
      <c r="O1030" s="6" t="s">
        <v>69</v>
      </c>
      <c r="P1030" s="6">
        <v>3</v>
      </c>
      <c r="Q1030" s="6">
        <v>7</v>
      </c>
      <c r="R1030" s="6">
        <v>13</v>
      </c>
      <c r="S1030" s="6">
        <v>23</v>
      </c>
      <c r="T1030" s="6" t="str">
        <f t="shared" si="50"/>
        <v>Tercera</v>
      </c>
    </row>
    <row r="1031" spans="1:20">
      <c r="A1031" s="7" t="s">
        <v>2250</v>
      </c>
      <c r="B1031" s="7" t="s">
        <v>483</v>
      </c>
      <c r="C1031" s="8">
        <v>1</v>
      </c>
      <c r="D1031" s="7" t="s">
        <v>2250</v>
      </c>
      <c r="E1031" s="7" t="s">
        <v>2253</v>
      </c>
      <c r="F1031">
        <v>1706</v>
      </c>
      <c r="G1031" s="6">
        <v>3672</v>
      </c>
      <c r="H1031" s="11" t="s">
        <v>2254</v>
      </c>
      <c r="I1031" s="6">
        <v>37</v>
      </c>
      <c r="J1031" s="6">
        <v>15</v>
      </c>
      <c r="K1031" s="6">
        <v>48</v>
      </c>
      <c r="L1031" s="6">
        <v>68</v>
      </c>
      <c r="M1031" s="10">
        <f t="shared" si="48"/>
        <v>70.588235294117652</v>
      </c>
      <c r="N1031" s="10">
        <f t="shared" si="49"/>
        <v>71</v>
      </c>
      <c r="O1031" s="6" t="s">
        <v>223</v>
      </c>
      <c r="P1031" s="6">
        <v>1</v>
      </c>
      <c r="Q1031" s="6">
        <v>2</v>
      </c>
      <c r="R1031" s="6">
        <v>4</v>
      </c>
      <c r="S1031" s="6">
        <v>7</v>
      </c>
      <c r="T1031" s="6" t="str">
        <f t="shared" si="50"/>
        <v>Tercera</v>
      </c>
    </row>
    <row r="1032" spans="1:20">
      <c r="A1032" s="7" t="s">
        <v>2250</v>
      </c>
      <c r="B1032" s="7" t="s">
        <v>483</v>
      </c>
      <c r="C1032" s="8">
        <v>1</v>
      </c>
      <c r="D1032" s="7" t="s">
        <v>2250</v>
      </c>
      <c r="E1032" s="7" t="s">
        <v>2255</v>
      </c>
      <c r="F1032">
        <v>1654</v>
      </c>
      <c r="G1032" s="6">
        <v>17438</v>
      </c>
      <c r="H1032" s="11" t="s">
        <v>2256</v>
      </c>
      <c r="I1032" s="6">
        <v>44</v>
      </c>
      <c r="J1032" s="6">
        <v>114</v>
      </c>
      <c r="K1032" s="6">
        <v>300</v>
      </c>
      <c r="L1032" s="6">
        <v>59</v>
      </c>
      <c r="M1032" s="10">
        <f t="shared" si="48"/>
        <v>508.47457627118644</v>
      </c>
      <c r="N1032" s="10">
        <f t="shared" si="49"/>
        <v>509</v>
      </c>
      <c r="O1032" s="6" t="s">
        <v>138</v>
      </c>
      <c r="P1032" s="6">
        <v>7</v>
      </c>
      <c r="Q1032" s="6">
        <v>11</v>
      </c>
      <c r="R1032" s="6">
        <v>21</v>
      </c>
      <c r="S1032" s="6">
        <v>39</v>
      </c>
      <c r="T1032" s="6" t="str">
        <f t="shared" si="50"/>
        <v>Tercera</v>
      </c>
    </row>
    <row r="1033" spans="1:20">
      <c r="A1033" s="7" t="s">
        <v>2250</v>
      </c>
      <c r="B1033" s="7" t="s">
        <v>483</v>
      </c>
      <c r="C1033" s="8">
        <v>1</v>
      </c>
      <c r="D1033" s="7" t="s">
        <v>2250</v>
      </c>
      <c r="E1033" s="7" t="s">
        <v>2257</v>
      </c>
      <c r="F1033">
        <v>1635</v>
      </c>
      <c r="G1033" s="6">
        <v>9409</v>
      </c>
      <c r="H1033" s="11" t="s">
        <v>2258</v>
      </c>
      <c r="I1033" s="6">
        <v>42</v>
      </c>
      <c r="J1033" s="6">
        <v>55</v>
      </c>
      <c r="K1033" s="6">
        <v>161</v>
      </c>
      <c r="L1033" s="6">
        <v>64</v>
      </c>
      <c r="M1033" s="10">
        <f t="shared" si="48"/>
        <v>251.5625</v>
      </c>
      <c r="N1033" s="10">
        <f t="shared" si="49"/>
        <v>252</v>
      </c>
      <c r="O1033" s="6" t="s">
        <v>36</v>
      </c>
      <c r="P1033" s="6">
        <v>2</v>
      </c>
      <c r="Q1033" s="6">
        <v>5</v>
      </c>
      <c r="R1033" s="6">
        <v>8</v>
      </c>
      <c r="S1033" s="6">
        <v>15</v>
      </c>
      <c r="T1033" s="6" t="str">
        <f t="shared" si="50"/>
        <v>Tercera</v>
      </c>
    </row>
    <row r="1034" spans="1:20">
      <c r="A1034" s="7" t="s">
        <v>2250</v>
      </c>
      <c r="B1034" s="7" t="s">
        <v>483</v>
      </c>
      <c r="C1034" s="8">
        <v>1</v>
      </c>
      <c r="D1034" s="7" t="s">
        <v>2250</v>
      </c>
      <c r="E1034" s="7" t="s">
        <v>2259</v>
      </c>
      <c r="F1034">
        <v>1625</v>
      </c>
      <c r="G1034" s="6">
        <v>15772</v>
      </c>
      <c r="H1034" s="11" t="s">
        <v>2260</v>
      </c>
      <c r="I1034" s="6">
        <v>36</v>
      </c>
      <c r="J1034" s="6">
        <v>60</v>
      </c>
      <c r="K1034" s="6">
        <v>169</v>
      </c>
      <c r="L1034" s="6">
        <v>58</v>
      </c>
      <c r="M1034" s="10">
        <f t="shared" si="48"/>
        <v>291.37931034482756</v>
      </c>
      <c r="N1034" s="10">
        <f t="shared" si="49"/>
        <v>292</v>
      </c>
      <c r="O1034" s="6" t="s">
        <v>18</v>
      </c>
      <c r="P1034" s="6">
        <v>2</v>
      </c>
      <c r="Q1034" s="6">
        <v>5</v>
      </c>
      <c r="R1034" s="6">
        <v>8</v>
      </c>
      <c r="S1034" s="6">
        <v>15</v>
      </c>
      <c r="T1034" s="6" t="str">
        <f t="shared" si="50"/>
        <v>Tercera</v>
      </c>
    </row>
    <row r="1035" spans="1:20">
      <c r="A1035" s="7" t="s">
        <v>2250</v>
      </c>
      <c r="B1035" s="7" t="s">
        <v>483</v>
      </c>
      <c r="C1035" s="8">
        <v>1</v>
      </c>
      <c r="D1035" s="7" t="s">
        <v>2250</v>
      </c>
      <c r="E1035" s="7" t="s">
        <v>2261</v>
      </c>
      <c r="F1035">
        <v>1658</v>
      </c>
      <c r="G1035" s="6">
        <v>4022</v>
      </c>
      <c r="H1035" s="11" t="s">
        <v>2262</v>
      </c>
      <c r="I1035" s="6">
        <v>44</v>
      </c>
      <c r="J1035" s="6">
        <v>46</v>
      </c>
      <c r="K1035" s="6">
        <v>122</v>
      </c>
      <c r="L1035" s="6">
        <v>57</v>
      </c>
      <c r="M1035" s="10">
        <f t="shared" si="48"/>
        <v>214.03508771929825</v>
      </c>
      <c r="N1035" s="10">
        <f t="shared" si="49"/>
        <v>215</v>
      </c>
      <c r="O1035" s="6" t="s">
        <v>18</v>
      </c>
      <c r="P1035" s="6">
        <v>3</v>
      </c>
      <c r="Q1035" s="6">
        <v>3</v>
      </c>
      <c r="R1035" s="6">
        <v>9</v>
      </c>
      <c r="S1035" s="6">
        <v>15</v>
      </c>
      <c r="T1035" s="6" t="str">
        <f t="shared" si="50"/>
        <v>Tercera</v>
      </c>
    </row>
    <row r="1036" spans="1:20">
      <c r="A1036" s="7" t="s">
        <v>2250</v>
      </c>
      <c r="B1036" s="7" t="s">
        <v>483</v>
      </c>
      <c r="C1036" s="8">
        <v>1</v>
      </c>
      <c r="D1036" s="7" t="s">
        <v>2250</v>
      </c>
      <c r="E1036" s="7" t="s">
        <v>2263</v>
      </c>
      <c r="F1036">
        <v>1300</v>
      </c>
      <c r="G1036" s="6">
        <v>6562</v>
      </c>
      <c r="H1036" s="11" t="s">
        <v>2264</v>
      </c>
      <c r="I1036" s="6">
        <v>43</v>
      </c>
      <c r="J1036" s="6">
        <v>5</v>
      </c>
      <c r="K1036" s="6">
        <v>18</v>
      </c>
      <c r="L1036" s="6">
        <v>78</v>
      </c>
      <c r="M1036" s="10">
        <f t="shared" si="48"/>
        <v>23.076923076923077</v>
      </c>
      <c r="N1036" s="10">
        <f t="shared" si="49"/>
        <v>24</v>
      </c>
      <c r="O1036" s="6" t="s">
        <v>282</v>
      </c>
      <c r="P1036" s="6">
        <v>1</v>
      </c>
      <c r="Q1036" s="6">
        <v>1</v>
      </c>
      <c r="R1036" s="6">
        <v>0</v>
      </c>
      <c r="S1036" s="6">
        <v>2</v>
      </c>
      <c r="T1036" s="6" t="str">
        <f t="shared" si="50"/>
        <v>Quinta</v>
      </c>
    </row>
    <row r="1037" spans="1:20">
      <c r="A1037" s="7" t="s">
        <v>2250</v>
      </c>
      <c r="B1037" s="7" t="s">
        <v>483</v>
      </c>
      <c r="C1037" s="8">
        <v>1</v>
      </c>
      <c r="D1037" s="7" t="s">
        <v>2250</v>
      </c>
      <c r="E1037" s="7" t="s">
        <v>2265</v>
      </c>
      <c r="F1037">
        <v>1550</v>
      </c>
      <c r="G1037" s="6">
        <v>17828</v>
      </c>
      <c r="H1037" s="11" t="s">
        <v>2266</v>
      </c>
      <c r="I1037" s="6">
        <v>41</v>
      </c>
      <c r="J1037" s="6">
        <v>178</v>
      </c>
      <c r="K1037" s="6">
        <v>475</v>
      </c>
      <c r="L1037" s="6">
        <v>52</v>
      </c>
      <c r="M1037" s="10">
        <f t="shared" si="48"/>
        <v>913.46153846153845</v>
      </c>
      <c r="N1037" s="10">
        <f t="shared" si="49"/>
        <v>914</v>
      </c>
      <c r="O1037" s="6" t="s">
        <v>19</v>
      </c>
      <c r="P1037" s="6">
        <v>11</v>
      </c>
      <c r="Q1037" s="6">
        <v>10</v>
      </c>
      <c r="R1037" s="6">
        <v>21</v>
      </c>
      <c r="S1037" s="6">
        <v>42</v>
      </c>
      <c r="T1037" s="6" t="str">
        <f t="shared" si="50"/>
        <v>Cuarta</v>
      </c>
    </row>
    <row r="1038" spans="1:20">
      <c r="A1038" s="7" t="s">
        <v>2250</v>
      </c>
      <c r="B1038" s="7" t="s">
        <v>496</v>
      </c>
      <c r="C1038" s="8">
        <v>1</v>
      </c>
      <c r="D1038" s="7" t="s">
        <v>2250</v>
      </c>
      <c r="E1038" s="7" t="s">
        <v>2263</v>
      </c>
      <c r="F1038">
        <v>1300</v>
      </c>
      <c r="G1038" s="6">
        <v>6562</v>
      </c>
      <c r="H1038" s="11" t="s">
        <v>2264</v>
      </c>
      <c r="I1038" s="6">
        <v>43</v>
      </c>
      <c r="J1038" s="6">
        <v>5</v>
      </c>
      <c r="K1038" s="6">
        <v>18</v>
      </c>
      <c r="L1038" s="6">
        <v>78</v>
      </c>
      <c r="M1038" s="10">
        <f t="shared" si="48"/>
        <v>23.076923076923077</v>
      </c>
      <c r="N1038" s="10">
        <f t="shared" si="49"/>
        <v>24</v>
      </c>
      <c r="O1038" s="6" t="s">
        <v>282</v>
      </c>
      <c r="P1038" s="6">
        <v>1</v>
      </c>
      <c r="Q1038" s="6">
        <v>1</v>
      </c>
      <c r="R1038" s="6">
        <v>0</v>
      </c>
      <c r="S1038" s="6">
        <v>2</v>
      </c>
      <c r="T1038" s="6" t="str">
        <f t="shared" si="50"/>
        <v>Quinta</v>
      </c>
    </row>
    <row r="1039" spans="1:20">
      <c r="A1039" s="7" t="s">
        <v>2250</v>
      </c>
      <c r="B1039" s="7" t="s">
        <v>496</v>
      </c>
      <c r="C1039" s="8">
        <v>1</v>
      </c>
      <c r="D1039" s="7" t="s">
        <v>2250</v>
      </c>
      <c r="E1039" s="7" t="s">
        <v>2267</v>
      </c>
      <c r="F1039">
        <v>1573</v>
      </c>
      <c r="G1039" s="6">
        <v>24890</v>
      </c>
      <c r="H1039" s="11" t="s">
        <v>2268</v>
      </c>
      <c r="I1039" s="6">
        <v>42</v>
      </c>
      <c r="J1039" s="6">
        <v>4</v>
      </c>
      <c r="K1039" s="6">
        <v>20</v>
      </c>
      <c r="L1039" s="6">
        <v>80</v>
      </c>
      <c r="M1039" s="10">
        <f t="shared" si="48"/>
        <v>25</v>
      </c>
      <c r="N1039" s="10">
        <f t="shared" si="49"/>
        <v>25</v>
      </c>
      <c r="O1039" s="6" t="s">
        <v>109</v>
      </c>
      <c r="P1039" s="6">
        <v>2</v>
      </c>
      <c r="Q1039" s="6">
        <v>1</v>
      </c>
      <c r="R1039" s="6">
        <v>0</v>
      </c>
      <c r="S1039" s="6">
        <v>3</v>
      </c>
      <c r="T1039" s="6" t="str">
        <f t="shared" si="50"/>
        <v>Cuarta</v>
      </c>
    </row>
    <row r="1040" spans="1:20">
      <c r="A1040" s="7" t="s">
        <v>2250</v>
      </c>
      <c r="B1040" s="7" t="s">
        <v>496</v>
      </c>
      <c r="C1040" s="8">
        <v>1</v>
      </c>
      <c r="D1040" s="7" t="s">
        <v>2250</v>
      </c>
      <c r="E1040" s="7" t="s">
        <v>2269</v>
      </c>
      <c r="F1040">
        <v>1341</v>
      </c>
      <c r="G1040" s="6">
        <v>8434</v>
      </c>
      <c r="H1040" s="11" t="s">
        <v>2270</v>
      </c>
      <c r="I1040" s="6">
        <v>43</v>
      </c>
      <c r="J1040" s="6">
        <v>19</v>
      </c>
      <c r="K1040" s="6">
        <v>28</v>
      </c>
      <c r="L1040" s="6">
        <v>36</v>
      </c>
      <c r="M1040" s="10">
        <f t="shared" si="48"/>
        <v>77.777777777777771</v>
      </c>
      <c r="N1040" s="10">
        <f t="shared" si="49"/>
        <v>78</v>
      </c>
      <c r="O1040" s="6" t="s">
        <v>283</v>
      </c>
      <c r="P1040" s="6">
        <v>1</v>
      </c>
      <c r="Q1040" s="6">
        <v>1</v>
      </c>
      <c r="R1040" s="6">
        <v>2</v>
      </c>
      <c r="S1040" s="6">
        <v>4</v>
      </c>
      <c r="T1040" s="6" t="str">
        <f t="shared" si="50"/>
        <v>Quinta</v>
      </c>
    </row>
    <row r="1041" spans="1:20">
      <c r="A1041" s="7" t="s">
        <v>2250</v>
      </c>
      <c r="B1041" s="7" t="s">
        <v>496</v>
      </c>
      <c r="C1041" s="8">
        <v>1</v>
      </c>
      <c r="D1041" s="7" t="s">
        <v>2250</v>
      </c>
      <c r="E1041" s="7" t="s">
        <v>2271</v>
      </c>
      <c r="F1041">
        <v>1447</v>
      </c>
      <c r="G1041" s="6">
        <v>5871</v>
      </c>
      <c r="H1041" s="11" t="s">
        <v>2272</v>
      </c>
      <c r="I1041" s="6">
        <v>33</v>
      </c>
      <c r="J1041" s="6">
        <v>12</v>
      </c>
      <c r="K1041" s="6">
        <v>17</v>
      </c>
      <c r="L1041" s="6">
        <v>36</v>
      </c>
      <c r="M1041" s="10">
        <f t="shared" si="48"/>
        <v>47.222222222222221</v>
      </c>
      <c r="N1041" s="10">
        <f t="shared" si="49"/>
        <v>48</v>
      </c>
      <c r="O1041" s="6" t="s">
        <v>284</v>
      </c>
      <c r="P1041" s="6">
        <v>0</v>
      </c>
      <c r="Q1041" s="6">
        <v>0</v>
      </c>
      <c r="R1041" s="6">
        <v>0</v>
      </c>
      <c r="S1041" s="6">
        <v>0</v>
      </c>
      <c r="T1041" s="6" t="str">
        <f t="shared" si="50"/>
        <v>Cuarta</v>
      </c>
    </row>
    <row r="1042" spans="1:20">
      <c r="A1042" s="7" t="s">
        <v>2250</v>
      </c>
      <c r="B1042" s="7" t="s">
        <v>496</v>
      </c>
      <c r="C1042" s="8">
        <v>1</v>
      </c>
      <c r="D1042" s="7" t="s">
        <v>2250</v>
      </c>
      <c r="E1042" s="7" t="s">
        <v>2273</v>
      </c>
      <c r="F1042">
        <v>1419</v>
      </c>
      <c r="G1042" s="6">
        <v>13315</v>
      </c>
      <c r="H1042" s="11" t="s">
        <v>2274</v>
      </c>
      <c r="I1042" s="6">
        <v>62</v>
      </c>
      <c r="J1042" s="6">
        <v>43</v>
      </c>
      <c r="K1042" s="6">
        <v>133</v>
      </c>
      <c r="L1042" s="6">
        <v>48</v>
      </c>
      <c r="M1042" s="10">
        <f t="shared" si="48"/>
        <v>277.08333333333331</v>
      </c>
      <c r="N1042" s="10">
        <f t="shared" si="49"/>
        <v>278</v>
      </c>
      <c r="O1042" s="6" t="s">
        <v>12</v>
      </c>
      <c r="P1042" s="6">
        <v>4</v>
      </c>
      <c r="Q1042" s="6">
        <v>6</v>
      </c>
      <c r="R1042" s="6">
        <v>6</v>
      </c>
      <c r="S1042" s="6">
        <v>16</v>
      </c>
      <c r="T1042" s="6" t="str">
        <f t="shared" si="50"/>
        <v>Cuarta</v>
      </c>
    </row>
    <row r="1043" spans="1:20">
      <c r="A1043" s="7" t="s">
        <v>2250</v>
      </c>
      <c r="B1043" s="7" t="s">
        <v>496</v>
      </c>
      <c r="C1043" s="8">
        <v>1</v>
      </c>
      <c r="D1043" s="7" t="s">
        <v>2250</v>
      </c>
      <c r="E1043" s="7" t="s">
        <v>2265</v>
      </c>
      <c r="F1043">
        <v>1550</v>
      </c>
      <c r="G1043" s="6">
        <v>17828</v>
      </c>
      <c r="H1043" s="11" t="s">
        <v>2266</v>
      </c>
      <c r="I1043" s="6">
        <v>41</v>
      </c>
      <c r="J1043" s="6">
        <v>178</v>
      </c>
      <c r="K1043" s="6">
        <v>475</v>
      </c>
      <c r="L1043" s="6">
        <v>52</v>
      </c>
      <c r="M1043" s="10">
        <f t="shared" si="48"/>
        <v>913.46153846153845</v>
      </c>
      <c r="N1043" s="10">
        <f t="shared" si="49"/>
        <v>914</v>
      </c>
      <c r="O1043" s="6" t="s">
        <v>19</v>
      </c>
      <c r="P1043" s="6">
        <v>11</v>
      </c>
      <c r="Q1043" s="6">
        <v>10</v>
      </c>
      <c r="R1043" s="6">
        <v>21</v>
      </c>
      <c r="S1043" s="6">
        <v>42</v>
      </c>
      <c r="T1043" s="6" t="str">
        <f t="shared" si="50"/>
        <v>Cuarta</v>
      </c>
    </row>
    <row r="1044" spans="1:20">
      <c r="A1044" s="7" t="s">
        <v>2250</v>
      </c>
      <c r="B1044" s="7" t="s">
        <v>496</v>
      </c>
      <c r="C1044" s="8">
        <v>1</v>
      </c>
      <c r="D1044" s="7" t="s">
        <v>2250</v>
      </c>
      <c r="E1044" s="7" t="s">
        <v>2275</v>
      </c>
      <c r="F1044">
        <v>1484</v>
      </c>
      <c r="G1044" s="6">
        <v>19498</v>
      </c>
      <c r="H1044" s="11" t="s">
        <v>2276</v>
      </c>
      <c r="I1044" s="6">
        <v>55</v>
      </c>
      <c r="J1044" s="6">
        <v>220</v>
      </c>
      <c r="K1044" s="6">
        <v>528</v>
      </c>
      <c r="L1044" s="6">
        <v>49</v>
      </c>
      <c r="M1044" s="10">
        <f t="shared" si="48"/>
        <v>1077.5510204081634</v>
      </c>
      <c r="N1044" s="10">
        <f t="shared" si="49"/>
        <v>1078</v>
      </c>
      <c r="O1044" s="6" t="s">
        <v>12</v>
      </c>
      <c r="P1044" s="6">
        <v>8</v>
      </c>
      <c r="Q1044" s="6">
        <v>15</v>
      </c>
      <c r="R1044" s="6">
        <v>31</v>
      </c>
      <c r="S1044" s="6">
        <v>54</v>
      </c>
      <c r="T1044" s="6" t="str">
        <f t="shared" si="50"/>
        <v>Cuarta</v>
      </c>
    </row>
    <row r="1045" spans="1:20">
      <c r="A1045" s="7" t="s">
        <v>2250</v>
      </c>
      <c r="B1045" s="7" t="s">
        <v>496</v>
      </c>
      <c r="C1045" s="8">
        <v>1</v>
      </c>
      <c r="D1045" s="7" t="s">
        <v>2250</v>
      </c>
      <c r="E1045" s="7" t="s">
        <v>2277</v>
      </c>
      <c r="F1045">
        <v>1538</v>
      </c>
      <c r="G1045" s="6">
        <v>12097</v>
      </c>
      <c r="H1045" s="11" t="s">
        <v>2278</v>
      </c>
      <c r="I1045" s="6">
        <v>44</v>
      </c>
      <c r="J1045" s="6">
        <v>237</v>
      </c>
      <c r="K1045" s="6">
        <v>522</v>
      </c>
      <c r="L1045" s="6">
        <v>52</v>
      </c>
      <c r="M1045" s="10">
        <f t="shared" si="48"/>
        <v>1003.8461538461538</v>
      </c>
      <c r="N1045" s="10">
        <f t="shared" si="49"/>
        <v>1004</v>
      </c>
      <c r="O1045" s="6" t="s">
        <v>59</v>
      </c>
      <c r="P1045" s="6">
        <v>15</v>
      </c>
      <c r="Q1045" s="6">
        <v>14</v>
      </c>
      <c r="R1045" s="6">
        <v>24</v>
      </c>
      <c r="S1045" s="6">
        <v>53</v>
      </c>
      <c r="T1045" s="6" t="str">
        <f t="shared" si="50"/>
        <v>Cuarta</v>
      </c>
    </row>
    <row r="1046" spans="1:20">
      <c r="A1046" s="7" t="s">
        <v>2250</v>
      </c>
      <c r="B1046" s="7" t="s">
        <v>507</v>
      </c>
      <c r="C1046" s="8">
        <v>1</v>
      </c>
      <c r="D1046" s="7" t="s">
        <v>2250</v>
      </c>
      <c r="E1046" s="7" t="s">
        <v>2279</v>
      </c>
      <c r="F1046">
        <v>1354</v>
      </c>
      <c r="G1046" s="6">
        <v>8930</v>
      </c>
      <c r="H1046" s="11" t="s">
        <v>2280</v>
      </c>
      <c r="I1046" s="6">
        <v>22</v>
      </c>
      <c r="J1046" s="6">
        <v>16</v>
      </c>
      <c r="K1046" s="6">
        <v>41</v>
      </c>
      <c r="L1046" s="6">
        <v>55</v>
      </c>
      <c r="M1046" s="10">
        <f t="shared" si="48"/>
        <v>74.545454545454547</v>
      </c>
      <c r="N1046" s="10">
        <f t="shared" si="49"/>
        <v>75</v>
      </c>
      <c r="O1046" s="6" t="s">
        <v>272</v>
      </c>
      <c r="P1046" s="6">
        <v>2</v>
      </c>
      <c r="Q1046" s="6">
        <v>2</v>
      </c>
      <c r="R1046" s="6">
        <v>2</v>
      </c>
      <c r="S1046" s="6">
        <v>6</v>
      </c>
      <c r="T1046" s="6" t="str">
        <f t="shared" si="50"/>
        <v>Quinta</v>
      </c>
    </row>
    <row r="1047" spans="1:20">
      <c r="A1047" s="7" t="s">
        <v>2250</v>
      </c>
      <c r="B1047" s="7" t="s">
        <v>507</v>
      </c>
      <c r="C1047" s="8">
        <v>1</v>
      </c>
      <c r="D1047" s="7" t="s">
        <v>2250</v>
      </c>
      <c r="E1047" s="7" t="s">
        <v>2281</v>
      </c>
      <c r="F1047">
        <v>1253</v>
      </c>
      <c r="G1047" s="6">
        <v>22604</v>
      </c>
      <c r="H1047" s="11" t="s">
        <v>2282</v>
      </c>
      <c r="I1047" s="6">
        <v>39</v>
      </c>
      <c r="J1047" s="6">
        <v>51</v>
      </c>
      <c r="K1047" s="6">
        <v>131</v>
      </c>
      <c r="L1047" s="6">
        <v>49</v>
      </c>
      <c r="M1047" s="10">
        <f t="shared" si="48"/>
        <v>267.34693877551018</v>
      </c>
      <c r="N1047" s="10">
        <f t="shared" si="49"/>
        <v>268</v>
      </c>
      <c r="O1047" s="6" t="s">
        <v>114</v>
      </c>
      <c r="P1047" s="6">
        <v>3</v>
      </c>
      <c r="Q1047" s="6">
        <v>5</v>
      </c>
      <c r="R1047" s="6">
        <v>10</v>
      </c>
      <c r="S1047" s="6">
        <v>18</v>
      </c>
      <c r="T1047" s="6" t="str">
        <f t="shared" si="50"/>
        <v>Quinta</v>
      </c>
    </row>
    <row r="1048" spans="1:20">
      <c r="A1048" s="7" t="s">
        <v>2250</v>
      </c>
      <c r="B1048" s="7" t="s">
        <v>507</v>
      </c>
      <c r="C1048" s="8">
        <v>1</v>
      </c>
      <c r="D1048" s="7" t="s">
        <v>2250</v>
      </c>
      <c r="E1048" s="7" t="s">
        <v>2283</v>
      </c>
      <c r="F1048">
        <v>1261</v>
      </c>
      <c r="G1048" s="6">
        <v>25221</v>
      </c>
      <c r="H1048" s="11" t="s">
        <v>2284</v>
      </c>
      <c r="I1048" s="6">
        <v>31</v>
      </c>
      <c r="J1048" s="6">
        <v>25</v>
      </c>
      <c r="K1048" s="6">
        <v>65</v>
      </c>
      <c r="L1048" s="6">
        <v>57</v>
      </c>
      <c r="M1048" s="10">
        <f t="shared" si="48"/>
        <v>114.03508771929825</v>
      </c>
      <c r="N1048" s="10">
        <f t="shared" si="49"/>
        <v>115</v>
      </c>
      <c r="O1048" s="6" t="s">
        <v>12</v>
      </c>
      <c r="P1048" s="6">
        <v>2</v>
      </c>
      <c r="Q1048" s="6">
        <v>2</v>
      </c>
      <c r="R1048" s="6">
        <v>2</v>
      </c>
      <c r="S1048" s="6">
        <v>6</v>
      </c>
      <c r="T1048" s="6" t="str">
        <f t="shared" si="50"/>
        <v>Quinta</v>
      </c>
    </row>
    <row r="1049" spans="1:20">
      <c r="A1049" s="7" t="s">
        <v>2250</v>
      </c>
      <c r="B1049" s="7" t="s">
        <v>507</v>
      </c>
      <c r="C1049" s="8">
        <v>1</v>
      </c>
      <c r="D1049" s="7" t="s">
        <v>2250</v>
      </c>
      <c r="E1049" s="7" t="s">
        <v>2285</v>
      </c>
      <c r="F1049">
        <v>1217</v>
      </c>
      <c r="G1049" s="6">
        <v>21750</v>
      </c>
      <c r="H1049" s="11" t="s">
        <v>2286</v>
      </c>
      <c r="I1049" s="6">
        <v>24</v>
      </c>
      <c r="J1049" s="6">
        <v>46</v>
      </c>
      <c r="K1049" s="6">
        <v>80</v>
      </c>
      <c r="L1049" s="6">
        <v>36</v>
      </c>
      <c r="M1049" s="10">
        <f t="shared" si="48"/>
        <v>222.22222222222223</v>
      </c>
      <c r="N1049" s="10">
        <f t="shared" si="49"/>
        <v>223</v>
      </c>
      <c r="O1049" s="6" t="s">
        <v>18</v>
      </c>
      <c r="P1049" s="6">
        <v>0</v>
      </c>
      <c r="Q1049" s="6">
        <v>0</v>
      </c>
      <c r="R1049" s="6">
        <v>5</v>
      </c>
      <c r="S1049" s="6">
        <v>5</v>
      </c>
      <c r="T1049" s="6" t="str">
        <f t="shared" si="50"/>
        <v>Quinta</v>
      </c>
    </row>
    <row r="1050" spans="1:20">
      <c r="A1050" s="7" t="s">
        <v>2250</v>
      </c>
      <c r="B1050" s="7" t="s">
        <v>507</v>
      </c>
      <c r="C1050" s="8">
        <v>1</v>
      </c>
      <c r="D1050" s="7" t="s">
        <v>2250</v>
      </c>
      <c r="E1050" s="7" t="s">
        <v>2287</v>
      </c>
      <c r="F1050">
        <v>1183</v>
      </c>
      <c r="G1050" s="6">
        <v>25614</v>
      </c>
      <c r="H1050" s="11" t="s">
        <v>2288</v>
      </c>
      <c r="I1050" s="6">
        <v>23</v>
      </c>
      <c r="J1050" s="6">
        <v>53</v>
      </c>
      <c r="K1050" s="6">
        <v>127</v>
      </c>
      <c r="L1050" s="6">
        <v>47</v>
      </c>
      <c r="M1050" s="10">
        <f t="shared" si="48"/>
        <v>270.21276595744683</v>
      </c>
      <c r="N1050" s="10">
        <f t="shared" si="49"/>
        <v>271</v>
      </c>
      <c r="O1050" s="6" t="s">
        <v>26</v>
      </c>
      <c r="P1050" s="6">
        <v>1</v>
      </c>
      <c r="Q1050" s="6">
        <v>5</v>
      </c>
      <c r="R1050" s="6">
        <v>7</v>
      </c>
      <c r="S1050" s="6">
        <v>13</v>
      </c>
      <c r="T1050" s="6" t="str">
        <f t="shared" si="50"/>
        <v>Sexta</v>
      </c>
    </row>
    <row r="1051" spans="1:20">
      <c r="A1051" s="7" t="s">
        <v>2250</v>
      </c>
      <c r="B1051" s="7" t="s">
        <v>507</v>
      </c>
      <c r="C1051" s="8">
        <v>1</v>
      </c>
      <c r="D1051" s="7" t="s">
        <v>2250</v>
      </c>
      <c r="E1051" s="7" t="s">
        <v>2289</v>
      </c>
      <c r="F1051">
        <v>1346</v>
      </c>
      <c r="G1051" s="6">
        <v>688</v>
      </c>
      <c r="H1051" s="11" t="s">
        <v>2290</v>
      </c>
      <c r="I1051" s="6">
        <v>45</v>
      </c>
      <c r="J1051" s="6">
        <v>571</v>
      </c>
      <c r="K1051" s="6">
        <v>1339</v>
      </c>
      <c r="L1051" s="6">
        <v>50</v>
      </c>
      <c r="M1051" s="10">
        <f t="shared" si="48"/>
        <v>2678</v>
      </c>
      <c r="N1051" s="10">
        <f t="shared" si="49"/>
        <v>2678</v>
      </c>
      <c r="O1051" s="6" t="s">
        <v>18</v>
      </c>
      <c r="P1051" s="6">
        <v>27</v>
      </c>
      <c r="Q1051" s="6">
        <v>25</v>
      </c>
      <c r="R1051" s="6">
        <v>67</v>
      </c>
      <c r="S1051" s="6">
        <v>119</v>
      </c>
      <c r="T1051" s="6" t="str">
        <f t="shared" si="50"/>
        <v>Quinta</v>
      </c>
    </row>
    <row r="1052" spans="1:20">
      <c r="A1052" s="7" t="s">
        <v>2250</v>
      </c>
      <c r="B1052" s="7" t="s">
        <v>507</v>
      </c>
      <c r="C1052" s="8">
        <v>1</v>
      </c>
      <c r="D1052" s="7" t="s">
        <v>2250</v>
      </c>
      <c r="E1052" s="7" t="s">
        <v>2291</v>
      </c>
      <c r="F1052">
        <v>1418</v>
      </c>
      <c r="G1052" s="6">
        <v>24389</v>
      </c>
      <c r="H1052" s="11" t="s">
        <v>2292</v>
      </c>
      <c r="I1052" s="6">
        <v>29</v>
      </c>
      <c r="J1052" s="6">
        <v>37</v>
      </c>
      <c r="K1052" s="6">
        <v>95</v>
      </c>
      <c r="L1052" s="6">
        <v>54</v>
      </c>
      <c r="M1052" s="10">
        <f t="shared" si="48"/>
        <v>175.92592592592592</v>
      </c>
      <c r="N1052" s="10">
        <f t="shared" si="49"/>
        <v>176</v>
      </c>
      <c r="O1052" s="6" t="s">
        <v>20</v>
      </c>
      <c r="P1052" s="6">
        <v>0</v>
      </c>
      <c r="Q1052" s="6">
        <v>4</v>
      </c>
      <c r="R1052" s="6">
        <v>3</v>
      </c>
      <c r="S1052" s="6">
        <v>7</v>
      </c>
      <c r="T1052" s="6" t="str">
        <f t="shared" si="50"/>
        <v>Cuarta</v>
      </c>
    </row>
    <row r="1053" spans="1:20">
      <c r="A1053" s="7" t="s">
        <v>2250</v>
      </c>
      <c r="B1053" s="7" t="s">
        <v>507</v>
      </c>
      <c r="C1053" s="8">
        <v>1</v>
      </c>
      <c r="D1053" s="7" t="s">
        <v>2250</v>
      </c>
      <c r="E1053" s="7" t="s">
        <v>2293</v>
      </c>
      <c r="F1053">
        <v>1474</v>
      </c>
      <c r="G1053" s="6">
        <v>6877</v>
      </c>
      <c r="H1053" s="11" t="s">
        <v>2294</v>
      </c>
      <c r="I1053" s="6">
        <v>32</v>
      </c>
      <c r="J1053" s="6">
        <v>10</v>
      </c>
      <c r="K1053" s="6">
        <v>14</v>
      </c>
      <c r="L1053" s="6">
        <v>39</v>
      </c>
      <c r="M1053" s="10">
        <f t="shared" si="48"/>
        <v>35.897435897435898</v>
      </c>
      <c r="N1053" s="10">
        <f t="shared" si="49"/>
        <v>36</v>
      </c>
      <c r="O1053" s="6" t="s">
        <v>285</v>
      </c>
      <c r="P1053" s="6">
        <v>1</v>
      </c>
      <c r="Q1053" s="6">
        <v>0</v>
      </c>
      <c r="R1053" s="6">
        <v>0</v>
      </c>
      <c r="S1053" s="6">
        <v>1</v>
      </c>
      <c r="T1053" s="6" t="str">
        <f t="shared" si="50"/>
        <v>Cuarta</v>
      </c>
    </row>
    <row r="1054" spans="1:20">
      <c r="A1054" s="7" t="s">
        <v>2250</v>
      </c>
      <c r="B1054" s="7" t="s">
        <v>526</v>
      </c>
      <c r="C1054" s="8">
        <v>1</v>
      </c>
      <c r="D1054" s="7" t="s">
        <v>2295</v>
      </c>
      <c r="E1054" s="7" t="s">
        <v>2296</v>
      </c>
      <c r="F1054">
        <v>1117</v>
      </c>
      <c r="G1054" s="6">
        <v>26718</v>
      </c>
      <c r="H1054" s="11" t="s">
        <v>2297</v>
      </c>
      <c r="I1054" s="6">
        <v>12</v>
      </c>
      <c r="J1054" s="6">
        <v>19</v>
      </c>
      <c r="K1054" s="6">
        <v>44</v>
      </c>
      <c r="L1054" s="6">
        <v>52</v>
      </c>
      <c r="M1054" s="10">
        <f t="shared" si="48"/>
        <v>84.615384615384613</v>
      </c>
      <c r="N1054" s="10">
        <f t="shared" si="49"/>
        <v>85</v>
      </c>
      <c r="O1054" s="6" t="s">
        <v>68</v>
      </c>
      <c r="P1054" s="6">
        <v>0</v>
      </c>
      <c r="Q1054" s="6">
        <v>3</v>
      </c>
      <c r="R1054" s="6">
        <v>3</v>
      </c>
      <c r="S1054" s="6">
        <v>6</v>
      </c>
      <c r="T1054" s="6" t="str">
        <f t="shared" si="50"/>
        <v>Sexta</v>
      </c>
    </row>
    <row r="1055" spans="1:20">
      <c r="A1055" s="7" t="s">
        <v>2250</v>
      </c>
      <c r="B1055" s="7" t="s">
        <v>526</v>
      </c>
      <c r="C1055" s="8">
        <v>1</v>
      </c>
      <c r="D1055" s="7" t="s">
        <v>2295</v>
      </c>
      <c r="E1055" s="7" t="s">
        <v>2298</v>
      </c>
      <c r="F1055">
        <v>1132</v>
      </c>
      <c r="G1055" s="6">
        <v>25287</v>
      </c>
      <c r="H1055" s="11" t="s">
        <v>2299</v>
      </c>
      <c r="I1055" s="6">
        <v>11</v>
      </c>
      <c r="J1055" s="6">
        <v>10</v>
      </c>
      <c r="K1055" s="6">
        <v>24</v>
      </c>
      <c r="L1055" s="6">
        <v>50</v>
      </c>
      <c r="M1055" s="10">
        <f t="shared" si="48"/>
        <v>48</v>
      </c>
      <c r="N1055" s="10">
        <f t="shared" si="49"/>
        <v>48</v>
      </c>
      <c r="O1055" s="6" t="s">
        <v>226</v>
      </c>
      <c r="P1055" s="6">
        <v>1</v>
      </c>
      <c r="Q1055" s="6">
        <v>0</v>
      </c>
      <c r="R1055" s="6">
        <v>1</v>
      </c>
      <c r="S1055" s="6">
        <v>2</v>
      </c>
      <c r="T1055" s="6" t="str">
        <f t="shared" si="50"/>
        <v>Sexta</v>
      </c>
    </row>
    <row r="1056" spans="1:20">
      <c r="A1056" s="7" t="s">
        <v>2250</v>
      </c>
      <c r="B1056" s="7" t="s">
        <v>526</v>
      </c>
      <c r="C1056" s="8">
        <v>1</v>
      </c>
      <c r="D1056" s="7" t="s">
        <v>2295</v>
      </c>
      <c r="E1056" s="7" t="s">
        <v>2300</v>
      </c>
      <c r="F1056">
        <v>1005</v>
      </c>
      <c r="G1056" s="6">
        <v>28073</v>
      </c>
      <c r="H1056" s="11" t="s">
        <v>2301</v>
      </c>
      <c r="I1056" s="6">
        <v>12</v>
      </c>
      <c r="J1056" s="6">
        <v>4</v>
      </c>
      <c r="K1056" s="6">
        <v>7</v>
      </c>
      <c r="L1056" s="6">
        <v>41</v>
      </c>
      <c r="M1056" s="10">
        <f t="shared" si="48"/>
        <v>17.073170731707318</v>
      </c>
      <c r="N1056" s="10">
        <f t="shared" si="49"/>
        <v>18</v>
      </c>
      <c r="O1056" s="6" t="s">
        <v>272</v>
      </c>
      <c r="P1056" s="6">
        <v>0</v>
      </c>
      <c r="Q1056" s="6">
        <v>0</v>
      </c>
      <c r="R1056" s="6">
        <v>0</v>
      </c>
      <c r="S1056" s="6">
        <v>0</v>
      </c>
      <c r="T1056" s="6" t="str">
        <f t="shared" si="50"/>
        <v>Septima</v>
      </c>
    </row>
    <row r="1057" spans="1:20">
      <c r="A1057" s="7" t="s">
        <v>2250</v>
      </c>
      <c r="B1057" s="7" t="s">
        <v>526</v>
      </c>
      <c r="C1057" s="8">
        <v>1</v>
      </c>
      <c r="D1057" s="7" t="s">
        <v>2295</v>
      </c>
      <c r="E1057" s="7" t="s">
        <v>2302</v>
      </c>
      <c r="F1057">
        <v>1135</v>
      </c>
      <c r="G1057" s="6">
        <v>24349</v>
      </c>
      <c r="H1057" s="11" t="s">
        <v>2303</v>
      </c>
      <c r="I1057" s="6">
        <v>11</v>
      </c>
      <c r="J1057" s="6">
        <v>8</v>
      </c>
      <c r="K1057" s="6">
        <v>21</v>
      </c>
      <c r="L1057" s="6">
        <v>49</v>
      </c>
      <c r="M1057" s="10">
        <f t="shared" si="48"/>
        <v>42.857142857142854</v>
      </c>
      <c r="N1057" s="10">
        <f t="shared" si="49"/>
        <v>43</v>
      </c>
      <c r="O1057" s="6" t="s">
        <v>272</v>
      </c>
      <c r="P1057" s="6">
        <v>1</v>
      </c>
      <c r="Q1057" s="6">
        <v>0</v>
      </c>
      <c r="R1057" s="6">
        <v>0</v>
      </c>
      <c r="S1057" s="6">
        <v>1</v>
      </c>
      <c r="T1057" s="6" t="str">
        <f t="shared" si="50"/>
        <v>Sexta</v>
      </c>
    </row>
    <row r="1058" spans="1:20">
      <c r="A1058" s="7" t="s">
        <v>2250</v>
      </c>
      <c r="B1058" s="7" t="s">
        <v>526</v>
      </c>
      <c r="C1058" s="8">
        <v>1</v>
      </c>
      <c r="D1058" s="7" t="s">
        <v>2295</v>
      </c>
      <c r="E1058" s="7" t="s">
        <v>2304</v>
      </c>
      <c r="F1058">
        <v>1023</v>
      </c>
      <c r="G1058" s="6">
        <v>27243</v>
      </c>
      <c r="H1058" s="11" t="s">
        <v>2305</v>
      </c>
      <c r="I1058" s="6">
        <v>12</v>
      </c>
      <c r="J1058" s="6">
        <v>12</v>
      </c>
      <c r="K1058" s="6">
        <v>29</v>
      </c>
      <c r="L1058" s="6">
        <v>48</v>
      </c>
      <c r="M1058" s="10">
        <f t="shared" si="48"/>
        <v>60.416666666666664</v>
      </c>
      <c r="N1058" s="10">
        <f t="shared" si="49"/>
        <v>61</v>
      </c>
      <c r="O1058" s="6" t="s">
        <v>273</v>
      </c>
      <c r="P1058" s="6">
        <v>1</v>
      </c>
      <c r="Q1058" s="6">
        <v>1</v>
      </c>
      <c r="R1058" s="6">
        <v>2</v>
      </c>
      <c r="S1058" s="6">
        <v>4</v>
      </c>
      <c r="T1058" s="6" t="str">
        <f t="shared" si="50"/>
        <v>Septima</v>
      </c>
    </row>
    <row r="1059" spans="1:20">
      <c r="A1059" s="7" t="s">
        <v>2250</v>
      </c>
      <c r="B1059" s="7" t="s">
        <v>526</v>
      </c>
      <c r="C1059" s="8">
        <v>1</v>
      </c>
      <c r="D1059" s="7" t="s">
        <v>2295</v>
      </c>
      <c r="E1059" s="7" t="s">
        <v>2306</v>
      </c>
      <c r="F1059">
        <v>1189</v>
      </c>
      <c r="G1059" s="6">
        <v>27286</v>
      </c>
      <c r="H1059" s="11" t="s">
        <v>2307</v>
      </c>
      <c r="I1059" s="6">
        <v>14</v>
      </c>
      <c r="J1059" s="6">
        <v>5</v>
      </c>
      <c r="K1059" s="6">
        <v>22</v>
      </c>
      <c r="L1059" s="6">
        <v>69</v>
      </c>
      <c r="M1059" s="10">
        <f t="shared" si="48"/>
        <v>31.884057971014492</v>
      </c>
      <c r="N1059" s="10">
        <f t="shared" si="49"/>
        <v>32</v>
      </c>
      <c r="O1059" s="6" t="s">
        <v>37</v>
      </c>
      <c r="P1059" s="6">
        <v>0</v>
      </c>
      <c r="Q1059" s="6">
        <v>1</v>
      </c>
      <c r="R1059" s="6">
        <v>1</v>
      </c>
      <c r="S1059" s="6">
        <v>2</v>
      </c>
      <c r="T1059" s="6" t="str">
        <f t="shared" si="50"/>
        <v>Sexta</v>
      </c>
    </row>
    <row r="1060" spans="1:20">
      <c r="A1060" s="7" t="s">
        <v>2250</v>
      </c>
      <c r="B1060" s="7" t="s">
        <v>526</v>
      </c>
      <c r="C1060" s="8">
        <v>1</v>
      </c>
      <c r="D1060" s="7" t="s">
        <v>2295</v>
      </c>
      <c r="E1060" s="7" t="s">
        <v>2308</v>
      </c>
      <c r="F1060">
        <v>1000</v>
      </c>
      <c r="G1060" s="6">
        <v>18139</v>
      </c>
      <c r="H1060" s="11" t="s">
        <v>2309</v>
      </c>
      <c r="I1060" s="6">
        <v>22</v>
      </c>
      <c r="J1060" s="6">
        <v>0</v>
      </c>
      <c r="K1060" s="6">
        <v>0</v>
      </c>
      <c r="L1060" s="6">
        <v>0</v>
      </c>
      <c r="M1060" s="10">
        <f t="shared" si="48"/>
        <v>0</v>
      </c>
      <c r="N1060" s="10">
        <f t="shared" si="49"/>
        <v>0</v>
      </c>
      <c r="P1060" s="6">
        <v>0</v>
      </c>
      <c r="Q1060" s="6">
        <v>0</v>
      </c>
      <c r="R1060" s="6">
        <v>0</v>
      </c>
      <c r="S1060" s="6">
        <v>0</v>
      </c>
      <c r="T1060" s="6" t="str">
        <f t="shared" si="50"/>
        <v>Septima</v>
      </c>
    </row>
    <row r="1061" spans="1:20">
      <c r="A1061" s="7" t="s">
        <v>2250</v>
      </c>
      <c r="B1061" s="7" t="s">
        <v>526</v>
      </c>
      <c r="C1061" s="8">
        <v>1</v>
      </c>
      <c r="D1061" s="7" t="s">
        <v>2295</v>
      </c>
      <c r="E1061" s="7" t="s">
        <v>2310</v>
      </c>
      <c r="F1061">
        <v>1043</v>
      </c>
      <c r="G1061" s="6">
        <v>27265</v>
      </c>
      <c r="H1061" s="11" t="s">
        <v>2311</v>
      </c>
      <c r="I1061" s="6">
        <v>12</v>
      </c>
      <c r="J1061" s="6">
        <v>3</v>
      </c>
      <c r="K1061" s="6">
        <v>9</v>
      </c>
      <c r="L1061" s="6">
        <v>56</v>
      </c>
      <c r="M1061" s="10">
        <f t="shared" si="48"/>
        <v>16.071428571428573</v>
      </c>
      <c r="N1061" s="10">
        <f t="shared" si="49"/>
        <v>17</v>
      </c>
      <c r="O1061" s="6" t="s">
        <v>37</v>
      </c>
      <c r="P1061" s="6">
        <v>0</v>
      </c>
      <c r="Q1061" s="6">
        <v>0</v>
      </c>
      <c r="R1061" s="6">
        <v>1</v>
      </c>
      <c r="S1061" s="6">
        <v>1</v>
      </c>
      <c r="T1061" s="6" t="str">
        <f t="shared" si="50"/>
        <v>Septima</v>
      </c>
    </row>
    <row r="1062" spans="1:20">
      <c r="A1062" s="7" t="s">
        <v>2250</v>
      </c>
      <c r="B1062" s="7" t="s">
        <v>526</v>
      </c>
      <c r="C1062" s="8">
        <v>2</v>
      </c>
      <c r="D1062" s="7" t="s">
        <v>2312</v>
      </c>
      <c r="E1062" s="7" t="s">
        <v>2313</v>
      </c>
      <c r="F1062">
        <v>1125</v>
      </c>
      <c r="G1062" s="6">
        <v>20990</v>
      </c>
      <c r="H1062" s="11" t="s">
        <v>2314</v>
      </c>
      <c r="I1062" s="6">
        <v>41</v>
      </c>
      <c r="J1062" s="6">
        <v>2</v>
      </c>
      <c r="K1062" s="6">
        <v>4</v>
      </c>
      <c r="L1062" s="6">
        <v>57</v>
      </c>
      <c r="M1062" s="10">
        <f t="shared" si="48"/>
        <v>7.0175438596491224</v>
      </c>
      <c r="N1062" s="10">
        <f t="shared" si="49"/>
        <v>8</v>
      </c>
      <c r="O1062" s="6" t="s">
        <v>286</v>
      </c>
      <c r="P1062" s="6">
        <v>0</v>
      </c>
      <c r="Q1062" s="6">
        <v>0</v>
      </c>
      <c r="R1062" s="6">
        <v>0</v>
      </c>
      <c r="S1062" s="6">
        <v>0</v>
      </c>
      <c r="T1062" s="6" t="str">
        <f t="shared" si="50"/>
        <v>Sexta</v>
      </c>
    </row>
    <row r="1063" spans="1:20">
      <c r="A1063" s="7" t="s">
        <v>2250</v>
      </c>
      <c r="B1063" s="7" t="s">
        <v>526</v>
      </c>
      <c r="C1063" s="8">
        <v>2</v>
      </c>
      <c r="D1063" s="7" t="s">
        <v>2312</v>
      </c>
      <c r="E1063" s="7" t="s">
        <v>2315</v>
      </c>
      <c r="F1063">
        <v>1196</v>
      </c>
      <c r="G1063" s="6">
        <v>22321</v>
      </c>
      <c r="H1063" s="11" t="s">
        <v>2316</v>
      </c>
      <c r="I1063" s="6">
        <v>36</v>
      </c>
      <c r="J1063" s="6">
        <v>68</v>
      </c>
      <c r="K1063" s="6">
        <v>137</v>
      </c>
      <c r="L1063" s="6">
        <v>46</v>
      </c>
      <c r="M1063" s="10">
        <f t="shared" si="48"/>
        <v>297.82608695652175</v>
      </c>
      <c r="N1063" s="10">
        <f t="shared" si="49"/>
        <v>298</v>
      </c>
      <c r="O1063" s="6" t="s">
        <v>273</v>
      </c>
      <c r="P1063" s="6">
        <v>5</v>
      </c>
      <c r="Q1063" s="6">
        <v>5</v>
      </c>
      <c r="R1063" s="6">
        <v>7</v>
      </c>
      <c r="S1063" s="6">
        <v>17</v>
      </c>
      <c r="T1063" s="6" t="str">
        <f t="shared" si="50"/>
        <v>Sexta</v>
      </c>
    </row>
    <row r="1064" spans="1:20">
      <c r="A1064" s="7" t="s">
        <v>2250</v>
      </c>
      <c r="B1064" s="7" t="s">
        <v>526</v>
      </c>
      <c r="C1064" s="8">
        <v>2</v>
      </c>
      <c r="D1064" s="7" t="s">
        <v>2312</v>
      </c>
      <c r="E1064" s="7" t="s">
        <v>2317</v>
      </c>
      <c r="F1064">
        <v>960</v>
      </c>
      <c r="G1064" s="6">
        <v>28883</v>
      </c>
      <c r="H1064" s="11" t="s">
        <v>2318</v>
      </c>
      <c r="I1064" s="6">
        <v>14</v>
      </c>
      <c r="J1064" s="6">
        <v>3</v>
      </c>
      <c r="K1064" s="6">
        <v>3</v>
      </c>
      <c r="L1064" s="6">
        <v>27</v>
      </c>
      <c r="M1064" s="10">
        <f t="shared" si="48"/>
        <v>11.111111111111111</v>
      </c>
      <c r="N1064" s="10">
        <f t="shared" si="49"/>
        <v>12</v>
      </c>
      <c r="O1064" s="6" t="s">
        <v>29</v>
      </c>
      <c r="P1064" s="6">
        <v>0</v>
      </c>
      <c r="Q1064" s="6">
        <v>0</v>
      </c>
      <c r="R1064" s="6">
        <v>0</v>
      </c>
      <c r="S1064" s="6">
        <v>0</v>
      </c>
      <c r="T1064" s="6" t="str">
        <f t="shared" si="50"/>
        <v>Octava</v>
      </c>
    </row>
    <row r="1065" spans="1:20">
      <c r="A1065" s="7" t="s">
        <v>2250</v>
      </c>
      <c r="B1065" s="7" t="s">
        <v>526</v>
      </c>
      <c r="C1065" s="8">
        <v>2</v>
      </c>
      <c r="D1065" s="7" t="s">
        <v>2312</v>
      </c>
      <c r="E1065" s="7" t="s">
        <v>2319</v>
      </c>
      <c r="F1065">
        <v>1546</v>
      </c>
      <c r="G1065" s="6">
        <v>7746</v>
      </c>
      <c r="H1065" s="11" t="s">
        <v>2320</v>
      </c>
      <c r="I1065" s="6">
        <v>40</v>
      </c>
      <c r="J1065" s="6">
        <v>1</v>
      </c>
      <c r="K1065" s="6">
        <v>3</v>
      </c>
      <c r="L1065" s="6">
        <v>60</v>
      </c>
      <c r="M1065" s="10">
        <f t="shared" si="48"/>
        <v>5</v>
      </c>
      <c r="N1065" s="10">
        <f t="shared" si="49"/>
        <v>5</v>
      </c>
      <c r="O1065" s="6" t="s">
        <v>287</v>
      </c>
      <c r="P1065" s="6">
        <v>0</v>
      </c>
      <c r="Q1065" s="6">
        <v>0</v>
      </c>
      <c r="R1065" s="6">
        <v>0</v>
      </c>
      <c r="S1065" s="6">
        <v>0</v>
      </c>
      <c r="T1065" s="6" t="str">
        <f t="shared" si="50"/>
        <v>Cuarta</v>
      </c>
    </row>
    <row r="1066" spans="1:20">
      <c r="A1066" s="7" t="s">
        <v>2250</v>
      </c>
      <c r="B1066" s="7" t="s">
        <v>526</v>
      </c>
      <c r="C1066" s="8">
        <v>2</v>
      </c>
      <c r="D1066" s="7" t="s">
        <v>2312</v>
      </c>
      <c r="E1066" s="7" t="s">
        <v>2321</v>
      </c>
      <c r="F1066">
        <v>873</v>
      </c>
      <c r="G1066" s="6">
        <v>25883</v>
      </c>
      <c r="H1066" s="11" t="s">
        <v>2322</v>
      </c>
      <c r="I1066" s="6">
        <v>51</v>
      </c>
      <c r="J1066" s="6">
        <v>8</v>
      </c>
      <c r="K1066" s="6">
        <v>4</v>
      </c>
      <c r="L1066" s="6">
        <v>15</v>
      </c>
      <c r="M1066" s="10">
        <f t="shared" si="48"/>
        <v>26.666666666666668</v>
      </c>
      <c r="N1066" s="10">
        <f t="shared" si="49"/>
        <v>27</v>
      </c>
      <c r="O1066" s="6" t="s">
        <v>12</v>
      </c>
      <c r="P1066" s="6">
        <v>0</v>
      </c>
      <c r="Q1066" s="6">
        <v>0</v>
      </c>
      <c r="R1066" s="6">
        <v>0</v>
      </c>
      <c r="S1066" s="6">
        <v>0</v>
      </c>
      <c r="T1066" s="6" t="str">
        <f t="shared" si="50"/>
        <v>Octava</v>
      </c>
    </row>
    <row r="1067" spans="1:20">
      <c r="A1067" s="7" t="s">
        <v>2250</v>
      </c>
      <c r="B1067" s="7" t="s">
        <v>526</v>
      </c>
      <c r="C1067" s="8">
        <v>2</v>
      </c>
      <c r="D1067" s="7" t="s">
        <v>2312</v>
      </c>
      <c r="E1067" s="7" t="s">
        <v>2323</v>
      </c>
      <c r="F1067">
        <v>860</v>
      </c>
      <c r="G1067" s="6">
        <v>27721</v>
      </c>
      <c r="H1067" s="11" t="s">
        <v>2324</v>
      </c>
      <c r="I1067" s="6">
        <v>38</v>
      </c>
      <c r="J1067" s="6">
        <v>16</v>
      </c>
      <c r="K1067" s="6">
        <v>14</v>
      </c>
      <c r="L1067" s="6">
        <v>19</v>
      </c>
      <c r="M1067" s="10">
        <f t="shared" si="48"/>
        <v>73.684210526315795</v>
      </c>
      <c r="N1067" s="10">
        <f t="shared" si="49"/>
        <v>74</v>
      </c>
      <c r="O1067" s="6" t="s">
        <v>171</v>
      </c>
      <c r="P1067" s="6">
        <v>0</v>
      </c>
      <c r="Q1067" s="6">
        <v>1</v>
      </c>
      <c r="R1067" s="6">
        <v>2</v>
      </c>
      <c r="S1067" s="6">
        <v>3</v>
      </c>
      <c r="T1067" s="6" t="str">
        <f t="shared" si="50"/>
        <v>Octava</v>
      </c>
    </row>
    <row r="1068" spans="1:20">
      <c r="A1068" s="7" t="s">
        <v>2250</v>
      </c>
      <c r="B1068" s="7" t="s">
        <v>526</v>
      </c>
      <c r="C1068" s="8">
        <v>2</v>
      </c>
      <c r="D1068" s="7" t="s">
        <v>2312</v>
      </c>
      <c r="E1068" s="7" t="s">
        <v>2325</v>
      </c>
      <c r="F1068">
        <v>1177</v>
      </c>
      <c r="G1068" s="6">
        <v>25155</v>
      </c>
      <c r="H1068" s="11" t="s">
        <v>2326</v>
      </c>
      <c r="I1068" s="6">
        <v>49</v>
      </c>
      <c r="J1068" s="6">
        <v>43</v>
      </c>
      <c r="K1068" s="6">
        <v>109</v>
      </c>
      <c r="L1068" s="6">
        <v>53</v>
      </c>
      <c r="M1068" s="10">
        <f t="shared" si="48"/>
        <v>205.66037735849056</v>
      </c>
      <c r="N1068" s="10">
        <f t="shared" si="49"/>
        <v>206</v>
      </c>
      <c r="O1068" s="6" t="s">
        <v>20</v>
      </c>
      <c r="P1068" s="6">
        <v>4</v>
      </c>
      <c r="Q1068" s="6">
        <v>9</v>
      </c>
      <c r="R1068" s="6">
        <v>5</v>
      </c>
      <c r="S1068" s="6">
        <v>18</v>
      </c>
      <c r="T1068" s="6" t="str">
        <f t="shared" si="50"/>
        <v>Sexta</v>
      </c>
    </row>
    <row r="1069" spans="1:20">
      <c r="A1069" s="7" t="s">
        <v>2250</v>
      </c>
      <c r="B1069" s="7" t="s">
        <v>526</v>
      </c>
      <c r="C1069" s="8">
        <v>2</v>
      </c>
      <c r="D1069" s="7" t="s">
        <v>2312</v>
      </c>
      <c r="E1069" s="7" t="s">
        <v>2327</v>
      </c>
      <c r="F1069">
        <v>1276</v>
      </c>
      <c r="G1069" s="6">
        <v>16275</v>
      </c>
      <c r="H1069" s="11" t="s">
        <v>2328</v>
      </c>
      <c r="I1069" s="6">
        <v>55</v>
      </c>
      <c r="J1069" s="6">
        <v>53</v>
      </c>
      <c r="K1069" s="6">
        <v>117</v>
      </c>
      <c r="L1069" s="6">
        <v>53</v>
      </c>
      <c r="M1069" s="10">
        <f t="shared" si="48"/>
        <v>220.75471698113208</v>
      </c>
      <c r="N1069" s="10">
        <f t="shared" si="49"/>
        <v>221</v>
      </c>
      <c r="O1069" s="6" t="s">
        <v>288</v>
      </c>
      <c r="P1069" s="6">
        <v>2</v>
      </c>
      <c r="Q1069" s="6">
        <v>3</v>
      </c>
      <c r="R1069" s="6">
        <v>5</v>
      </c>
      <c r="S1069" s="6">
        <v>10</v>
      </c>
      <c r="T1069" s="6" t="str">
        <f t="shared" si="50"/>
        <v>Quinta</v>
      </c>
    </row>
    <row r="1070" spans="1:20">
      <c r="A1070" s="7" t="s">
        <v>2329</v>
      </c>
      <c r="B1070" s="7" t="s">
        <v>507</v>
      </c>
      <c r="C1070" s="8">
        <v>1</v>
      </c>
      <c r="D1070" s="7" t="s">
        <v>2329</v>
      </c>
      <c r="E1070" s="7" t="s">
        <v>2330</v>
      </c>
      <c r="F1070">
        <v>1326</v>
      </c>
      <c r="G1070" s="6">
        <v>13269</v>
      </c>
      <c r="H1070" s="11" t="s">
        <v>2331</v>
      </c>
      <c r="I1070" s="6">
        <v>52</v>
      </c>
      <c r="J1070" s="6">
        <v>11</v>
      </c>
      <c r="K1070" s="6">
        <v>26</v>
      </c>
      <c r="L1070" s="6">
        <v>43</v>
      </c>
      <c r="M1070" s="10">
        <f t="shared" si="48"/>
        <v>60.465116279069768</v>
      </c>
      <c r="N1070" s="10">
        <f t="shared" si="49"/>
        <v>61</v>
      </c>
      <c r="O1070" s="6" t="s">
        <v>260</v>
      </c>
      <c r="P1070" s="6">
        <v>0</v>
      </c>
      <c r="Q1070" s="6">
        <v>2</v>
      </c>
      <c r="R1070" s="6">
        <v>3</v>
      </c>
      <c r="S1070" s="6">
        <v>5</v>
      </c>
      <c r="T1070" s="6" t="str">
        <f t="shared" si="50"/>
        <v>Quinta</v>
      </c>
    </row>
    <row r="1071" spans="1:20">
      <c r="A1071" s="7" t="s">
        <v>2329</v>
      </c>
      <c r="B1071" s="7" t="s">
        <v>507</v>
      </c>
      <c r="C1071" s="8">
        <v>1</v>
      </c>
      <c r="D1071" s="7" t="s">
        <v>2329</v>
      </c>
      <c r="E1071" s="7" t="s">
        <v>2332</v>
      </c>
      <c r="F1071">
        <v>1205</v>
      </c>
      <c r="G1071" s="6">
        <v>20780</v>
      </c>
      <c r="H1071" s="11" t="s">
        <v>2333</v>
      </c>
      <c r="I1071" s="6">
        <v>19</v>
      </c>
      <c r="J1071" s="6">
        <v>3</v>
      </c>
      <c r="K1071" s="6">
        <v>14</v>
      </c>
      <c r="L1071" s="6">
        <v>74</v>
      </c>
      <c r="M1071" s="10">
        <f t="shared" si="48"/>
        <v>18.918918918918919</v>
      </c>
      <c r="N1071" s="10">
        <f t="shared" si="49"/>
        <v>19</v>
      </c>
      <c r="O1071" s="6" t="s">
        <v>63</v>
      </c>
      <c r="P1071" s="6">
        <v>1</v>
      </c>
      <c r="Q1071" s="6">
        <v>0</v>
      </c>
      <c r="R1071" s="6">
        <v>1</v>
      </c>
      <c r="S1071" s="6">
        <v>2</v>
      </c>
      <c r="T1071" s="6" t="str">
        <f t="shared" si="50"/>
        <v>Quinta</v>
      </c>
    </row>
    <row r="1072" spans="1:20">
      <c r="A1072" s="7" t="s">
        <v>2329</v>
      </c>
      <c r="B1072" s="7" t="s">
        <v>507</v>
      </c>
      <c r="C1072" s="8">
        <v>1</v>
      </c>
      <c r="D1072" s="7" t="s">
        <v>2329</v>
      </c>
      <c r="E1072" s="7" t="s">
        <v>2334</v>
      </c>
      <c r="F1072">
        <v>1264</v>
      </c>
      <c r="G1072" s="6">
        <v>25679</v>
      </c>
      <c r="H1072" s="11" t="s">
        <v>2335</v>
      </c>
      <c r="I1072" s="6">
        <v>12</v>
      </c>
      <c r="J1072" s="6">
        <v>41</v>
      </c>
      <c r="K1072" s="6">
        <v>104</v>
      </c>
      <c r="L1072" s="6">
        <v>57</v>
      </c>
      <c r="M1072" s="10">
        <f t="shared" si="48"/>
        <v>182.45614035087721</v>
      </c>
      <c r="N1072" s="10">
        <f t="shared" si="49"/>
        <v>183</v>
      </c>
      <c r="O1072" s="6" t="s">
        <v>18</v>
      </c>
      <c r="P1072" s="6">
        <v>7</v>
      </c>
      <c r="Q1072" s="6">
        <v>2</v>
      </c>
      <c r="R1072" s="6">
        <v>8</v>
      </c>
      <c r="S1072" s="6">
        <v>17</v>
      </c>
      <c r="T1072" s="6" t="str">
        <f t="shared" si="50"/>
        <v>Quinta</v>
      </c>
    </row>
    <row r="1073" spans="1:20">
      <c r="A1073" s="7" t="s">
        <v>2329</v>
      </c>
      <c r="B1073" s="7" t="s">
        <v>507</v>
      </c>
      <c r="C1073" s="8">
        <v>1</v>
      </c>
      <c r="D1073" s="7" t="s">
        <v>2329</v>
      </c>
      <c r="E1073" s="7" t="s">
        <v>2336</v>
      </c>
      <c r="F1073">
        <v>1319</v>
      </c>
      <c r="G1073" s="6">
        <v>13268</v>
      </c>
      <c r="H1073" s="11" t="s">
        <v>2337</v>
      </c>
      <c r="I1073" s="6">
        <v>56</v>
      </c>
      <c r="J1073" s="6">
        <v>9</v>
      </c>
      <c r="K1073" s="6">
        <v>24</v>
      </c>
      <c r="L1073" s="6">
        <v>50</v>
      </c>
      <c r="M1073" s="10">
        <f t="shared" si="48"/>
        <v>48</v>
      </c>
      <c r="N1073" s="10">
        <f t="shared" si="49"/>
        <v>48</v>
      </c>
      <c r="O1073" s="6" t="s">
        <v>289</v>
      </c>
      <c r="P1073" s="6">
        <v>1</v>
      </c>
      <c r="Q1073" s="6">
        <v>0</v>
      </c>
      <c r="R1073" s="6">
        <v>5</v>
      </c>
      <c r="S1073" s="6">
        <v>6</v>
      </c>
      <c r="T1073" s="6" t="str">
        <f t="shared" si="50"/>
        <v>Quinta</v>
      </c>
    </row>
    <row r="1074" spans="1:20">
      <c r="A1074" s="7" t="s">
        <v>2329</v>
      </c>
      <c r="B1074" s="7" t="s">
        <v>507</v>
      </c>
      <c r="C1074" s="8">
        <v>1</v>
      </c>
      <c r="D1074" s="7" t="s">
        <v>2329</v>
      </c>
      <c r="E1074" s="7" t="s">
        <v>2338</v>
      </c>
      <c r="F1074">
        <v>1135</v>
      </c>
      <c r="G1074" s="6">
        <v>27017</v>
      </c>
      <c r="H1074" s="11" t="s">
        <v>2339</v>
      </c>
      <c r="I1074" s="6">
        <v>71</v>
      </c>
      <c r="J1074" s="6">
        <v>16</v>
      </c>
      <c r="K1074" s="6">
        <v>39</v>
      </c>
      <c r="L1074" s="6">
        <v>60</v>
      </c>
      <c r="M1074" s="10">
        <f t="shared" si="48"/>
        <v>65</v>
      </c>
      <c r="N1074" s="10">
        <f t="shared" si="49"/>
        <v>65</v>
      </c>
      <c r="O1074" s="6" t="s">
        <v>27</v>
      </c>
      <c r="P1074" s="6">
        <v>2</v>
      </c>
      <c r="Q1074" s="6">
        <v>0</v>
      </c>
      <c r="R1074" s="6">
        <v>6</v>
      </c>
      <c r="S1074" s="6">
        <v>8</v>
      </c>
      <c r="T1074" s="6" t="str">
        <f t="shared" si="50"/>
        <v>Sexta</v>
      </c>
    </row>
    <row r="1075" spans="1:20">
      <c r="A1075" s="7" t="s">
        <v>2329</v>
      </c>
      <c r="B1075" s="7" t="s">
        <v>507</v>
      </c>
      <c r="C1075" s="8">
        <v>1</v>
      </c>
      <c r="D1075" s="7" t="s">
        <v>2329</v>
      </c>
      <c r="E1075" s="7" t="s">
        <v>2340</v>
      </c>
      <c r="F1075">
        <v>905</v>
      </c>
      <c r="G1075" s="6">
        <v>27044</v>
      </c>
      <c r="H1075" s="11" t="s">
        <v>2341</v>
      </c>
      <c r="I1075" s="6">
        <v>8</v>
      </c>
      <c r="J1075" s="6">
        <v>3</v>
      </c>
      <c r="K1075" s="6">
        <v>0</v>
      </c>
      <c r="L1075" s="6">
        <v>0</v>
      </c>
      <c r="M1075" s="10">
        <f t="shared" si="48"/>
        <v>0</v>
      </c>
      <c r="N1075" s="10">
        <f t="shared" si="49"/>
        <v>0</v>
      </c>
      <c r="O1075" s="6" t="s">
        <v>290</v>
      </c>
      <c r="P1075" s="6">
        <v>0</v>
      </c>
      <c r="Q1075" s="6">
        <v>0</v>
      </c>
      <c r="R1075" s="6">
        <v>0</v>
      </c>
      <c r="S1075" s="6">
        <v>0</v>
      </c>
      <c r="T1075" s="6" t="str">
        <f t="shared" si="50"/>
        <v>Octava</v>
      </c>
    </row>
    <row r="1076" spans="1:20">
      <c r="A1076" s="7" t="s">
        <v>2329</v>
      </c>
      <c r="B1076" s="7" t="s">
        <v>526</v>
      </c>
      <c r="C1076" s="8">
        <v>1</v>
      </c>
      <c r="D1076" s="7" t="s">
        <v>2329</v>
      </c>
      <c r="E1076" s="7" t="s">
        <v>2342</v>
      </c>
      <c r="F1076">
        <v>1122</v>
      </c>
      <c r="G1076" s="6">
        <v>14150</v>
      </c>
      <c r="H1076" s="11" t="s">
        <v>2343</v>
      </c>
      <c r="I1076" s="6">
        <v>59</v>
      </c>
      <c r="J1076" s="6">
        <v>6</v>
      </c>
      <c r="K1076" s="6">
        <v>16</v>
      </c>
      <c r="L1076" s="6">
        <v>59</v>
      </c>
      <c r="M1076" s="10">
        <f t="shared" si="48"/>
        <v>27.118644067796609</v>
      </c>
      <c r="N1076" s="10">
        <f t="shared" si="49"/>
        <v>28</v>
      </c>
      <c r="O1076" s="6" t="s">
        <v>63</v>
      </c>
      <c r="P1076" s="6">
        <v>1</v>
      </c>
      <c r="Q1076" s="6">
        <v>1</v>
      </c>
      <c r="R1076" s="6">
        <v>1</v>
      </c>
      <c r="S1076" s="6">
        <v>3</v>
      </c>
      <c r="T1076" s="6" t="str">
        <f t="shared" si="50"/>
        <v>Sexta</v>
      </c>
    </row>
    <row r="1077" spans="1:20">
      <c r="A1077" s="7" t="s">
        <v>2329</v>
      </c>
      <c r="B1077" s="7" t="s">
        <v>526</v>
      </c>
      <c r="C1077" s="8">
        <v>1</v>
      </c>
      <c r="D1077" s="7" t="s">
        <v>2329</v>
      </c>
      <c r="E1077" s="7" t="s">
        <v>2344</v>
      </c>
      <c r="F1077">
        <v>1008</v>
      </c>
      <c r="G1077" s="6">
        <v>25699</v>
      </c>
      <c r="H1077" s="11" t="s">
        <v>2345</v>
      </c>
      <c r="I1077" s="6">
        <v>38</v>
      </c>
      <c r="J1077" s="6">
        <v>43</v>
      </c>
      <c r="K1077" s="6">
        <v>49</v>
      </c>
      <c r="L1077" s="6">
        <v>29</v>
      </c>
      <c r="M1077" s="10">
        <f t="shared" si="48"/>
        <v>168.9655172413793</v>
      </c>
      <c r="N1077" s="10">
        <f t="shared" si="49"/>
        <v>169</v>
      </c>
      <c r="O1077" s="6" t="s">
        <v>18</v>
      </c>
      <c r="P1077" s="6">
        <v>0</v>
      </c>
      <c r="Q1077" s="6">
        <v>1</v>
      </c>
      <c r="R1077" s="6">
        <v>5</v>
      </c>
      <c r="S1077" s="6">
        <v>6</v>
      </c>
      <c r="T1077" s="6" t="str">
        <f t="shared" si="50"/>
        <v>Septima</v>
      </c>
    </row>
    <row r="1078" spans="1:20">
      <c r="A1078" s="7" t="s">
        <v>2329</v>
      </c>
      <c r="B1078" s="7" t="s">
        <v>526</v>
      </c>
      <c r="C1078" s="8">
        <v>1</v>
      </c>
      <c r="D1078" s="7" t="s">
        <v>2329</v>
      </c>
      <c r="E1078" s="7" t="s">
        <v>2346</v>
      </c>
      <c r="F1078">
        <v>905</v>
      </c>
      <c r="G1078" s="6">
        <v>27046</v>
      </c>
      <c r="H1078" s="11" t="s">
        <v>2347</v>
      </c>
      <c r="I1078" s="6">
        <v>50</v>
      </c>
      <c r="J1078" s="6">
        <v>3</v>
      </c>
      <c r="K1078" s="6">
        <v>1</v>
      </c>
      <c r="L1078" s="6">
        <v>8</v>
      </c>
      <c r="M1078" s="10">
        <f t="shared" si="48"/>
        <v>12.5</v>
      </c>
      <c r="N1078" s="10">
        <f t="shared" si="49"/>
        <v>13</v>
      </c>
      <c r="O1078" s="6" t="s">
        <v>290</v>
      </c>
      <c r="P1078" s="6">
        <v>0</v>
      </c>
      <c r="Q1078" s="6">
        <v>0</v>
      </c>
      <c r="R1078" s="6">
        <v>0</v>
      </c>
      <c r="S1078" s="6">
        <v>0</v>
      </c>
      <c r="T1078" s="6" t="str">
        <f t="shared" si="50"/>
        <v>Octava</v>
      </c>
    </row>
    <row r="1079" spans="1:20">
      <c r="A1079" s="7" t="s">
        <v>2329</v>
      </c>
      <c r="B1079" s="7" t="s">
        <v>526</v>
      </c>
      <c r="C1079" s="8">
        <v>1</v>
      </c>
      <c r="D1079" s="7" t="s">
        <v>2329</v>
      </c>
      <c r="E1079" s="7" t="s">
        <v>2348</v>
      </c>
      <c r="F1079">
        <v>1000</v>
      </c>
      <c r="G1079" s="6">
        <v>6006</v>
      </c>
      <c r="H1079" s="11" t="s">
        <v>2349</v>
      </c>
      <c r="I1079" s="6">
        <v>32</v>
      </c>
      <c r="J1079" s="6">
        <v>0</v>
      </c>
      <c r="K1079" s="6">
        <v>0</v>
      </c>
      <c r="L1079" s="6">
        <v>0</v>
      </c>
      <c r="M1079" s="10">
        <f t="shared" si="48"/>
        <v>0</v>
      </c>
      <c r="N1079" s="10">
        <f t="shared" si="49"/>
        <v>0</v>
      </c>
      <c r="P1079" s="6">
        <v>0</v>
      </c>
      <c r="Q1079" s="6">
        <v>0</v>
      </c>
      <c r="R1079" s="6">
        <v>0</v>
      </c>
      <c r="S1079" s="6">
        <v>0</v>
      </c>
      <c r="T1079" s="6" t="str">
        <f t="shared" si="50"/>
        <v>Septima</v>
      </c>
    </row>
    <row r="1080" spans="1:20">
      <c r="A1080" s="7" t="s">
        <v>2329</v>
      </c>
      <c r="B1080" s="7" t="s">
        <v>526</v>
      </c>
      <c r="C1080" s="8">
        <v>1</v>
      </c>
      <c r="D1080" s="7" t="s">
        <v>2329</v>
      </c>
      <c r="E1080" s="7" t="s">
        <v>2350</v>
      </c>
      <c r="F1080">
        <v>974</v>
      </c>
      <c r="G1080" s="6">
        <v>15194</v>
      </c>
      <c r="H1080" s="11" t="s">
        <v>2351</v>
      </c>
      <c r="I1080" s="6">
        <v>66</v>
      </c>
      <c r="J1080" s="6">
        <v>2</v>
      </c>
      <c r="K1080" s="6">
        <v>2</v>
      </c>
      <c r="L1080" s="6">
        <v>20</v>
      </c>
      <c r="M1080" s="10">
        <f t="shared" si="48"/>
        <v>10</v>
      </c>
      <c r="N1080" s="10">
        <f t="shared" si="49"/>
        <v>10</v>
      </c>
      <c r="O1080" s="6" t="s">
        <v>63</v>
      </c>
      <c r="P1080" s="6">
        <v>0</v>
      </c>
      <c r="Q1080" s="6">
        <v>0</v>
      </c>
      <c r="R1080" s="6">
        <v>1</v>
      </c>
      <c r="S1080" s="6">
        <v>1</v>
      </c>
      <c r="T1080" s="6" t="str">
        <f t="shared" si="50"/>
        <v>Octava</v>
      </c>
    </row>
    <row r="1081" spans="1:20">
      <c r="A1081" s="7" t="s">
        <v>2329</v>
      </c>
      <c r="B1081" s="7" t="s">
        <v>526</v>
      </c>
      <c r="C1081" s="8">
        <v>1</v>
      </c>
      <c r="D1081" s="7" t="s">
        <v>2329</v>
      </c>
      <c r="E1081" s="7" t="s">
        <v>2352</v>
      </c>
      <c r="F1081">
        <v>934</v>
      </c>
      <c r="G1081" s="6">
        <v>22174</v>
      </c>
      <c r="H1081" s="11" t="s">
        <v>2353</v>
      </c>
      <c r="I1081" s="6">
        <v>44</v>
      </c>
      <c r="J1081" s="6">
        <v>8</v>
      </c>
      <c r="K1081" s="6">
        <v>3</v>
      </c>
      <c r="L1081" s="6">
        <v>12</v>
      </c>
      <c r="M1081" s="10">
        <f t="shared" si="48"/>
        <v>25</v>
      </c>
      <c r="N1081" s="10">
        <f t="shared" si="49"/>
        <v>25</v>
      </c>
      <c r="O1081" s="6" t="s">
        <v>291</v>
      </c>
      <c r="P1081" s="6">
        <v>0</v>
      </c>
      <c r="Q1081" s="6">
        <v>0</v>
      </c>
      <c r="R1081" s="6">
        <v>0</v>
      </c>
      <c r="S1081" s="6">
        <v>0</v>
      </c>
      <c r="T1081" s="6" t="str">
        <f t="shared" si="50"/>
        <v>Octava</v>
      </c>
    </row>
    <row r="1082" spans="1:20">
      <c r="A1082" s="7" t="s">
        <v>2329</v>
      </c>
      <c r="B1082" s="7" t="s">
        <v>526</v>
      </c>
      <c r="C1082" s="8">
        <v>1</v>
      </c>
      <c r="D1082" s="7" t="s">
        <v>2329</v>
      </c>
      <c r="E1082" s="7" t="s">
        <v>2354</v>
      </c>
      <c r="F1082">
        <v>817</v>
      </c>
      <c r="G1082" s="6">
        <v>26523</v>
      </c>
      <c r="H1082" s="11" t="s">
        <v>2355</v>
      </c>
      <c r="I1082" s="6">
        <v>12</v>
      </c>
      <c r="J1082" s="6">
        <v>9</v>
      </c>
      <c r="K1082" s="6">
        <v>5</v>
      </c>
      <c r="L1082" s="6">
        <v>14</v>
      </c>
      <c r="M1082" s="10">
        <f t="shared" si="48"/>
        <v>35.714285714285715</v>
      </c>
      <c r="N1082" s="10">
        <f t="shared" si="49"/>
        <v>36</v>
      </c>
      <c r="O1082" s="6" t="s">
        <v>147</v>
      </c>
      <c r="P1082" s="6">
        <v>0</v>
      </c>
      <c r="Q1082" s="6">
        <v>0</v>
      </c>
      <c r="R1082" s="6">
        <v>0</v>
      </c>
      <c r="S1082" s="6">
        <v>0</v>
      </c>
      <c r="T1082" s="6" t="str">
        <f t="shared" si="50"/>
        <v>Octava</v>
      </c>
    </row>
    <row r="1083" spans="1:20">
      <c r="A1083" s="7" t="s">
        <v>2356</v>
      </c>
      <c r="B1083" s="7" t="s">
        <v>496</v>
      </c>
      <c r="C1083" s="8">
        <v>1</v>
      </c>
      <c r="D1083" s="7" t="s">
        <v>2357</v>
      </c>
      <c r="E1083" s="7" t="s">
        <v>2358</v>
      </c>
      <c r="F1083">
        <v>1429</v>
      </c>
      <c r="G1083" s="6">
        <v>9904</v>
      </c>
      <c r="H1083" s="11" t="s">
        <v>2359</v>
      </c>
      <c r="I1083" s="6">
        <v>39</v>
      </c>
      <c r="J1083" s="6">
        <v>57</v>
      </c>
      <c r="K1083" s="6">
        <v>125</v>
      </c>
      <c r="L1083" s="6">
        <v>47</v>
      </c>
      <c r="M1083" s="10">
        <f t="shared" si="48"/>
        <v>265.95744680851061</v>
      </c>
      <c r="N1083" s="10">
        <f t="shared" si="49"/>
        <v>266</v>
      </c>
      <c r="O1083" s="6" t="s">
        <v>48</v>
      </c>
      <c r="P1083" s="6">
        <v>1</v>
      </c>
      <c r="Q1083" s="6">
        <v>2</v>
      </c>
      <c r="R1083" s="6">
        <v>8</v>
      </c>
      <c r="S1083" s="6">
        <v>11</v>
      </c>
      <c r="T1083" s="6" t="str">
        <f t="shared" si="50"/>
        <v>Cuarta</v>
      </c>
    </row>
    <row r="1084" spans="1:20">
      <c r="A1084" s="7" t="s">
        <v>2356</v>
      </c>
      <c r="B1084" s="7" t="s">
        <v>496</v>
      </c>
      <c r="C1084" s="8">
        <v>1</v>
      </c>
      <c r="D1084" s="7" t="s">
        <v>2357</v>
      </c>
      <c r="E1084" s="7" t="s">
        <v>2360</v>
      </c>
      <c r="F1084">
        <v>1536</v>
      </c>
      <c r="G1084" s="6">
        <v>28209</v>
      </c>
      <c r="H1084" s="11" t="s">
        <v>2361</v>
      </c>
      <c r="I1084" s="6">
        <v>44</v>
      </c>
      <c r="J1084" s="6">
        <v>36</v>
      </c>
      <c r="K1084" s="6">
        <v>118</v>
      </c>
      <c r="L1084" s="6">
        <v>64</v>
      </c>
      <c r="M1084" s="10">
        <f t="shared" si="48"/>
        <v>184.375</v>
      </c>
      <c r="N1084" s="10">
        <f t="shared" si="49"/>
        <v>185</v>
      </c>
      <c r="O1084" s="6" t="s">
        <v>12</v>
      </c>
      <c r="P1084" s="6">
        <v>6</v>
      </c>
      <c r="Q1084" s="6">
        <v>4</v>
      </c>
      <c r="R1084" s="6">
        <v>6</v>
      </c>
      <c r="S1084" s="6">
        <v>16</v>
      </c>
      <c r="T1084" s="6" t="str">
        <f t="shared" si="50"/>
        <v>Cuarta</v>
      </c>
    </row>
    <row r="1085" spans="1:20">
      <c r="A1085" s="7" t="s">
        <v>2356</v>
      </c>
      <c r="B1085" s="7" t="s">
        <v>496</v>
      </c>
      <c r="C1085" s="8">
        <v>1</v>
      </c>
      <c r="D1085" s="7" t="s">
        <v>2357</v>
      </c>
      <c r="E1085" s="7" t="s">
        <v>2362</v>
      </c>
      <c r="F1085">
        <v>1000</v>
      </c>
      <c r="G1085" s="6">
        <v>19435</v>
      </c>
      <c r="H1085" s="11" t="s">
        <v>2363</v>
      </c>
      <c r="I1085" s="6">
        <v>34</v>
      </c>
      <c r="J1085" s="6">
        <v>0</v>
      </c>
      <c r="K1085" s="6">
        <v>0</v>
      </c>
      <c r="L1085" s="6">
        <v>0</v>
      </c>
      <c r="M1085" s="10">
        <f t="shared" si="48"/>
        <v>0</v>
      </c>
      <c r="N1085" s="10">
        <f t="shared" si="49"/>
        <v>0</v>
      </c>
      <c r="P1085" s="6">
        <v>0</v>
      </c>
      <c r="Q1085" s="6">
        <v>0</v>
      </c>
      <c r="R1085" s="6">
        <v>0</v>
      </c>
      <c r="S1085" s="6">
        <v>0</v>
      </c>
      <c r="T1085" s="6" t="str">
        <f t="shared" si="50"/>
        <v>Septima</v>
      </c>
    </row>
    <row r="1086" spans="1:20">
      <c r="A1086" s="7" t="s">
        <v>2356</v>
      </c>
      <c r="B1086" s="7" t="s">
        <v>496</v>
      </c>
      <c r="C1086" s="8">
        <v>1</v>
      </c>
      <c r="D1086" s="7" t="s">
        <v>2357</v>
      </c>
      <c r="E1086" s="7" t="s">
        <v>2364</v>
      </c>
      <c r="F1086">
        <v>903</v>
      </c>
      <c r="G1086" s="6">
        <v>29393</v>
      </c>
      <c r="H1086" s="11" t="s">
        <v>2365</v>
      </c>
      <c r="I1086" s="6">
        <v>31</v>
      </c>
      <c r="J1086" s="6">
        <v>5</v>
      </c>
      <c r="K1086" s="6">
        <v>6</v>
      </c>
      <c r="L1086" s="6">
        <v>26</v>
      </c>
      <c r="M1086" s="10">
        <f t="shared" si="48"/>
        <v>23.076923076923077</v>
      </c>
      <c r="N1086" s="10">
        <f t="shared" si="49"/>
        <v>24</v>
      </c>
      <c r="O1086" s="6" t="s">
        <v>26</v>
      </c>
      <c r="P1086" s="6">
        <v>0</v>
      </c>
      <c r="Q1086" s="6">
        <v>0</v>
      </c>
      <c r="R1086" s="6">
        <v>1</v>
      </c>
      <c r="S1086" s="6">
        <v>1</v>
      </c>
      <c r="T1086" s="6" t="str">
        <f t="shared" si="50"/>
        <v>Octava</v>
      </c>
    </row>
    <row r="1087" spans="1:20">
      <c r="A1087" s="7" t="s">
        <v>2356</v>
      </c>
      <c r="B1087" s="7" t="s">
        <v>496</v>
      </c>
      <c r="C1087" s="8">
        <v>1</v>
      </c>
      <c r="D1087" s="7" t="s">
        <v>2357</v>
      </c>
      <c r="E1087" s="7" t="s">
        <v>2366</v>
      </c>
      <c r="F1087">
        <v>1347</v>
      </c>
      <c r="G1087" s="6">
        <v>26177</v>
      </c>
      <c r="H1087" s="11" t="s">
        <v>2367</v>
      </c>
      <c r="I1087" s="6">
        <v>31</v>
      </c>
      <c r="J1087" s="6">
        <v>57</v>
      </c>
      <c r="K1087" s="6">
        <v>129</v>
      </c>
      <c r="L1087" s="6">
        <v>49</v>
      </c>
      <c r="M1087" s="10">
        <f t="shared" si="48"/>
        <v>263.26530612244898</v>
      </c>
      <c r="N1087" s="10">
        <f t="shared" si="49"/>
        <v>264</v>
      </c>
      <c r="O1087" s="6" t="s">
        <v>18</v>
      </c>
      <c r="P1087" s="6">
        <v>2</v>
      </c>
      <c r="Q1087" s="6">
        <v>5</v>
      </c>
      <c r="R1087" s="6">
        <v>7</v>
      </c>
      <c r="S1087" s="6">
        <v>14</v>
      </c>
      <c r="T1087" s="6" t="str">
        <f t="shared" si="50"/>
        <v>Quinta</v>
      </c>
    </row>
    <row r="1088" spans="1:20">
      <c r="A1088" s="7" t="s">
        <v>2356</v>
      </c>
      <c r="B1088" s="7" t="s">
        <v>496</v>
      </c>
      <c r="C1088" s="8">
        <v>1</v>
      </c>
      <c r="D1088" s="7" t="s">
        <v>2357</v>
      </c>
      <c r="E1088" s="7" t="s">
        <v>2368</v>
      </c>
      <c r="F1088">
        <v>1287</v>
      </c>
      <c r="G1088" s="6">
        <v>27139</v>
      </c>
      <c r="H1088" s="11" t="s">
        <v>2369</v>
      </c>
      <c r="I1088" s="6">
        <v>14</v>
      </c>
      <c r="J1088" s="6">
        <v>22</v>
      </c>
      <c r="K1088" s="6">
        <v>78</v>
      </c>
      <c r="L1088" s="6">
        <v>62</v>
      </c>
      <c r="M1088" s="10">
        <f t="shared" si="48"/>
        <v>125.80645161290323</v>
      </c>
      <c r="N1088" s="10">
        <f t="shared" si="49"/>
        <v>126</v>
      </c>
      <c r="O1088" s="6" t="s">
        <v>248</v>
      </c>
      <c r="P1088" s="6">
        <v>3</v>
      </c>
      <c r="Q1088" s="6">
        <v>7</v>
      </c>
      <c r="R1088" s="6">
        <v>1</v>
      </c>
      <c r="S1088" s="6">
        <v>11</v>
      </c>
      <c r="T1088" s="6" t="str">
        <f t="shared" si="50"/>
        <v>Quinta</v>
      </c>
    </row>
    <row r="1089" spans="1:20">
      <c r="A1089" s="7" t="s">
        <v>2356</v>
      </c>
      <c r="B1089" s="7" t="s">
        <v>496</v>
      </c>
      <c r="C1089" s="8">
        <v>1</v>
      </c>
      <c r="D1089" s="7" t="s">
        <v>2357</v>
      </c>
      <c r="E1089" s="7" t="s">
        <v>2370</v>
      </c>
      <c r="F1089">
        <v>1279</v>
      </c>
      <c r="G1089" s="6">
        <v>20106</v>
      </c>
      <c r="H1089" s="11" t="s">
        <v>2371</v>
      </c>
      <c r="I1089" s="6">
        <v>29</v>
      </c>
      <c r="J1089" s="6">
        <v>33</v>
      </c>
      <c r="K1089" s="6">
        <v>68</v>
      </c>
      <c r="L1089" s="6">
        <v>42</v>
      </c>
      <c r="M1089" s="10">
        <f t="shared" si="48"/>
        <v>161.9047619047619</v>
      </c>
      <c r="N1089" s="10">
        <f t="shared" si="49"/>
        <v>162</v>
      </c>
      <c r="O1089" s="6" t="s">
        <v>248</v>
      </c>
      <c r="P1089" s="6">
        <v>1</v>
      </c>
      <c r="Q1089" s="6">
        <v>3</v>
      </c>
      <c r="R1089" s="6">
        <v>3</v>
      </c>
      <c r="S1089" s="6">
        <v>7</v>
      </c>
      <c r="T1089" s="6" t="str">
        <f t="shared" si="50"/>
        <v>Quinta</v>
      </c>
    </row>
    <row r="1090" spans="1:20">
      <c r="A1090" s="7" t="s">
        <v>2356</v>
      </c>
      <c r="B1090" s="7" t="s">
        <v>496</v>
      </c>
      <c r="C1090" s="8">
        <v>1</v>
      </c>
      <c r="D1090" s="7" t="s">
        <v>2357</v>
      </c>
      <c r="E1090" s="7" t="s">
        <v>2372</v>
      </c>
      <c r="F1090">
        <v>1362</v>
      </c>
      <c r="G1090" s="6">
        <v>27793</v>
      </c>
      <c r="H1090" s="11" t="s">
        <v>2373</v>
      </c>
      <c r="I1090" s="6">
        <v>46</v>
      </c>
      <c r="J1090" s="6">
        <v>20</v>
      </c>
      <c r="K1090" s="6">
        <v>65</v>
      </c>
      <c r="L1090" s="6">
        <v>62</v>
      </c>
      <c r="M1090" s="10">
        <f t="shared" si="48"/>
        <v>104.83870967741936</v>
      </c>
      <c r="N1090" s="10">
        <f t="shared" si="49"/>
        <v>105</v>
      </c>
      <c r="O1090" s="6" t="s">
        <v>18</v>
      </c>
      <c r="P1090" s="6">
        <v>2</v>
      </c>
      <c r="Q1090" s="6">
        <v>0</v>
      </c>
      <c r="R1090" s="6">
        <v>6</v>
      </c>
      <c r="S1090" s="6">
        <v>8</v>
      </c>
      <c r="T1090" s="6" t="str">
        <f t="shared" si="50"/>
        <v>Quinta</v>
      </c>
    </row>
    <row r="1091" spans="1:20">
      <c r="A1091" s="7" t="s">
        <v>2356</v>
      </c>
      <c r="B1091" s="7" t="s">
        <v>496</v>
      </c>
      <c r="C1091" s="8">
        <v>2</v>
      </c>
      <c r="D1091" s="7" t="s">
        <v>2374</v>
      </c>
      <c r="E1091" s="7" t="s">
        <v>2375</v>
      </c>
      <c r="F1091">
        <v>1421</v>
      </c>
      <c r="G1091" s="6">
        <v>19997</v>
      </c>
      <c r="H1091" s="11" t="s">
        <v>2376</v>
      </c>
      <c r="I1091" s="6">
        <v>60</v>
      </c>
      <c r="J1091" s="6">
        <v>20</v>
      </c>
      <c r="K1091" s="6">
        <v>62</v>
      </c>
      <c r="L1091" s="6">
        <v>66</v>
      </c>
      <c r="M1091" s="10">
        <f t="shared" ref="M1091:M1154" si="51">IF(K1091+L1091=0,0,(100*K1091/L1091))</f>
        <v>93.939393939393938</v>
      </c>
      <c r="N1091" s="10">
        <f t="shared" ref="N1091:N1154" si="52">ROUNDUP(M1091,0)</f>
        <v>94</v>
      </c>
      <c r="O1091" s="6" t="s">
        <v>248</v>
      </c>
      <c r="P1091" s="6">
        <v>3</v>
      </c>
      <c r="Q1091" s="6">
        <v>2</v>
      </c>
      <c r="R1091" s="6">
        <v>3</v>
      </c>
      <c r="S1091" s="6">
        <v>8</v>
      </c>
      <c r="T1091" s="6" t="str">
        <f t="shared" ref="T1091:T1154" si="53">IF(F1091&gt;2100,"Primera",
IF(F1091&gt;=1800,"Segunda",
IF(F1091&gt;=1600,"Tercera",
IF(F1091&gt;=1400,"Cuarta",
IF(F1091&gt;=1200,"Quinta",
IF(F1091&gt;=1080,"Sexta",
IF(F1091&gt;=980,"Septima",
"Octava")))))))</f>
        <v>Cuarta</v>
      </c>
    </row>
    <row r="1092" spans="1:20">
      <c r="A1092" s="7" t="s">
        <v>2356</v>
      </c>
      <c r="B1092" s="7" t="s">
        <v>496</v>
      </c>
      <c r="C1092" s="8">
        <v>2</v>
      </c>
      <c r="D1092" s="7" t="s">
        <v>2374</v>
      </c>
      <c r="E1092" s="7" t="s">
        <v>2377</v>
      </c>
      <c r="F1092">
        <v>1536</v>
      </c>
      <c r="G1092" s="6">
        <v>24836</v>
      </c>
      <c r="H1092" s="11" t="s">
        <v>2378</v>
      </c>
      <c r="I1092" s="6">
        <v>25</v>
      </c>
      <c r="J1092" s="6">
        <v>39</v>
      </c>
      <c r="K1092" s="6">
        <v>117</v>
      </c>
      <c r="L1092" s="6">
        <v>63</v>
      </c>
      <c r="M1092" s="10">
        <f t="shared" si="51"/>
        <v>185.71428571428572</v>
      </c>
      <c r="N1092" s="10">
        <f t="shared" si="52"/>
        <v>186</v>
      </c>
      <c r="O1092" s="6" t="s">
        <v>18</v>
      </c>
      <c r="P1092" s="6">
        <v>3</v>
      </c>
      <c r="Q1092" s="6">
        <v>4</v>
      </c>
      <c r="R1092" s="6">
        <v>4</v>
      </c>
      <c r="S1092" s="6">
        <v>11</v>
      </c>
      <c r="T1092" s="6" t="str">
        <f t="shared" si="53"/>
        <v>Cuarta</v>
      </c>
    </row>
    <row r="1093" spans="1:20">
      <c r="A1093" s="7" t="s">
        <v>2356</v>
      </c>
      <c r="B1093" s="7" t="s">
        <v>496</v>
      </c>
      <c r="C1093" s="8">
        <v>2</v>
      </c>
      <c r="D1093" s="7" t="s">
        <v>2374</v>
      </c>
      <c r="E1093" s="7" t="s">
        <v>2379</v>
      </c>
      <c r="F1093">
        <v>1571</v>
      </c>
      <c r="G1093" s="6">
        <v>9775</v>
      </c>
      <c r="H1093" s="11" t="s">
        <v>2380</v>
      </c>
      <c r="I1093" s="6">
        <v>55</v>
      </c>
      <c r="J1093" s="6">
        <v>24</v>
      </c>
      <c r="K1093" s="6">
        <v>66</v>
      </c>
      <c r="L1093" s="6">
        <v>62</v>
      </c>
      <c r="M1093" s="10">
        <f t="shared" si="51"/>
        <v>106.45161290322581</v>
      </c>
      <c r="N1093" s="10">
        <f t="shared" si="52"/>
        <v>107</v>
      </c>
      <c r="O1093" s="6" t="s">
        <v>260</v>
      </c>
      <c r="P1093" s="6">
        <v>2</v>
      </c>
      <c r="Q1093" s="6">
        <v>3</v>
      </c>
      <c r="R1093" s="6">
        <v>5</v>
      </c>
      <c r="S1093" s="6">
        <v>10</v>
      </c>
      <c r="T1093" s="6" t="str">
        <f t="shared" si="53"/>
        <v>Cuarta</v>
      </c>
    </row>
    <row r="1094" spans="1:20">
      <c r="A1094" s="7" t="s">
        <v>2356</v>
      </c>
      <c r="B1094" s="7" t="s">
        <v>496</v>
      </c>
      <c r="C1094" s="8">
        <v>2</v>
      </c>
      <c r="D1094" s="7" t="s">
        <v>2374</v>
      </c>
      <c r="E1094" s="7" t="s">
        <v>2381</v>
      </c>
      <c r="F1094">
        <v>1556</v>
      </c>
      <c r="G1094" s="6">
        <v>13551</v>
      </c>
      <c r="H1094" s="11" t="s">
        <v>2382</v>
      </c>
      <c r="I1094" s="6">
        <v>32</v>
      </c>
      <c r="J1094" s="6">
        <v>36</v>
      </c>
      <c r="K1094" s="6">
        <v>101</v>
      </c>
      <c r="L1094" s="6">
        <v>61</v>
      </c>
      <c r="M1094" s="10">
        <f t="shared" si="51"/>
        <v>165.57377049180329</v>
      </c>
      <c r="N1094" s="10">
        <f t="shared" si="52"/>
        <v>166</v>
      </c>
      <c r="O1094" s="6" t="s">
        <v>18</v>
      </c>
      <c r="P1094" s="6">
        <v>3</v>
      </c>
      <c r="Q1094" s="6">
        <v>3</v>
      </c>
      <c r="R1094" s="6">
        <v>6</v>
      </c>
      <c r="S1094" s="6">
        <v>12</v>
      </c>
      <c r="T1094" s="6" t="str">
        <f t="shared" si="53"/>
        <v>Cuarta</v>
      </c>
    </row>
    <row r="1095" spans="1:20">
      <c r="A1095" s="7" t="s">
        <v>2356</v>
      </c>
      <c r="B1095" s="7" t="s">
        <v>496</v>
      </c>
      <c r="C1095" s="8">
        <v>2</v>
      </c>
      <c r="D1095" s="7" t="s">
        <v>2374</v>
      </c>
      <c r="E1095" s="7" t="s">
        <v>2383</v>
      </c>
      <c r="F1095">
        <v>1466</v>
      </c>
      <c r="G1095" s="6">
        <v>19545</v>
      </c>
      <c r="H1095" s="11" t="s">
        <v>2384</v>
      </c>
      <c r="I1095" s="6">
        <v>20</v>
      </c>
      <c r="J1095" s="6">
        <v>36</v>
      </c>
      <c r="K1095" s="6">
        <v>86</v>
      </c>
      <c r="L1095" s="6">
        <v>53</v>
      </c>
      <c r="M1095" s="10">
        <f t="shared" si="51"/>
        <v>162.26415094339623</v>
      </c>
      <c r="N1095" s="10">
        <f t="shared" si="52"/>
        <v>163</v>
      </c>
      <c r="O1095" s="6" t="s">
        <v>226</v>
      </c>
      <c r="P1095" s="6">
        <v>3</v>
      </c>
      <c r="Q1095" s="6">
        <v>6</v>
      </c>
      <c r="R1095" s="6">
        <v>7</v>
      </c>
      <c r="S1095" s="6">
        <v>16</v>
      </c>
      <c r="T1095" s="6" t="str">
        <f t="shared" si="53"/>
        <v>Cuarta</v>
      </c>
    </row>
    <row r="1096" spans="1:20">
      <c r="A1096" s="7" t="s">
        <v>2356</v>
      </c>
      <c r="B1096" s="7" t="s">
        <v>496</v>
      </c>
      <c r="C1096" s="8">
        <v>2</v>
      </c>
      <c r="D1096" s="7" t="s">
        <v>2374</v>
      </c>
      <c r="E1096" s="7" t="s">
        <v>2385</v>
      </c>
      <c r="F1096">
        <v>1454</v>
      </c>
      <c r="G1096" s="6">
        <v>15539</v>
      </c>
      <c r="H1096" s="11" t="s">
        <v>2386</v>
      </c>
      <c r="I1096" s="6">
        <v>54</v>
      </c>
      <c r="J1096" s="6">
        <v>63</v>
      </c>
      <c r="K1096" s="6">
        <v>144</v>
      </c>
      <c r="L1096" s="6">
        <v>45</v>
      </c>
      <c r="M1096" s="10">
        <f t="shared" si="51"/>
        <v>320</v>
      </c>
      <c r="N1096" s="10">
        <f t="shared" si="52"/>
        <v>320</v>
      </c>
      <c r="O1096" s="6" t="s">
        <v>37</v>
      </c>
      <c r="P1096" s="6">
        <v>1</v>
      </c>
      <c r="Q1096" s="6">
        <v>4</v>
      </c>
      <c r="R1096" s="6">
        <v>7</v>
      </c>
      <c r="S1096" s="6">
        <v>12</v>
      </c>
      <c r="T1096" s="6" t="str">
        <f t="shared" si="53"/>
        <v>Cuarta</v>
      </c>
    </row>
    <row r="1097" spans="1:20">
      <c r="A1097" s="7" t="s">
        <v>2356</v>
      </c>
      <c r="B1097" s="7" t="s">
        <v>496</v>
      </c>
      <c r="C1097" s="8">
        <v>2</v>
      </c>
      <c r="D1097" s="7" t="s">
        <v>2374</v>
      </c>
      <c r="E1097" s="7" t="s">
        <v>2387</v>
      </c>
      <c r="F1097">
        <v>1183</v>
      </c>
      <c r="G1097" s="6">
        <v>25908</v>
      </c>
      <c r="H1097" s="11" t="s">
        <v>2388</v>
      </c>
      <c r="I1097" s="6">
        <v>23</v>
      </c>
      <c r="J1097" s="6">
        <v>24</v>
      </c>
      <c r="K1097" s="6">
        <v>63</v>
      </c>
      <c r="L1097" s="6">
        <v>57</v>
      </c>
      <c r="M1097" s="10">
        <f t="shared" si="51"/>
        <v>110.52631578947368</v>
      </c>
      <c r="N1097" s="10">
        <f t="shared" si="52"/>
        <v>111</v>
      </c>
      <c r="O1097" s="6" t="s">
        <v>19</v>
      </c>
      <c r="P1097" s="6">
        <v>2</v>
      </c>
      <c r="Q1097" s="6">
        <v>2</v>
      </c>
      <c r="R1097" s="6">
        <v>4</v>
      </c>
      <c r="S1097" s="6">
        <v>8</v>
      </c>
      <c r="T1097" s="6" t="str">
        <f t="shared" si="53"/>
        <v>Sexta</v>
      </c>
    </row>
    <row r="1098" spans="1:20">
      <c r="A1098" s="7" t="s">
        <v>2389</v>
      </c>
      <c r="B1098" s="7" t="s">
        <v>451</v>
      </c>
      <c r="C1098" s="8">
        <v>1</v>
      </c>
      <c r="D1098" s="7" t="s">
        <v>2389</v>
      </c>
      <c r="E1098" s="7" t="s">
        <v>2390</v>
      </c>
      <c r="F1098">
        <v>2181</v>
      </c>
      <c r="G1098" s="6">
        <v>25360</v>
      </c>
      <c r="H1098" s="11" t="s">
        <v>2391</v>
      </c>
      <c r="I1098" s="6">
        <v>44</v>
      </c>
      <c r="J1098" s="6">
        <v>67</v>
      </c>
      <c r="K1098" s="6">
        <v>234</v>
      </c>
      <c r="L1098" s="6">
        <v>66</v>
      </c>
      <c r="M1098" s="10">
        <f t="shared" si="51"/>
        <v>354.54545454545456</v>
      </c>
      <c r="N1098" s="10">
        <f t="shared" si="52"/>
        <v>355</v>
      </c>
      <c r="O1098" s="6" t="s">
        <v>86</v>
      </c>
      <c r="P1098" s="6">
        <v>15</v>
      </c>
      <c r="Q1098" s="6">
        <v>6</v>
      </c>
      <c r="R1098" s="6">
        <v>12</v>
      </c>
      <c r="S1098" s="6">
        <v>33</v>
      </c>
      <c r="T1098" s="6" t="str">
        <f t="shared" si="53"/>
        <v>Primera</v>
      </c>
    </row>
    <row r="1099" spans="1:20">
      <c r="A1099" s="7" t="s">
        <v>2389</v>
      </c>
      <c r="B1099" s="7" t="s">
        <v>451</v>
      </c>
      <c r="C1099" s="8">
        <v>1</v>
      </c>
      <c r="D1099" s="7" t="s">
        <v>2389</v>
      </c>
      <c r="E1099" s="7" t="s">
        <v>2392</v>
      </c>
      <c r="F1099">
        <v>1242</v>
      </c>
      <c r="G1099" s="6">
        <v>9278</v>
      </c>
      <c r="H1099" s="11" t="s">
        <v>2393</v>
      </c>
      <c r="I1099" s="6">
        <v>28</v>
      </c>
      <c r="J1099" s="6">
        <v>4</v>
      </c>
      <c r="K1099" s="6">
        <v>3</v>
      </c>
      <c r="L1099" s="6">
        <v>19</v>
      </c>
      <c r="M1099" s="10">
        <f t="shared" si="51"/>
        <v>15.789473684210526</v>
      </c>
      <c r="N1099" s="10">
        <f t="shared" si="52"/>
        <v>16</v>
      </c>
      <c r="O1099" s="6" t="s">
        <v>292</v>
      </c>
      <c r="P1099" s="6">
        <v>0</v>
      </c>
      <c r="Q1099" s="6">
        <v>0</v>
      </c>
      <c r="R1099" s="6">
        <v>0</v>
      </c>
      <c r="S1099" s="6">
        <v>0</v>
      </c>
      <c r="T1099" s="6" t="str">
        <f t="shared" si="53"/>
        <v>Quinta</v>
      </c>
    </row>
    <row r="1100" spans="1:20">
      <c r="A1100" s="7" t="s">
        <v>2389</v>
      </c>
      <c r="B1100" s="7" t="s">
        <v>451</v>
      </c>
      <c r="C1100" s="8">
        <v>1</v>
      </c>
      <c r="D1100" s="7" t="s">
        <v>2389</v>
      </c>
      <c r="E1100" s="7" t="s">
        <v>2394</v>
      </c>
      <c r="F1100">
        <v>1790</v>
      </c>
      <c r="G1100" s="6">
        <v>16041</v>
      </c>
      <c r="H1100" s="11" t="s">
        <v>2395</v>
      </c>
      <c r="I1100" s="6">
        <v>20</v>
      </c>
      <c r="J1100" s="6">
        <v>59</v>
      </c>
      <c r="K1100" s="6">
        <v>106</v>
      </c>
      <c r="L1100" s="6">
        <v>44</v>
      </c>
      <c r="M1100" s="10">
        <f t="shared" si="51"/>
        <v>240.90909090909091</v>
      </c>
      <c r="N1100" s="10">
        <f t="shared" si="52"/>
        <v>241</v>
      </c>
      <c r="O1100" s="6" t="s">
        <v>36</v>
      </c>
      <c r="P1100" s="6">
        <v>0</v>
      </c>
      <c r="Q1100" s="6">
        <v>2</v>
      </c>
      <c r="R1100" s="6">
        <v>5</v>
      </c>
      <c r="S1100" s="6">
        <v>7</v>
      </c>
      <c r="T1100" s="6" t="str">
        <f t="shared" si="53"/>
        <v>Tercera</v>
      </c>
    </row>
    <row r="1101" spans="1:20">
      <c r="A1101" s="7" t="s">
        <v>2389</v>
      </c>
      <c r="B1101" s="7" t="s">
        <v>451</v>
      </c>
      <c r="C1101" s="8">
        <v>1</v>
      </c>
      <c r="D1101" s="7" t="s">
        <v>2389</v>
      </c>
      <c r="E1101" s="7" t="s">
        <v>2396</v>
      </c>
      <c r="F1101">
        <v>1855</v>
      </c>
      <c r="G1101" s="6">
        <v>11458</v>
      </c>
      <c r="H1101" s="11" t="s">
        <v>2397</v>
      </c>
      <c r="I1101" s="6">
        <v>27</v>
      </c>
      <c r="J1101" s="6">
        <v>64</v>
      </c>
      <c r="K1101" s="6">
        <v>146</v>
      </c>
      <c r="L1101" s="6">
        <v>46</v>
      </c>
      <c r="M1101" s="10">
        <f t="shared" si="51"/>
        <v>317.39130434782606</v>
      </c>
      <c r="N1101" s="10">
        <f t="shared" si="52"/>
        <v>318</v>
      </c>
      <c r="O1101" s="6" t="s">
        <v>104</v>
      </c>
      <c r="P1101" s="6">
        <v>3</v>
      </c>
      <c r="Q1101" s="6">
        <v>2</v>
      </c>
      <c r="R1101" s="6">
        <v>6</v>
      </c>
      <c r="S1101" s="6">
        <v>11</v>
      </c>
      <c r="T1101" s="6" t="str">
        <f t="shared" si="53"/>
        <v>Segunda</v>
      </c>
    </row>
    <row r="1102" spans="1:20">
      <c r="A1102" s="7" t="s">
        <v>2389</v>
      </c>
      <c r="B1102" s="7" t="s">
        <v>451</v>
      </c>
      <c r="C1102" s="8">
        <v>1</v>
      </c>
      <c r="D1102" s="7" t="s">
        <v>2389</v>
      </c>
      <c r="E1102" s="7" t="s">
        <v>2398</v>
      </c>
      <c r="F1102">
        <v>1703</v>
      </c>
      <c r="G1102" s="6">
        <v>20115</v>
      </c>
      <c r="H1102" s="11" t="s">
        <v>2399</v>
      </c>
      <c r="I1102" s="6">
        <v>17</v>
      </c>
      <c r="J1102" s="6">
        <v>24</v>
      </c>
      <c r="K1102" s="6">
        <v>86</v>
      </c>
      <c r="L1102" s="6">
        <v>66</v>
      </c>
      <c r="M1102" s="10">
        <f t="shared" si="51"/>
        <v>130.30303030303031</v>
      </c>
      <c r="N1102" s="10">
        <f t="shared" si="52"/>
        <v>131</v>
      </c>
      <c r="O1102" s="6" t="s">
        <v>293</v>
      </c>
      <c r="P1102" s="6">
        <v>6</v>
      </c>
      <c r="Q1102" s="6">
        <v>3</v>
      </c>
      <c r="R1102" s="6">
        <v>6</v>
      </c>
      <c r="S1102" s="6">
        <v>15</v>
      </c>
      <c r="T1102" s="6" t="str">
        <f t="shared" si="53"/>
        <v>Tercera</v>
      </c>
    </row>
    <row r="1103" spans="1:20">
      <c r="A1103" s="7" t="s">
        <v>2389</v>
      </c>
      <c r="B1103" s="7" t="s">
        <v>451</v>
      </c>
      <c r="C1103" s="8">
        <v>1</v>
      </c>
      <c r="D1103" s="7" t="s">
        <v>2389</v>
      </c>
      <c r="E1103" s="7" t="s">
        <v>2400</v>
      </c>
      <c r="F1103">
        <v>1716</v>
      </c>
      <c r="G1103" s="6">
        <v>22360</v>
      </c>
      <c r="H1103" s="11" t="s">
        <v>2401</v>
      </c>
      <c r="I1103" s="6">
        <v>15</v>
      </c>
      <c r="J1103" s="6">
        <v>27</v>
      </c>
      <c r="K1103" s="6">
        <v>102</v>
      </c>
      <c r="L1103" s="6">
        <v>71</v>
      </c>
      <c r="M1103" s="10">
        <f t="shared" si="51"/>
        <v>143.66197183098592</v>
      </c>
      <c r="N1103" s="10">
        <f t="shared" si="52"/>
        <v>144</v>
      </c>
      <c r="O1103" s="6" t="s">
        <v>19</v>
      </c>
      <c r="P1103" s="6">
        <v>3</v>
      </c>
      <c r="Q1103" s="6">
        <v>4</v>
      </c>
      <c r="R1103" s="6">
        <v>3</v>
      </c>
      <c r="S1103" s="6">
        <v>10</v>
      </c>
      <c r="T1103" s="6" t="str">
        <f t="shared" si="53"/>
        <v>Tercera</v>
      </c>
    </row>
    <row r="1104" spans="1:20">
      <c r="A1104" s="7" t="s">
        <v>2389</v>
      </c>
      <c r="B1104" s="7" t="s">
        <v>451</v>
      </c>
      <c r="C1104" s="8">
        <v>1</v>
      </c>
      <c r="D1104" s="7" t="s">
        <v>2389</v>
      </c>
      <c r="E1104" s="7" t="s">
        <v>2402</v>
      </c>
      <c r="F1104">
        <v>1988</v>
      </c>
      <c r="G1104" s="6">
        <v>2679</v>
      </c>
      <c r="H1104" s="11" t="s">
        <v>2403</v>
      </c>
      <c r="I1104" s="6">
        <v>30</v>
      </c>
      <c r="J1104" s="6">
        <v>100</v>
      </c>
      <c r="K1104" s="6">
        <v>287</v>
      </c>
      <c r="L1104" s="6">
        <v>62</v>
      </c>
      <c r="M1104" s="10">
        <f t="shared" si="51"/>
        <v>462.90322580645159</v>
      </c>
      <c r="N1104" s="10">
        <f t="shared" si="52"/>
        <v>463</v>
      </c>
      <c r="O1104" s="6" t="s">
        <v>294</v>
      </c>
      <c r="P1104" s="6">
        <v>13</v>
      </c>
      <c r="Q1104" s="6">
        <v>9</v>
      </c>
      <c r="R1104" s="6">
        <v>19</v>
      </c>
      <c r="S1104" s="6">
        <v>41</v>
      </c>
      <c r="T1104" s="6" t="str">
        <f t="shared" si="53"/>
        <v>Segunda</v>
      </c>
    </row>
    <row r="1105" spans="1:20">
      <c r="A1105" s="7" t="s">
        <v>2389</v>
      </c>
      <c r="B1105" s="7" t="s">
        <v>468</v>
      </c>
      <c r="C1105" s="8">
        <v>1</v>
      </c>
      <c r="D1105" s="7" t="s">
        <v>2389</v>
      </c>
      <c r="E1105" s="7" t="s">
        <v>2400</v>
      </c>
      <c r="F1105">
        <v>1716</v>
      </c>
      <c r="G1105" s="6">
        <v>22360</v>
      </c>
      <c r="H1105" s="11" t="s">
        <v>2401</v>
      </c>
      <c r="I1105" s="6">
        <v>15</v>
      </c>
      <c r="J1105" s="6">
        <v>27</v>
      </c>
      <c r="K1105" s="6">
        <v>102</v>
      </c>
      <c r="L1105" s="6">
        <v>71</v>
      </c>
      <c r="M1105" s="10">
        <f t="shared" si="51"/>
        <v>143.66197183098592</v>
      </c>
      <c r="N1105" s="10">
        <f t="shared" si="52"/>
        <v>144</v>
      </c>
      <c r="O1105" s="6" t="s">
        <v>19</v>
      </c>
      <c r="P1105" s="6">
        <v>3</v>
      </c>
      <c r="Q1105" s="6">
        <v>4</v>
      </c>
      <c r="R1105" s="6">
        <v>3</v>
      </c>
      <c r="S1105" s="6">
        <v>10</v>
      </c>
      <c r="T1105" s="6" t="str">
        <f t="shared" si="53"/>
        <v>Tercera</v>
      </c>
    </row>
    <row r="1106" spans="1:20">
      <c r="A1106" s="7" t="s">
        <v>2389</v>
      </c>
      <c r="B1106" s="7" t="s">
        <v>468</v>
      </c>
      <c r="C1106" s="8">
        <v>1</v>
      </c>
      <c r="D1106" s="7" t="s">
        <v>2389</v>
      </c>
      <c r="E1106" s="7" t="s">
        <v>2404</v>
      </c>
      <c r="F1106">
        <v>1537</v>
      </c>
      <c r="G1106" s="6">
        <v>23726</v>
      </c>
      <c r="H1106" s="11" t="s">
        <v>2405</v>
      </c>
      <c r="I1106" s="6">
        <v>17</v>
      </c>
      <c r="J1106" s="6">
        <v>29</v>
      </c>
      <c r="K1106" s="6">
        <v>76</v>
      </c>
      <c r="L1106" s="6">
        <v>57</v>
      </c>
      <c r="M1106" s="10">
        <f t="shared" si="51"/>
        <v>133.33333333333334</v>
      </c>
      <c r="N1106" s="10">
        <f t="shared" si="52"/>
        <v>134</v>
      </c>
      <c r="O1106" s="6" t="s">
        <v>146</v>
      </c>
      <c r="P1106" s="6">
        <v>2</v>
      </c>
      <c r="Q1106" s="6">
        <v>1</v>
      </c>
      <c r="R1106" s="6">
        <v>6</v>
      </c>
      <c r="S1106" s="6">
        <v>9</v>
      </c>
      <c r="T1106" s="6" t="str">
        <f t="shared" si="53"/>
        <v>Cuarta</v>
      </c>
    </row>
    <row r="1107" spans="1:20">
      <c r="A1107" s="7" t="s">
        <v>2389</v>
      </c>
      <c r="B1107" s="7" t="s">
        <v>468</v>
      </c>
      <c r="C1107" s="8">
        <v>1</v>
      </c>
      <c r="D1107" s="7" t="s">
        <v>2389</v>
      </c>
      <c r="E1107" s="7" t="s">
        <v>2402</v>
      </c>
      <c r="F1107">
        <v>1988</v>
      </c>
      <c r="G1107" s="6">
        <v>2679</v>
      </c>
      <c r="H1107" s="11" t="s">
        <v>2403</v>
      </c>
      <c r="I1107" s="6">
        <v>30</v>
      </c>
      <c r="J1107" s="6">
        <v>100</v>
      </c>
      <c r="K1107" s="6">
        <v>287</v>
      </c>
      <c r="L1107" s="6">
        <v>62</v>
      </c>
      <c r="M1107" s="10">
        <f t="shared" si="51"/>
        <v>462.90322580645159</v>
      </c>
      <c r="N1107" s="10">
        <f t="shared" si="52"/>
        <v>463</v>
      </c>
      <c r="O1107" s="6" t="s">
        <v>294</v>
      </c>
      <c r="P1107" s="6">
        <v>13</v>
      </c>
      <c r="Q1107" s="6">
        <v>9</v>
      </c>
      <c r="R1107" s="6">
        <v>19</v>
      </c>
      <c r="S1107" s="6">
        <v>41</v>
      </c>
      <c r="T1107" s="6" t="str">
        <f t="shared" si="53"/>
        <v>Segunda</v>
      </c>
    </row>
    <row r="1108" spans="1:20">
      <c r="A1108" s="7" t="s">
        <v>2389</v>
      </c>
      <c r="B1108" s="7" t="s">
        <v>468</v>
      </c>
      <c r="C1108" s="8">
        <v>1</v>
      </c>
      <c r="D1108" s="7" t="s">
        <v>2389</v>
      </c>
      <c r="E1108" s="7" t="s">
        <v>2406</v>
      </c>
      <c r="F1108">
        <v>1462</v>
      </c>
      <c r="G1108" s="6">
        <v>3927</v>
      </c>
      <c r="H1108" s="11" t="s">
        <v>2407</v>
      </c>
      <c r="I1108" s="6">
        <v>32</v>
      </c>
      <c r="J1108" s="6">
        <v>3</v>
      </c>
      <c r="K1108" s="6">
        <v>1</v>
      </c>
      <c r="L1108" s="6">
        <v>11</v>
      </c>
      <c r="M1108" s="10">
        <f t="shared" si="51"/>
        <v>9.0909090909090917</v>
      </c>
      <c r="N1108" s="10">
        <f t="shared" si="52"/>
        <v>10</v>
      </c>
      <c r="O1108" s="6" t="s">
        <v>295</v>
      </c>
      <c r="P1108" s="6">
        <v>0</v>
      </c>
      <c r="Q1108" s="6">
        <v>0</v>
      </c>
      <c r="R1108" s="6">
        <v>0</v>
      </c>
      <c r="S1108" s="6">
        <v>0</v>
      </c>
      <c r="T1108" s="6" t="str">
        <f t="shared" si="53"/>
        <v>Cuarta</v>
      </c>
    </row>
    <row r="1109" spans="1:20">
      <c r="A1109" s="7" t="s">
        <v>2389</v>
      </c>
      <c r="B1109" s="7" t="s">
        <v>468</v>
      </c>
      <c r="C1109" s="8">
        <v>1</v>
      </c>
      <c r="D1109" s="7" t="s">
        <v>2389</v>
      </c>
      <c r="E1109" s="7" t="s">
        <v>2408</v>
      </c>
      <c r="F1109">
        <v>1744</v>
      </c>
      <c r="G1109" s="6">
        <v>15148</v>
      </c>
      <c r="H1109" s="11" t="s">
        <v>2409</v>
      </c>
      <c r="I1109" s="6">
        <v>22</v>
      </c>
      <c r="J1109" s="6">
        <v>81</v>
      </c>
      <c r="K1109" s="6">
        <v>261</v>
      </c>
      <c r="L1109" s="6">
        <v>67</v>
      </c>
      <c r="M1109" s="10">
        <f t="shared" si="51"/>
        <v>389.55223880597015</v>
      </c>
      <c r="N1109" s="10">
        <f t="shared" si="52"/>
        <v>390</v>
      </c>
      <c r="O1109" s="6" t="s">
        <v>18</v>
      </c>
      <c r="P1109" s="6">
        <v>17</v>
      </c>
      <c r="Q1109" s="6">
        <v>9</v>
      </c>
      <c r="R1109" s="6">
        <v>17</v>
      </c>
      <c r="S1109" s="6">
        <v>43</v>
      </c>
      <c r="T1109" s="6" t="str">
        <f t="shared" si="53"/>
        <v>Tercera</v>
      </c>
    </row>
    <row r="1110" spans="1:20">
      <c r="A1110" s="7" t="s">
        <v>2389</v>
      </c>
      <c r="B1110" s="7" t="s">
        <v>468</v>
      </c>
      <c r="C1110" s="8">
        <v>1</v>
      </c>
      <c r="D1110" s="7" t="s">
        <v>2389</v>
      </c>
      <c r="E1110" s="7" t="s">
        <v>2410</v>
      </c>
      <c r="F1110">
        <v>1531</v>
      </c>
      <c r="G1110" s="6">
        <v>21558</v>
      </c>
      <c r="H1110" s="11" t="s">
        <v>2411</v>
      </c>
      <c r="I1110" s="6">
        <v>19</v>
      </c>
      <c r="J1110" s="6">
        <v>216</v>
      </c>
      <c r="K1110" s="6">
        <v>384</v>
      </c>
      <c r="L1110" s="6">
        <v>46</v>
      </c>
      <c r="M1110" s="10">
        <f t="shared" si="51"/>
        <v>834.78260869565213</v>
      </c>
      <c r="N1110" s="10">
        <f t="shared" si="52"/>
        <v>835</v>
      </c>
      <c r="O1110" s="6" t="s">
        <v>12</v>
      </c>
      <c r="P1110" s="6">
        <v>7</v>
      </c>
      <c r="Q1110" s="6">
        <v>9</v>
      </c>
      <c r="R1110" s="6">
        <v>36</v>
      </c>
      <c r="S1110" s="6">
        <v>52</v>
      </c>
      <c r="T1110" s="6" t="str">
        <f t="shared" si="53"/>
        <v>Cuarta</v>
      </c>
    </row>
    <row r="1111" spans="1:20">
      <c r="A1111" s="7" t="s">
        <v>2389</v>
      </c>
      <c r="B1111" s="7" t="s">
        <v>496</v>
      </c>
      <c r="C1111" s="8">
        <v>1</v>
      </c>
      <c r="D1111" s="7" t="s">
        <v>2389</v>
      </c>
      <c r="E1111" s="7" t="s">
        <v>2410</v>
      </c>
      <c r="F1111">
        <v>1531</v>
      </c>
      <c r="G1111" s="6">
        <v>21558</v>
      </c>
      <c r="H1111" s="11" t="s">
        <v>2411</v>
      </c>
      <c r="I1111" s="6">
        <v>19</v>
      </c>
      <c r="J1111" s="6">
        <v>216</v>
      </c>
      <c r="K1111" s="6">
        <v>384</v>
      </c>
      <c r="L1111" s="6">
        <v>46</v>
      </c>
      <c r="M1111" s="10">
        <f t="shared" si="51"/>
        <v>834.78260869565213</v>
      </c>
      <c r="N1111" s="10">
        <f t="shared" si="52"/>
        <v>835</v>
      </c>
      <c r="O1111" s="6" t="s">
        <v>12</v>
      </c>
      <c r="P1111" s="6">
        <v>7</v>
      </c>
      <c r="Q1111" s="6">
        <v>9</v>
      </c>
      <c r="R1111" s="6">
        <v>36</v>
      </c>
      <c r="S1111" s="6">
        <v>52</v>
      </c>
      <c r="T1111" s="6" t="str">
        <f t="shared" si="53"/>
        <v>Cuarta</v>
      </c>
    </row>
    <row r="1112" spans="1:20">
      <c r="A1112" s="7" t="s">
        <v>2389</v>
      </c>
      <c r="B1112" s="7" t="s">
        <v>496</v>
      </c>
      <c r="C1112" s="8">
        <v>1</v>
      </c>
      <c r="D1112" s="7" t="s">
        <v>2389</v>
      </c>
      <c r="E1112" s="7" t="s">
        <v>2412</v>
      </c>
      <c r="F1112">
        <v>1216</v>
      </c>
      <c r="G1112" s="6">
        <v>21339</v>
      </c>
      <c r="H1112" s="11" t="s">
        <v>2413</v>
      </c>
      <c r="I1112" s="6">
        <v>51</v>
      </c>
      <c r="J1112" s="6">
        <v>42</v>
      </c>
      <c r="K1112" s="6">
        <v>73</v>
      </c>
      <c r="L1112" s="6">
        <v>41</v>
      </c>
      <c r="M1112" s="10">
        <f t="shared" si="51"/>
        <v>178.04878048780489</v>
      </c>
      <c r="N1112" s="10">
        <f t="shared" si="52"/>
        <v>179</v>
      </c>
      <c r="O1112" s="6" t="s">
        <v>19</v>
      </c>
      <c r="P1112" s="6">
        <v>4</v>
      </c>
      <c r="Q1112" s="6">
        <v>2</v>
      </c>
      <c r="R1112" s="6">
        <v>5</v>
      </c>
      <c r="S1112" s="6">
        <v>11</v>
      </c>
      <c r="T1112" s="6" t="str">
        <f t="shared" si="53"/>
        <v>Quinta</v>
      </c>
    </row>
    <row r="1113" spans="1:20">
      <c r="A1113" s="7" t="s">
        <v>2389</v>
      </c>
      <c r="B1113" s="7" t="s">
        <v>496</v>
      </c>
      <c r="C1113" s="8">
        <v>1</v>
      </c>
      <c r="D1113" s="7" t="s">
        <v>2389</v>
      </c>
      <c r="E1113" s="7" t="s">
        <v>2414</v>
      </c>
      <c r="F1113">
        <v>1130</v>
      </c>
      <c r="G1113" s="6">
        <v>28324</v>
      </c>
      <c r="H1113" s="11" t="s">
        <v>2415</v>
      </c>
      <c r="I1113" s="6">
        <v>13</v>
      </c>
      <c r="J1113" s="6">
        <v>18</v>
      </c>
      <c r="K1113" s="6">
        <v>46</v>
      </c>
      <c r="L1113" s="6">
        <v>61</v>
      </c>
      <c r="M1113" s="10">
        <f t="shared" si="51"/>
        <v>75.409836065573771</v>
      </c>
      <c r="N1113" s="10">
        <f t="shared" si="52"/>
        <v>76</v>
      </c>
      <c r="O1113" s="6" t="s">
        <v>12</v>
      </c>
      <c r="P1113" s="6">
        <v>1</v>
      </c>
      <c r="Q1113" s="6">
        <v>2</v>
      </c>
      <c r="R1113" s="6">
        <v>4</v>
      </c>
      <c r="S1113" s="6">
        <v>7</v>
      </c>
      <c r="T1113" s="6" t="str">
        <f t="shared" si="53"/>
        <v>Sexta</v>
      </c>
    </row>
    <row r="1114" spans="1:20">
      <c r="A1114" s="7" t="s">
        <v>2389</v>
      </c>
      <c r="B1114" s="7" t="s">
        <v>496</v>
      </c>
      <c r="C1114" s="8">
        <v>1</v>
      </c>
      <c r="D1114" s="7" t="s">
        <v>2389</v>
      </c>
      <c r="E1114" s="7" t="s">
        <v>2416</v>
      </c>
      <c r="F1114">
        <v>1092</v>
      </c>
      <c r="G1114" s="6">
        <v>16128</v>
      </c>
      <c r="H1114" s="11" t="s">
        <v>2417</v>
      </c>
      <c r="I1114" s="6">
        <v>61</v>
      </c>
      <c r="J1114" s="6">
        <v>83</v>
      </c>
      <c r="K1114" s="6">
        <v>153</v>
      </c>
      <c r="L1114" s="6">
        <v>46</v>
      </c>
      <c r="M1114" s="10">
        <f t="shared" si="51"/>
        <v>332.60869565217394</v>
      </c>
      <c r="N1114" s="10">
        <f t="shared" si="52"/>
        <v>333</v>
      </c>
      <c r="O1114" s="6" t="s">
        <v>18</v>
      </c>
      <c r="P1114" s="6">
        <v>2</v>
      </c>
      <c r="Q1114" s="6">
        <v>3</v>
      </c>
      <c r="R1114" s="6">
        <v>10</v>
      </c>
      <c r="S1114" s="6">
        <v>15</v>
      </c>
      <c r="T1114" s="6" t="str">
        <f t="shared" si="53"/>
        <v>Sexta</v>
      </c>
    </row>
    <row r="1115" spans="1:20">
      <c r="A1115" s="7" t="s">
        <v>2389</v>
      </c>
      <c r="B1115" s="7" t="s">
        <v>496</v>
      </c>
      <c r="C1115" s="8">
        <v>1</v>
      </c>
      <c r="D1115" s="7" t="s">
        <v>2389</v>
      </c>
      <c r="E1115" s="7" t="s">
        <v>2418</v>
      </c>
      <c r="F1115">
        <v>1197</v>
      </c>
      <c r="G1115" s="6">
        <v>14192</v>
      </c>
      <c r="H1115" s="11" t="s">
        <v>2419</v>
      </c>
      <c r="I1115" s="6">
        <v>24</v>
      </c>
      <c r="J1115" s="6">
        <v>83</v>
      </c>
      <c r="K1115" s="6">
        <v>175</v>
      </c>
      <c r="L1115" s="6">
        <v>48</v>
      </c>
      <c r="M1115" s="10">
        <f t="shared" si="51"/>
        <v>364.58333333333331</v>
      </c>
      <c r="N1115" s="10">
        <f t="shared" si="52"/>
        <v>365</v>
      </c>
      <c r="O1115" s="6" t="s">
        <v>39</v>
      </c>
      <c r="P1115" s="6">
        <v>7</v>
      </c>
      <c r="Q1115" s="6">
        <v>6</v>
      </c>
      <c r="R1115" s="6">
        <v>17</v>
      </c>
      <c r="S1115" s="6">
        <v>30</v>
      </c>
      <c r="T1115" s="6" t="str">
        <f t="shared" si="53"/>
        <v>Sexta</v>
      </c>
    </row>
    <row r="1116" spans="1:20">
      <c r="A1116" s="7" t="s">
        <v>2389</v>
      </c>
      <c r="B1116" s="7" t="s">
        <v>496</v>
      </c>
      <c r="C1116" s="8">
        <v>1</v>
      </c>
      <c r="D1116" s="7" t="s">
        <v>2389</v>
      </c>
      <c r="E1116" s="7" t="s">
        <v>2420</v>
      </c>
      <c r="F1116">
        <v>1109</v>
      </c>
      <c r="G1116" s="6">
        <v>28254</v>
      </c>
      <c r="H1116" s="11" t="s">
        <v>2421</v>
      </c>
      <c r="I1116" s="6">
        <v>41</v>
      </c>
      <c r="J1116" s="6">
        <v>38</v>
      </c>
      <c r="K1116" s="6">
        <v>84</v>
      </c>
      <c r="L1116" s="6">
        <v>53</v>
      </c>
      <c r="M1116" s="10">
        <f t="shared" si="51"/>
        <v>158.49056603773585</v>
      </c>
      <c r="N1116" s="10">
        <f t="shared" si="52"/>
        <v>159</v>
      </c>
      <c r="O1116" s="6" t="s">
        <v>26</v>
      </c>
      <c r="P1116" s="6">
        <v>2</v>
      </c>
      <c r="Q1116" s="6">
        <v>3</v>
      </c>
      <c r="R1116" s="6">
        <v>12</v>
      </c>
      <c r="S1116" s="6">
        <v>17</v>
      </c>
      <c r="T1116" s="6" t="str">
        <f t="shared" si="53"/>
        <v>Sexta</v>
      </c>
    </row>
    <row r="1117" spans="1:20">
      <c r="A1117" s="7" t="s">
        <v>2389</v>
      </c>
      <c r="B1117" s="7" t="s">
        <v>496</v>
      </c>
      <c r="C1117" s="8">
        <v>1</v>
      </c>
      <c r="D1117" s="7" t="s">
        <v>2389</v>
      </c>
      <c r="E1117" s="7" t="s">
        <v>2422</v>
      </c>
      <c r="F1117">
        <v>1007</v>
      </c>
      <c r="G1117" s="6">
        <v>25974</v>
      </c>
      <c r="H1117" s="11" t="s">
        <v>2423</v>
      </c>
      <c r="I1117" s="6">
        <v>53</v>
      </c>
      <c r="J1117" s="6">
        <v>132</v>
      </c>
      <c r="K1117" s="6">
        <v>112</v>
      </c>
      <c r="L1117" s="6">
        <v>22</v>
      </c>
      <c r="M1117" s="10">
        <f t="shared" si="51"/>
        <v>509.09090909090907</v>
      </c>
      <c r="N1117" s="10">
        <f t="shared" si="52"/>
        <v>510</v>
      </c>
      <c r="O1117" s="6" t="s">
        <v>12</v>
      </c>
      <c r="P1117" s="6">
        <v>1</v>
      </c>
      <c r="Q1117" s="6">
        <v>2</v>
      </c>
      <c r="R1117" s="6">
        <v>13</v>
      </c>
      <c r="S1117" s="6">
        <v>16</v>
      </c>
      <c r="T1117" s="6" t="str">
        <f t="shared" si="53"/>
        <v>Septima</v>
      </c>
    </row>
    <row r="1118" spans="1:20">
      <c r="A1118" s="7" t="s">
        <v>2389</v>
      </c>
      <c r="B1118" s="7" t="s">
        <v>496</v>
      </c>
      <c r="C1118" s="8">
        <v>1</v>
      </c>
      <c r="D1118" s="7" t="s">
        <v>2389</v>
      </c>
      <c r="E1118" s="7" t="s">
        <v>2424</v>
      </c>
      <c r="F1118">
        <v>1107</v>
      </c>
      <c r="G1118" s="6">
        <v>22603</v>
      </c>
      <c r="H1118" s="11" t="s">
        <v>2425</v>
      </c>
      <c r="I1118" s="6">
        <v>42</v>
      </c>
      <c r="J1118" s="6">
        <v>22</v>
      </c>
      <c r="K1118" s="6">
        <v>50</v>
      </c>
      <c r="L1118" s="6">
        <v>53</v>
      </c>
      <c r="M1118" s="10">
        <f t="shared" si="51"/>
        <v>94.339622641509436</v>
      </c>
      <c r="N1118" s="10">
        <f t="shared" si="52"/>
        <v>95</v>
      </c>
      <c r="O1118" s="6" t="s">
        <v>20</v>
      </c>
      <c r="P1118" s="6">
        <v>1</v>
      </c>
      <c r="Q1118" s="6">
        <v>2</v>
      </c>
      <c r="R1118" s="6">
        <v>5</v>
      </c>
      <c r="S1118" s="6">
        <v>8</v>
      </c>
      <c r="T1118" s="6" t="str">
        <f t="shared" si="53"/>
        <v>Sexta</v>
      </c>
    </row>
    <row r="1119" spans="1:20">
      <c r="A1119" s="7" t="s">
        <v>2389</v>
      </c>
      <c r="B1119" s="7" t="s">
        <v>526</v>
      </c>
      <c r="C1119" s="8">
        <v>1</v>
      </c>
      <c r="D1119" s="7" t="s">
        <v>2389</v>
      </c>
      <c r="E1119" s="7" t="s">
        <v>2412</v>
      </c>
      <c r="F1119">
        <v>1216</v>
      </c>
      <c r="G1119" s="6">
        <v>21339</v>
      </c>
      <c r="H1119" s="11" t="s">
        <v>2413</v>
      </c>
      <c r="I1119" s="6">
        <v>51</v>
      </c>
      <c r="J1119" s="6">
        <v>42</v>
      </c>
      <c r="K1119" s="6">
        <v>73</v>
      </c>
      <c r="L1119" s="6">
        <v>41</v>
      </c>
      <c r="M1119" s="10">
        <f t="shared" si="51"/>
        <v>178.04878048780489</v>
      </c>
      <c r="N1119" s="10">
        <f t="shared" si="52"/>
        <v>179</v>
      </c>
      <c r="O1119" s="6" t="s">
        <v>19</v>
      </c>
      <c r="P1119" s="6">
        <v>4</v>
      </c>
      <c r="Q1119" s="6">
        <v>2</v>
      </c>
      <c r="R1119" s="6">
        <v>5</v>
      </c>
      <c r="S1119" s="6">
        <v>11</v>
      </c>
      <c r="T1119" s="6" t="str">
        <f t="shared" si="53"/>
        <v>Quinta</v>
      </c>
    </row>
    <row r="1120" spans="1:20">
      <c r="A1120" s="7" t="s">
        <v>2389</v>
      </c>
      <c r="B1120" s="7" t="s">
        <v>526</v>
      </c>
      <c r="C1120" s="8">
        <v>1</v>
      </c>
      <c r="D1120" s="7" t="s">
        <v>2389</v>
      </c>
      <c r="E1120" s="7" t="s">
        <v>2414</v>
      </c>
      <c r="F1120">
        <v>1130</v>
      </c>
      <c r="G1120" s="6">
        <v>28324</v>
      </c>
      <c r="H1120" s="11" t="s">
        <v>2415</v>
      </c>
      <c r="I1120" s="6">
        <v>13</v>
      </c>
      <c r="J1120" s="6">
        <v>18</v>
      </c>
      <c r="K1120" s="6">
        <v>46</v>
      </c>
      <c r="L1120" s="6">
        <v>61</v>
      </c>
      <c r="M1120" s="10">
        <f t="shared" si="51"/>
        <v>75.409836065573771</v>
      </c>
      <c r="N1120" s="10">
        <f t="shared" si="52"/>
        <v>76</v>
      </c>
      <c r="O1120" s="6" t="s">
        <v>12</v>
      </c>
      <c r="P1120" s="6">
        <v>1</v>
      </c>
      <c r="Q1120" s="6">
        <v>2</v>
      </c>
      <c r="R1120" s="6">
        <v>4</v>
      </c>
      <c r="S1120" s="6">
        <v>7</v>
      </c>
      <c r="T1120" s="6" t="str">
        <f t="shared" si="53"/>
        <v>Sexta</v>
      </c>
    </row>
    <row r="1121" spans="1:20">
      <c r="A1121" s="7" t="s">
        <v>2389</v>
      </c>
      <c r="B1121" s="7" t="s">
        <v>526</v>
      </c>
      <c r="C1121" s="8">
        <v>1</v>
      </c>
      <c r="D1121" s="7" t="s">
        <v>2389</v>
      </c>
      <c r="E1121" s="7" t="s">
        <v>2416</v>
      </c>
      <c r="F1121">
        <v>1092</v>
      </c>
      <c r="G1121" s="6">
        <v>16128</v>
      </c>
      <c r="H1121" s="11" t="s">
        <v>2417</v>
      </c>
      <c r="I1121" s="6">
        <v>61</v>
      </c>
      <c r="J1121" s="6">
        <v>83</v>
      </c>
      <c r="K1121" s="6">
        <v>153</v>
      </c>
      <c r="L1121" s="6">
        <v>46</v>
      </c>
      <c r="M1121" s="10">
        <f t="shared" si="51"/>
        <v>332.60869565217394</v>
      </c>
      <c r="N1121" s="10">
        <f t="shared" si="52"/>
        <v>333</v>
      </c>
      <c r="O1121" s="6" t="s">
        <v>18</v>
      </c>
      <c r="P1121" s="6">
        <v>2</v>
      </c>
      <c r="Q1121" s="6">
        <v>3</v>
      </c>
      <c r="R1121" s="6">
        <v>10</v>
      </c>
      <c r="S1121" s="6">
        <v>15</v>
      </c>
      <c r="T1121" s="6" t="str">
        <f t="shared" si="53"/>
        <v>Sexta</v>
      </c>
    </row>
    <row r="1122" spans="1:20">
      <c r="A1122" s="7" t="s">
        <v>2389</v>
      </c>
      <c r="B1122" s="7" t="s">
        <v>526</v>
      </c>
      <c r="C1122" s="8">
        <v>1</v>
      </c>
      <c r="D1122" s="7" t="s">
        <v>2389</v>
      </c>
      <c r="E1122" s="7" t="s">
        <v>2418</v>
      </c>
      <c r="F1122">
        <v>1197</v>
      </c>
      <c r="G1122" s="6">
        <v>14192</v>
      </c>
      <c r="H1122" s="11" t="s">
        <v>2419</v>
      </c>
      <c r="I1122" s="6">
        <v>24</v>
      </c>
      <c r="J1122" s="6">
        <v>83</v>
      </c>
      <c r="K1122" s="6">
        <v>175</v>
      </c>
      <c r="L1122" s="6">
        <v>48</v>
      </c>
      <c r="M1122" s="10">
        <f t="shared" si="51"/>
        <v>364.58333333333331</v>
      </c>
      <c r="N1122" s="10">
        <f t="shared" si="52"/>
        <v>365</v>
      </c>
      <c r="O1122" s="6" t="s">
        <v>39</v>
      </c>
      <c r="P1122" s="6">
        <v>7</v>
      </c>
      <c r="Q1122" s="6">
        <v>6</v>
      </c>
      <c r="R1122" s="6">
        <v>17</v>
      </c>
      <c r="S1122" s="6">
        <v>30</v>
      </c>
      <c r="T1122" s="6" t="str">
        <f t="shared" si="53"/>
        <v>Sexta</v>
      </c>
    </row>
    <row r="1123" spans="1:20">
      <c r="A1123" s="7" t="s">
        <v>2389</v>
      </c>
      <c r="B1123" s="7" t="s">
        <v>526</v>
      </c>
      <c r="C1123" s="8">
        <v>1</v>
      </c>
      <c r="D1123" s="7" t="s">
        <v>2389</v>
      </c>
      <c r="E1123" s="7" t="s">
        <v>2420</v>
      </c>
      <c r="F1123">
        <v>1109</v>
      </c>
      <c r="G1123" s="6">
        <v>28254</v>
      </c>
      <c r="H1123" s="11" t="s">
        <v>2421</v>
      </c>
      <c r="I1123" s="6">
        <v>41</v>
      </c>
      <c r="J1123" s="6">
        <v>38</v>
      </c>
      <c r="K1123" s="6">
        <v>84</v>
      </c>
      <c r="L1123" s="6">
        <v>53</v>
      </c>
      <c r="M1123" s="10">
        <f t="shared" si="51"/>
        <v>158.49056603773585</v>
      </c>
      <c r="N1123" s="10">
        <f t="shared" si="52"/>
        <v>159</v>
      </c>
      <c r="O1123" s="6" t="s">
        <v>26</v>
      </c>
      <c r="P1123" s="6">
        <v>2</v>
      </c>
      <c r="Q1123" s="6">
        <v>3</v>
      </c>
      <c r="R1123" s="6">
        <v>12</v>
      </c>
      <c r="S1123" s="6">
        <v>17</v>
      </c>
      <c r="T1123" s="6" t="str">
        <f t="shared" si="53"/>
        <v>Sexta</v>
      </c>
    </row>
    <row r="1124" spans="1:20">
      <c r="A1124" s="7" t="s">
        <v>2389</v>
      </c>
      <c r="B1124" s="7" t="s">
        <v>526</v>
      </c>
      <c r="C1124" s="8">
        <v>1</v>
      </c>
      <c r="D1124" s="7" t="s">
        <v>2389</v>
      </c>
      <c r="E1124" s="7" t="s">
        <v>2422</v>
      </c>
      <c r="F1124">
        <v>1007</v>
      </c>
      <c r="G1124" s="6">
        <v>25974</v>
      </c>
      <c r="H1124" s="11" t="s">
        <v>2423</v>
      </c>
      <c r="I1124" s="6">
        <v>53</v>
      </c>
      <c r="J1124" s="6">
        <v>132</v>
      </c>
      <c r="K1124" s="6">
        <v>112</v>
      </c>
      <c r="L1124" s="6">
        <v>22</v>
      </c>
      <c r="M1124" s="10">
        <f t="shared" si="51"/>
        <v>509.09090909090907</v>
      </c>
      <c r="N1124" s="10">
        <f t="shared" si="52"/>
        <v>510</v>
      </c>
      <c r="O1124" s="6" t="s">
        <v>12</v>
      </c>
      <c r="P1124" s="6">
        <v>1</v>
      </c>
      <c r="Q1124" s="6">
        <v>2</v>
      </c>
      <c r="R1124" s="6">
        <v>13</v>
      </c>
      <c r="S1124" s="6">
        <v>16</v>
      </c>
      <c r="T1124" s="6" t="str">
        <f t="shared" si="53"/>
        <v>Septima</v>
      </c>
    </row>
    <row r="1125" spans="1:20">
      <c r="A1125" s="7" t="s">
        <v>2389</v>
      </c>
      <c r="B1125" s="7" t="s">
        <v>526</v>
      </c>
      <c r="C1125" s="8">
        <v>1</v>
      </c>
      <c r="D1125" s="7" t="s">
        <v>2389</v>
      </c>
      <c r="E1125" s="7" t="s">
        <v>2426</v>
      </c>
      <c r="F1125">
        <v>0</v>
      </c>
      <c r="G1125" s="6">
        <v>29534</v>
      </c>
      <c r="H1125" s="11" t="s">
        <v>2427</v>
      </c>
      <c r="I1125" s="6">
        <v>59</v>
      </c>
      <c r="M1125" s="10">
        <f t="shared" si="51"/>
        <v>0</v>
      </c>
      <c r="N1125" s="10">
        <f t="shared" si="52"/>
        <v>0</v>
      </c>
      <c r="P1125" s="6">
        <v>0</v>
      </c>
      <c r="Q1125" s="6">
        <v>0</v>
      </c>
      <c r="R1125" s="6">
        <v>0</v>
      </c>
      <c r="S1125" s="6">
        <v>0</v>
      </c>
      <c r="T1125" s="6" t="str">
        <f t="shared" si="53"/>
        <v>Octava</v>
      </c>
    </row>
    <row r="1126" spans="1:20">
      <c r="A1126" s="7" t="s">
        <v>2389</v>
      </c>
      <c r="B1126" s="7" t="s">
        <v>526</v>
      </c>
      <c r="C1126" s="8">
        <v>1</v>
      </c>
      <c r="D1126" s="7" t="s">
        <v>2389</v>
      </c>
      <c r="E1126" s="7" t="s">
        <v>2424</v>
      </c>
      <c r="F1126">
        <v>1107</v>
      </c>
      <c r="G1126" s="6">
        <v>22603</v>
      </c>
      <c r="H1126" s="11" t="s">
        <v>2425</v>
      </c>
      <c r="I1126" s="6">
        <v>42</v>
      </c>
      <c r="J1126" s="6">
        <v>22</v>
      </c>
      <c r="K1126" s="6">
        <v>50</v>
      </c>
      <c r="L1126" s="6">
        <v>53</v>
      </c>
      <c r="M1126" s="10">
        <f t="shared" si="51"/>
        <v>94.339622641509436</v>
      </c>
      <c r="N1126" s="10">
        <f t="shared" si="52"/>
        <v>95</v>
      </c>
      <c r="O1126" s="6" t="s">
        <v>20</v>
      </c>
      <c r="P1126" s="6">
        <v>1</v>
      </c>
      <c r="Q1126" s="6">
        <v>2</v>
      </c>
      <c r="R1126" s="6">
        <v>5</v>
      </c>
      <c r="S1126" s="6">
        <v>8</v>
      </c>
      <c r="T1126" s="6" t="str">
        <f t="shared" si="53"/>
        <v>Sexta</v>
      </c>
    </row>
    <row r="1127" spans="1:20">
      <c r="A1127" s="7" t="s">
        <v>2428</v>
      </c>
      <c r="B1127" s="7" t="s">
        <v>434</v>
      </c>
      <c r="C1127" s="8">
        <v>1</v>
      </c>
      <c r="D1127" s="7" t="s">
        <v>2428</v>
      </c>
      <c r="E1127" s="7" t="s">
        <v>1807</v>
      </c>
      <c r="F1127">
        <v>2240</v>
      </c>
      <c r="G1127" s="6">
        <v>14530</v>
      </c>
      <c r="H1127" s="11" t="s">
        <v>1808</v>
      </c>
      <c r="I1127" s="6">
        <v>29</v>
      </c>
      <c r="J1127" s="6">
        <v>1</v>
      </c>
      <c r="K1127" s="6">
        <v>2</v>
      </c>
      <c r="L1127" s="6">
        <v>50</v>
      </c>
      <c r="M1127" s="10">
        <f t="shared" si="51"/>
        <v>4</v>
      </c>
      <c r="N1127" s="10">
        <f t="shared" si="52"/>
        <v>4</v>
      </c>
      <c r="O1127" s="6" t="s">
        <v>233</v>
      </c>
      <c r="P1127" s="6">
        <v>0</v>
      </c>
      <c r="Q1127" s="6">
        <v>0</v>
      </c>
      <c r="R1127" s="6">
        <v>0</v>
      </c>
      <c r="S1127" s="6">
        <v>0</v>
      </c>
      <c r="T1127" s="6" t="str">
        <f t="shared" si="53"/>
        <v>Primera</v>
      </c>
    </row>
    <row r="1128" spans="1:20">
      <c r="A1128" s="7" t="s">
        <v>2428</v>
      </c>
      <c r="B1128" s="7" t="s">
        <v>434</v>
      </c>
      <c r="C1128" s="8">
        <v>1</v>
      </c>
      <c r="D1128" s="7" t="s">
        <v>2428</v>
      </c>
      <c r="E1128" s="7" t="s">
        <v>2429</v>
      </c>
      <c r="F1128">
        <v>2226</v>
      </c>
      <c r="G1128" s="6">
        <v>14512</v>
      </c>
      <c r="H1128" s="11" t="s">
        <v>2430</v>
      </c>
      <c r="I1128" s="6">
        <v>65</v>
      </c>
      <c r="J1128" s="6">
        <v>1</v>
      </c>
      <c r="K1128" s="6">
        <v>3</v>
      </c>
      <c r="L1128" s="6">
        <v>75</v>
      </c>
      <c r="M1128" s="10">
        <f t="shared" si="51"/>
        <v>4</v>
      </c>
      <c r="N1128" s="10">
        <f t="shared" si="52"/>
        <v>4</v>
      </c>
      <c r="O1128" s="6" t="s">
        <v>296</v>
      </c>
      <c r="P1128" s="6">
        <v>0</v>
      </c>
      <c r="Q1128" s="6">
        <v>0</v>
      </c>
      <c r="R1128" s="6">
        <v>0</v>
      </c>
      <c r="S1128" s="6">
        <v>0</v>
      </c>
      <c r="T1128" s="6" t="str">
        <f t="shared" si="53"/>
        <v>Primera</v>
      </c>
    </row>
    <row r="1129" spans="1:20">
      <c r="A1129" s="7" t="s">
        <v>2428</v>
      </c>
      <c r="B1129" s="7" t="s">
        <v>434</v>
      </c>
      <c r="C1129" s="8">
        <v>1</v>
      </c>
      <c r="D1129" s="7" t="s">
        <v>2428</v>
      </c>
      <c r="E1129" s="7" t="s">
        <v>2431</v>
      </c>
      <c r="F1129">
        <v>2191</v>
      </c>
      <c r="G1129" s="6">
        <v>4520</v>
      </c>
      <c r="H1129" s="11" t="s">
        <v>1474</v>
      </c>
      <c r="I1129" s="6">
        <v>32</v>
      </c>
      <c r="J1129" s="6">
        <v>42</v>
      </c>
      <c r="K1129" s="6">
        <v>158</v>
      </c>
      <c r="L1129" s="6">
        <v>65</v>
      </c>
      <c r="M1129" s="10">
        <f t="shared" si="51"/>
        <v>243.07692307692307</v>
      </c>
      <c r="N1129" s="10">
        <f t="shared" si="52"/>
        <v>244</v>
      </c>
      <c r="O1129" s="6" t="s">
        <v>11</v>
      </c>
      <c r="P1129" s="6">
        <v>6</v>
      </c>
      <c r="Q1129" s="6">
        <v>3</v>
      </c>
      <c r="R1129" s="6">
        <v>8</v>
      </c>
      <c r="S1129" s="6">
        <v>17</v>
      </c>
      <c r="T1129" s="6" t="str">
        <f t="shared" si="53"/>
        <v>Primera</v>
      </c>
    </row>
    <row r="1130" spans="1:20">
      <c r="A1130" s="7" t="s">
        <v>2428</v>
      </c>
      <c r="B1130" s="7" t="s">
        <v>434</v>
      </c>
      <c r="C1130" s="8">
        <v>1</v>
      </c>
      <c r="D1130" s="7" t="s">
        <v>2428</v>
      </c>
      <c r="E1130" s="7" t="s">
        <v>2432</v>
      </c>
      <c r="F1130">
        <v>0</v>
      </c>
      <c r="G1130" s="6">
        <v>27755</v>
      </c>
      <c r="H1130" s="11" t="s">
        <v>2433</v>
      </c>
      <c r="I1130" s="6">
        <v>38</v>
      </c>
      <c r="M1130" s="10">
        <f t="shared" si="51"/>
        <v>0</v>
      </c>
      <c r="N1130" s="10">
        <f t="shared" si="52"/>
        <v>0</v>
      </c>
      <c r="P1130" s="6">
        <v>0</v>
      </c>
      <c r="Q1130" s="6">
        <v>0</v>
      </c>
      <c r="R1130" s="6">
        <v>0</v>
      </c>
      <c r="S1130" s="6">
        <v>0</v>
      </c>
      <c r="T1130" s="6" t="str">
        <f t="shared" si="53"/>
        <v>Octava</v>
      </c>
    </row>
    <row r="1131" spans="1:20">
      <c r="A1131" s="7" t="s">
        <v>2428</v>
      </c>
      <c r="B1131" s="7" t="s">
        <v>451</v>
      </c>
      <c r="C1131" s="8">
        <v>1</v>
      </c>
      <c r="D1131" s="7" t="s">
        <v>2428</v>
      </c>
      <c r="E1131" s="7" t="s">
        <v>2431</v>
      </c>
      <c r="F1131">
        <v>2191</v>
      </c>
      <c r="G1131" s="6">
        <v>4520</v>
      </c>
      <c r="H1131" s="11" t="s">
        <v>1474</v>
      </c>
      <c r="I1131" s="6">
        <v>32</v>
      </c>
      <c r="J1131" s="6">
        <v>42</v>
      </c>
      <c r="K1131" s="6">
        <v>158</v>
      </c>
      <c r="L1131" s="6">
        <v>65</v>
      </c>
      <c r="M1131" s="10">
        <f t="shared" si="51"/>
        <v>243.07692307692307</v>
      </c>
      <c r="N1131" s="10">
        <f t="shared" si="52"/>
        <v>244</v>
      </c>
      <c r="O1131" s="6" t="s">
        <v>11</v>
      </c>
      <c r="P1131" s="6">
        <v>6</v>
      </c>
      <c r="Q1131" s="6">
        <v>3</v>
      </c>
      <c r="R1131" s="6">
        <v>8</v>
      </c>
      <c r="S1131" s="6">
        <v>17</v>
      </c>
      <c r="T1131" s="6" t="str">
        <f t="shared" si="53"/>
        <v>Primera</v>
      </c>
    </row>
    <row r="1132" spans="1:20">
      <c r="A1132" s="7" t="s">
        <v>2428</v>
      </c>
      <c r="B1132" s="7" t="s">
        <v>451</v>
      </c>
      <c r="C1132" s="8">
        <v>1</v>
      </c>
      <c r="D1132" s="7" t="s">
        <v>2428</v>
      </c>
      <c r="E1132" s="7" t="s">
        <v>2434</v>
      </c>
      <c r="F1132">
        <v>1000</v>
      </c>
      <c r="G1132" s="6">
        <v>2868</v>
      </c>
      <c r="H1132" s="11" t="s">
        <v>2435</v>
      </c>
      <c r="I1132" s="6">
        <v>42</v>
      </c>
      <c r="J1132" s="6">
        <v>0</v>
      </c>
      <c r="K1132" s="6">
        <v>0</v>
      </c>
      <c r="L1132" s="6">
        <v>0</v>
      </c>
      <c r="M1132" s="10">
        <f t="shared" si="51"/>
        <v>0</v>
      </c>
      <c r="N1132" s="10">
        <f t="shared" si="52"/>
        <v>0</v>
      </c>
      <c r="P1132" s="6">
        <v>0</v>
      </c>
      <c r="Q1132" s="6">
        <v>0</v>
      </c>
      <c r="R1132" s="6">
        <v>0</v>
      </c>
      <c r="S1132" s="6">
        <v>0</v>
      </c>
      <c r="T1132" s="6" t="str">
        <f t="shared" si="53"/>
        <v>Septima</v>
      </c>
    </row>
    <row r="1133" spans="1:20">
      <c r="A1133" s="7" t="s">
        <v>2428</v>
      </c>
      <c r="B1133" s="7" t="s">
        <v>451</v>
      </c>
      <c r="C1133" s="8">
        <v>1</v>
      </c>
      <c r="D1133" s="7" t="s">
        <v>2428</v>
      </c>
      <c r="E1133" s="7" t="s">
        <v>2436</v>
      </c>
      <c r="F1133">
        <v>1810</v>
      </c>
      <c r="G1133" s="6">
        <v>22623</v>
      </c>
      <c r="H1133" s="11" t="s">
        <v>2437</v>
      </c>
      <c r="I1133" s="6">
        <v>29</v>
      </c>
      <c r="J1133" s="6">
        <v>4</v>
      </c>
      <c r="K1133" s="6">
        <v>17</v>
      </c>
      <c r="L1133" s="6">
        <v>81</v>
      </c>
      <c r="M1133" s="10">
        <f t="shared" si="51"/>
        <v>20.987654320987655</v>
      </c>
      <c r="N1133" s="10">
        <f t="shared" si="52"/>
        <v>21</v>
      </c>
      <c r="O1133" s="6" t="s">
        <v>127</v>
      </c>
      <c r="P1133" s="6">
        <v>1</v>
      </c>
      <c r="Q1133" s="6">
        <v>0</v>
      </c>
      <c r="R1133" s="6">
        <v>2</v>
      </c>
      <c r="S1133" s="6">
        <v>3</v>
      </c>
      <c r="T1133" s="6" t="str">
        <f t="shared" si="53"/>
        <v>Segunda</v>
      </c>
    </row>
    <row r="1134" spans="1:20">
      <c r="A1134" s="7" t="s">
        <v>2428</v>
      </c>
      <c r="B1134" s="7" t="s">
        <v>451</v>
      </c>
      <c r="C1134" s="8">
        <v>1</v>
      </c>
      <c r="D1134" s="7" t="s">
        <v>2428</v>
      </c>
      <c r="E1134" s="7" t="s">
        <v>2432</v>
      </c>
      <c r="F1134">
        <v>0</v>
      </c>
      <c r="G1134" s="6">
        <v>27755</v>
      </c>
      <c r="H1134" s="11" t="s">
        <v>2433</v>
      </c>
      <c r="I1134" s="6">
        <v>38</v>
      </c>
      <c r="M1134" s="10">
        <f t="shared" si="51"/>
        <v>0</v>
      </c>
      <c r="N1134" s="10">
        <f t="shared" si="52"/>
        <v>0</v>
      </c>
      <c r="P1134" s="6">
        <v>0</v>
      </c>
      <c r="Q1134" s="6">
        <v>0</v>
      </c>
      <c r="R1134" s="6">
        <v>0</v>
      </c>
      <c r="S1134" s="6">
        <v>0</v>
      </c>
      <c r="T1134" s="6" t="str">
        <f t="shared" si="53"/>
        <v>Octava</v>
      </c>
    </row>
    <row r="1135" spans="1:20">
      <c r="A1135" s="7" t="s">
        <v>2438</v>
      </c>
      <c r="B1135" s="7" t="s">
        <v>434</v>
      </c>
      <c r="C1135" s="8">
        <v>1</v>
      </c>
      <c r="D1135" s="7" t="s">
        <v>2438</v>
      </c>
      <c r="E1135" s="7" t="s">
        <v>2439</v>
      </c>
      <c r="F1135">
        <v>2231</v>
      </c>
      <c r="G1135" s="6">
        <v>5847</v>
      </c>
      <c r="H1135" s="11" t="s">
        <v>2440</v>
      </c>
      <c r="I1135" s="6">
        <v>47</v>
      </c>
      <c r="J1135" s="6">
        <v>60</v>
      </c>
      <c r="K1135" s="6">
        <v>217</v>
      </c>
      <c r="L1135" s="6">
        <v>63</v>
      </c>
      <c r="M1135" s="10">
        <f t="shared" si="51"/>
        <v>344.44444444444446</v>
      </c>
      <c r="N1135" s="10">
        <f t="shared" si="52"/>
        <v>345</v>
      </c>
      <c r="O1135" s="6" t="s">
        <v>297</v>
      </c>
      <c r="P1135" s="6">
        <v>6</v>
      </c>
      <c r="Q1135" s="6">
        <v>9</v>
      </c>
      <c r="R1135" s="6">
        <v>9</v>
      </c>
      <c r="S1135" s="6">
        <v>24</v>
      </c>
      <c r="T1135" s="6" t="str">
        <f t="shared" si="53"/>
        <v>Primera</v>
      </c>
    </row>
    <row r="1136" spans="1:20">
      <c r="A1136" s="7" t="s">
        <v>2438</v>
      </c>
      <c r="B1136" s="7" t="s">
        <v>434</v>
      </c>
      <c r="C1136" s="8">
        <v>1</v>
      </c>
      <c r="D1136" s="7" t="s">
        <v>2438</v>
      </c>
      <c r="E1136" s="7" t="s">
        <v>2441</v>
      </c>
      <c r="F1136">
        <v>2309</v>
      </c>
      <c r="G1136" s="6">
        <v>1054</v>
      </c>
      <c r="H1136" s="11" t="s">
        <v>2442</v>
      </c>
      <c r="I1136" s="6">
        <v>38</v>
      </c>
      <c r="J1136" s="6">
        <v>60</v>
      </c>
      <c r="K1136" s="6">
        <v>212</v>
      </c>
      <c r="L1136" s="6">
        <v>71</v>
      </c>
      <c r="M1136" s="10">
        <f t="shared" si="51"/>
        <v>298.59154929577466</v>
      </c>
      <c r="N1136" s="10">
        <f t="shared" si="52"/>
        <v>299</v>
      </c>
      <c r="O1136" s="6" t="s">
        <v>298</v>
      </c>
      <c r="P1136" s="6">
        <v>10</v>
      </c>
      <c r="Q1136" s="6">
        <v>11</v>
      </c>
      <c r="R1136" s="6">
        <v>11</v>
      </c>
      <c r="S1136" s="6">
        <v>32</v>
      </c>
      <c r="T1136" s="6" t="str">
        <f t="shared" si="53"/>
        <v>Primera</v>
      </c>
    </row>
    <row r="1137" spans="1:20">
      <c r="A1137" s="7" t="s">
        <v>2438</v>
      </c>
      <c r="B1137" s="7" t="s">
        <v>434</v>
      </c>
      <c r="C1137" s="8">
        <v>1</v>
      </c>
      <c r="D1137" s="7" t="s">
        <v>2438</v>
      </c>
      <c r="E1137" s="7" t="s">
        <v>2443</v>
      </c>
      <c r="F1137">
        <v>2209</v>
      </c>
      <c r="G1137" s="6">
        <v>13620</v>
      </c>
      <c r="H1137" s="11" t="s">
        <v>2444</v>
      </c>
      <c r="I1137" s="6">
        <v>26</v>
      </c>
      <c r="J1137" s="6">
        <v>49</v>
      </c>
      <c r="K1137" s="6">
        <v>185</v>
      </c>
      <c r="L1137" s="6">
        <v>62</v>
      </c>
      <c r="M1137" s="10">
        <f t="shared" si="51"/>
        <v>298.38709677419354</v>
      </c>
      <c r="N1137" s="10">
        <f t="shared" si="52"/>
        <v>299</v>
      </c>
      <c r="O1137" s="6" t="s">
        <v>25</v>
      </c>
      <c r="P1137" s="6">
        <v>10</v>
      </c>
      <c r="Q1137" s="6">
        <v>1</v>
      </c>
      <c r="R1137" s="6">
        <v>7</v>
      </c>
      <c r="S1137" s="6">
        <v>18</v>
      </c>
      <c r="T1137" s="6" t="str">
        <f t="shared" si="53"/>
        <v>Primera</v>
      </c>
    </row>
    <row r="1138" spans="1:20">
      <c r="A1138" s="7" t="s">
        <v>2438</v>
      </c>
      <c r="B1138" s="7" t="s">
        <v>434</v>
      </c>
      <c r="C1138" s="8">
        <v>1</v>
      </c>
      <c r="D1138" s="7" t="s">
        <v>2438</v>
      </c>
      <c r="E1138" s="7" t="s">
        <v>2445</v>
      </c>
      <c r="F1138">
        <v>2005</v>
      </c>
      <c r="G1138" s="6">
        <v>1365</v>
      </c>
      <c r="H1138" s="11" t="s">
        <v>2446</v>
      </c>
      <c r="I1138" s="6">
        <v>44</v>
      </c>
      <c r="J1138" s="6">
        <v>97</v>
      </c>
      <c r="K1138" s="6">
        <v>304</v>
      </c>
      <c r="L1138" s="6">
        <v>53</v>
      </c>
      <c r="M1138" s="10">
        <f t="shared" si="51"/>
        <v>573.58490566037733</v>
      </c>
      <c r="N1138" s="10">
        <f t="shared" si="52"/>
        <v>574</v>
      </c>
      <c r="O1138" s="6" t="s">
        <v>21</v>
      </c>
      <c r="P1138" s="6">
        <v>7</v>
      </c>
      <c r="Q1138" s="6">
        <v>8</v>
      </c>
      <c r="R1138" s="6">
        <v>17</v>
      </c>
      <c r="S1138" s="6">
        <v>32</v>
      </c>
      <c r="T1138" s="6" t="str">
        <f t="shared" si="53"/>
        <v>Segunda</v>
      </c>
    </row>
    <row r="1139" spans="1:20">
      <c r="A1139" s="7" t="s">
        <v>2438</v>
      </c>
      <c r="B1139" s="7" t="s">
        <v>434</v>
      </c>
      <c r="C1139" s="8">
        <v>1</v>
      </c>
      <c r="D1139" s="7" t="s">
        <v>2438</v>
      </c>
      <c r="E1139" s="7" t="s">
        <v>2447</v>
      </c>
      <c r="F1139">
        <v>1922</v>
      </c>
      <c r="G1139" s="6">
        <v>550</v>
      </c>
      <c r="H1139" s="11" t="s">
        <v>2448</v>
      </c>
      <c r="I1139" s="6">
        <v>37</v>
      </c>
      <c r="J1139" s="6">
        <v>181</v>
      </c>
      <c r="K1139" s="6">
        <v>558</v>
      </c>
      <c r="L1139" s="6">
        <v>58</v>
      </c>
      <c r="M1139" s="10">
        <f t="shared" si="51"/>
        <v>962.06896551724139</v>
      </c>
      <c r="N1139" s="10">
        <f t="shared" si="52"/>
        <v>963</v>
      </c>
      <c r="O1139" s="6" t="s">
        <v>9</v>
      </c>
      <c r="P1139" s="6">
        <v>19</v>
      </c>
      <c r="Q1139" s="6">
        <v>18</v>
      </c>
      <c r="R1139" s="6">
        <v>36</v>
      </c>
      <c r="S1139" s="6">
        <v>73</v>
      </c>
      <c r="T1139" s="6" t="str">
        <f t="shared" si="53"/>
        <v>Segunda</v>
      </c>
    </row>
    <row r="1140" spans="1:20">
      <c r="A1140" s="7" t="s">
        <v>2438</v>
      </c>
      <c r="B1140" s="7" t="s">
        <v>434</v>
      </c>
      <c r="C1140" s="8">
        <v>1</v>
      </c>
      <c r="D1140" s="7" t="s">
        <v>2438</v>
      </c>
      <c r="E1140" s="7" t="s">
        <v>2449</v>
      </c>
      <c r="F1140">
        <v>1808</v>
      </c>
      <c r="G1140" s="6">
        <v>14942</v>
      </c>
      <c r="H1140" s="11" t="s">
        <v>2450</v>
      </c>
      <c r="I1140" s="6">
        <v>51</v>
      </c>
      <c r="J1140" s="6">
        <v>470</v>
      </c>
      <c r="K1140" s="6">
        <v>1349</v>
      </c>
      <c r="L1140" s="6">
        <v>64</v>
      </c>
      <c r="M1140" s="10">
        <f t="shared" si="51"/>
        <v>2107.8125</v>
      </c>
      <c r="N1140" s="10">
        <f t="shared" si="52"/>
        <v>2108</v>
      </c>
      <c r="O1140" s="6" t="s">
        <v>12</v>
      </c>
      <c r="P1140" s="6">
        <v>64</v>
      </c>
      <c r="Q1140" s="6">
        <v>36</v>
      </c>
      <c r="R1140" s="6">
        <v>96</v>
      </c>
      <c r="S1140" s="6">
        <v>196</v>
      </c>
      <c r="T1140" s="6" t="str">
        <f t="shared" si="53"/>
        <v>Segunda</v>
      </c>
    </row>
    <row r="1141" spans="1:20">
      <c r="A1141" s="7" t="s">
        <v>2438</v>
      </c>
      <c r="B1141" s="7" t="s">
        <v>496</v>
      </c>
      <c r="C1141" s="8">
        <v>1</v>
      </c>
      <c r="D1141" s="7" t="s">
        <v>2451</v>
      </c>
      <c r="E1141" s="7" t="s">
        <v>2452</v>
      </c>
      <c r="F1141">
        <v>1516</v>
      </c>
      <c r="G1141" s="6">
        <v>26814</v>
      </c>
      <c r="H1141" s="11" t="s">
        <v>2453</v>
      </c>
      <c r="I1141" s="6">
        <v>11</v>
      </c>
      <c r="J1141" s="6">
        <v>12</v>
      </c>
      <c r="K1141" s="6">
        <v>50</v>
      </c>
      <c r="L1141" s="6">
        <v>68</v>
      </c>
      <c r="M1141" s="10">
        <f t="shared" si="51"/>
        <v>73.529411764705884</v>
      </c>
      <c r="N1141" s="10">
        <f t="shared" si="52"/>
        <v>74</v>
      </c>
      <c r="O1141" s="6" t="s">
        <v>37</v>
      </c>
      <c r="P1141" s="6">
        <v>3</v>
      </c>
      <c r="Q1141" s="6">
        <v>1</v>
      </c>
      <c r="R1141" s="6">
        <v>2</v>
      </c>
      <c r="S1141" s="6">
        <v>6</v>
      </c>
      <c r="T1141" s="6" t="str">
        <f t="shared" si="53"/>
        <v>Cuarta</v>
      </c>
    </row>
    <row r="1142" spans="1:20">
      <c r="A1142" s="7" t="s">
        <v>2438</v>
      </c>
      <c r="B1142" s="7" t="s">
        <v>496</v>
      </c>
      <c r="C1142" s="8">
        <v>1</v>
      </c>
      <c r="D1142" s="7" t="s">
        <v>2451</v>
      </c>
      <c r="E1142" s="7" t="s">
        <v>2454</v>
      </c>
      <c r="F1142">
        <v>1290</v>
      </c>
      <c r="G1142" s="6">
        <v>27095</v>
      </c>
      <c r="H1142" s="11" t="s">
        <v>2455</v>
      </c>
      <c r="I1142" s="6">
        <v>28</v>
      </c>
      <c r="J1142" s="6">
        <v>8</v>
      </c>
      <c r="K1142" s="6">
        <v>28</v>
      </c>
      <c r="L1142" s="6">
        <v>74</v>
      </c>
      <c r="M1142" s="10">
        <f t="shared" si="51"/>
        <v>37.837837837837839</v>
      </c>
      <c r="N1142" s="10">
        <f t="shared" si="52"/>
        <v>38</v>
      </c>
      <c r="O1142" s="6" t="s">
        <v>273</v>
      </c>
      <c r="P1142" s="6">
        <v>2</v>
      </c>
      <c r="Q1142" s="6">
        <v>0</v>
      </c>
      <c r="R1142" s="6">
        <v>3</v>
      </c>
      <c r="S1142" s="6">
        <v>5</v>
      </c>
      <c r="T1142" s="6" t="str">
        <f t="shared" si="53"/>
        <v>Quinta</v>
      </c>
    </row>
    <row r="1143" spans="1:20">
      <c r="A1143" s="7" t="s">
        <v>2438</v>
      </c>
      <c r="B1143" s="7" t="s">
        <v>496</v>
      </c>
      <c r="C1143" s="8">
        <v>1</v>
      </c>
      <c r="D1143" s="7" t="s">
        <v>2451</v>
      </c>
      <c r="E1143" s="7" t="s">
        <v>2456</v>
      </c>
      <c r="F1143">
        <v>1295</v>
      </c>
      <c r="G1143" s="6">
        <v>26868</v>
      </c>
      <c r="H1143" s="11" t="s">
        <v>2457</v>
      </c>
      <c r="I1143" s="6">
        <v>11</v>
      </c>
      <c r="J1143" s="6">
        <v>7</v>
      </c>
      <c r="K1143" s="6">
        <v>32</v>
      </c>
      <c r="L1143" s="6">
        <v>70</v>
      </c>
      <c r="M1143" s="10">
        <f t="shared" si="51"/>
        <v>45.714285714285715</v>
      </c>
      <c r="N1143" s="10">
        <f t="shared" si="52"/>
        <v>46</v>
      </c>
      <c r="O1143" s="6" t="s">
        <v>70</v>
      </c>
      <c r="P1143" s="6">
        <v>2</v>
      </c>
      <c r="Q1143" s="6">
        <v>0</v>
      </c>
      <c r="R1143" s="6">
        <v>1</v>
      </c>
      <c r="S1143" s="6">
        <v>3</v>
      </c>
      <c r="T1143" s="6" t="str">
        <f t="shared" si="53"/>
        <v>Quinta</v>
      </c>
    </row>
    <row r="1144" spans="1:20">
      <c r="A1144" s="7" t="s">
        <v>2438</v>
      </c>
      <c r="B1144" s="7" t="s">
        <v>496</v>
      </c>
      <c r="C1144" s="8">
        <v>1</v>
      </c>
      <c r="D1144" s="7" t="s">
        <v>2451</v>
      </c>
      <c r="E1144" s="7" t="s">
        <v>2458</v>
      </c>
      <c r="F1144">
        <v>1237</v>
      </c>
      <c r="G1144" s="6">
        <v>14240</v>
      </c>
      <c r="H1144" s="11" t="s">
        <v>2459</v>
      </c>
      <c r="I1144" s="6">
        <v>45</v>
      </c>
      <c r="J1144" s="6">
        <v>50</v>
      </c>
      <c r="K1144" s="6">
        <v>100</v>
      </c>
      <c r="L1144" s="6">
        <v>43</v>
      </c>
      <c r="M1144" s="10">
        <f t="shared" si="51"/>
        <v>232.55813953488371</v>
      </c>
      <c r="N1144" s="10">
        <f t="shared" si="52"/>
        <v>233</v>
      </c>
      <c r="O1144" s="6" t="s">
        <v>299</v>
      </c>
      <c r="P1144" s="6">
        <v>0</v>
      </c>
      <c r="Q1144" s="6">
        <v>3</v>
      </c>
      <c r="R1144" s="6">
        <v>6</v>
      </c>
      <c r="S1144" s="6">
        <v>9</v>
      </c>
      <c r="T1144" s="6" t="str">
        <f t="shared" si="53"/>
        <v>Quinta</v>
      </c>
    </row>
    <row r="1145" spans="1:20">
      <c r="A1145" s="7" t="s">
        <v>2438</v>
      </c>
      <c r="B1145" s="7" t="s">
        <v>496</v>
      </c>
      <c r="C1145" s="8">
        <v>1</v>
      </c>
      <c r="D1145" s="7" t="s">
        <v>2451</v>
      </c>
      <c r="E1145" s="7" t="s">
        <v>2460</v>
      </c>
      <c r="F1145">
        <v>1255</v>
      </c>
      <c r="G1145" s="6">
        <v>26229</v>
      </c>
      <c r="H1145" s="11" t="s">
        <v>2461</v>
      </c>
      <c r="I1145" s="6">
        <v>11</v>
      </c>
      <c r="J1145" s="6">
        <v>8</v>
      </c>
      <c r="K1145" s="6">
        <v>28</v>
      </c>
      <c r="L1145" s="6">
        <v>64</v>
      </c>
      <c r="M1145" s="10">
        <f t="shared" si="51"/>
        <v>43.75</v>
      </c>
      <c r="N1145" s="10">
        <f t="shared" si="52"/>
        <v>44</v>
      </c>
      <c r="O1145" s="6" t="s">
        <v>9</v>
      </c>
      <c r="P1145" s="6">
        <v>2</v>
      </c>
      <c r="Q1145" s="6">
        <v>0</v>
      </c>
      <c r="R1145" s="6">
        <v>2</v>
      </c>
      <c r="S1145" s="6">
        <v>4</v>
      </c>
      <c r="T1145" s="6" t="str">
        <f t="shared" si="53"/>
        <v>Quinta</v>
      </c>
    </row>
    <row r="1146" spans="1:20">
      <c r="A1146" s="7" t="s">
        <v>2438</v>
      </c>
      <c r="B1146" s="7" t="s">
        <v>496</v>
      </c>
      <c r="C1146" s="8">
        <v>1</v>
      </c>
      <c r="D1146" s="7" t="s">
        <v>2451</v>
      </c>
      <c r="E1146" s="7" t="s">
        <v>2462</v>
      </c>
      <c r="F1146">
        <v>986</v>
      </c>
      <c r="G1146" s="6">
        <v>8326</v>
      </c>
      <c r="H1146" s="11" t="s">
        <v>2463</v>
      </c>
      <c r="I1146" s="6">
        <v>28</v>
      </c>
      <c r="J1146" s="6">
        <v>2</v>
      </c>
      <c r="K1146" s="6">
        <v>4</v>
      </c>
      <c r="L1146" s="6">
        <v>33</v>
      </c>
      <c r="M1146" s="10">
        <f t="shared" si="51"/>
        <v>12.121212121212121</v>
      </c>
      <c r="N1146" s="10">
        <f t="shared" si="52"/>
        <v>13</v>
      </c>
      <c r="O1146" s="6" t="s">
        <v>222</v>
      </c>
      <c r="P1146" s="6">
        <v>0</v>
      </c>
      <c r="Q1146" s="6">
        <v>0</v>
      </c>
      <c r="R1146" s="6">
        <v>0</v>
      </c>
      <c r="S1146" s="6">
        <v>0</v>
      </c>
      <c r="T1146" s="6" t="str">
        <f t="shared" si="53"/>
        <v>Septima</v>
      </c>
    </row>
    <row r="1147" spans="1:20">
      <c r="A1147" s="7" t="s">
        <v>2438</v>
      </c>
      <c r="B1147" s="7" t="s">
        <v>496</v>
      </c>
      <c r="C1147" s="8">
        <v>1</v>
      </c>
      <c r="D1147" s="7" t="s">
        <v>2451</v>
      </c>
      <c r="E1147" s="7" t="s">
        <v>2464</v>
      </c>
      <c r="F1147">
        <v>1099</v>
      </c>
      <c r="G1147" s="6">
        <v>26191</v>
      </c>
      <c r="H1147" s="11" t="s">
        <v>2465</v>
      </c>
      <c r="I1147" s="6">
        <v>11</v>
      </c>
      <c r="J1147" s="6">
        <v>3</v>
      </c>
      <c r="K1147" s="6">
        <v>14</v>
      </c>
      <c r="L1147" s="6">
        <v>74</v>
      </c>
      <c r="M1147" s="10">
        <f t="shared" si="51"/>
        <v>18.918918918918919</v>
      </c>
      <c r="N1147" s="10">
        <f t="shared" si="52"/>
        <v>19</v>
      </c>
      <c r="O1147" s="6" t="s">
        <v>127</v>
      </c>
      <c r="P1147" s="6">
        <v>1</v>
      </c>
      <c r="Q1147" s="6">
        <v>0</v>
      </c>
      <c r="R1147" s="6">
        <v>0</v>
      </c>
      <c r="S1147" s="6">
        <v>1</v>
      </c>
      <c r="T1147" s="6" t="str">
        <f t="shared" si="53"/>
        <v>Sexta</v>
      </c>
    </row>
    <row r="1148" spans="1:20">
      <c r="A1148" s="7" t="s">
        <v>2438</v>
      </c>
      <c r="B1148" s="7" t="s">
        <v>496</v>
      </c>
      <c r="C1148" s="8">
        <v>1</v>
      </c>
      <c r="D1148" s="7" t="s">
        <v>2451</v>
      </c>
      <c r="E1148" s="7" t="s">
        <v>2466</v>
      </c>
      <c r="F1148">
        <v>1120</v>
      </c>
      <c r="G1148" s="6">
        <v>23084</v>
      </c>
      <c r="H1148" s="11" t="s">
        <v>2467</v>
      </c>
      <c r="I1148" s="6">
        <v>49</v>
      </c>
      <c r="J1148" s="6">
        <v>1</v>
      </c>
      <c r="K1148" s="6">
        <v>6</v>
      </c>
      <c r="L1148" s="6">
        <v>86</v>
      </c>
      <c r="M1148" s="10">
        <f t="shared" si="51"/>
        <v>6.9767441860465116</v>
      </c>
      <c r="N1148" s="10">
        <f t="shared" si="52"/>
        <v>7</v>
      </c>
      <c r="O1148" s="6" t="s">
        <v>300</v>
      </c>
      <c r="P1148" s="6">
        <v>1</v>
      </c>
      <c r="Q1148" s="6">
        <v>0</v>
      </c>
      <c r="R1148" s="6">
        <v>0</v>
      </c>
      <c r="S1148" s="6">
        <v>1</v>
      </c>
      <c r="T1148" s="6" t="str">
        <f t="shared" si="53"/>
        <v>Sexta</v>
      </c>
    </row>
    <row r="1149" spans="1:20">
      <c r="A1149" s="7" t="s">
        <v>2438</v>
      </c>
      <c r="B1149" s="7" t="s">
        <v>496</v>
      </c>
      <c r="C1149" s="8">
        <v>2</v>
      </c>
      <c r="D1149" s="7" t="s">
        <v>2468</v>
      </c>
      <c r="E1149" s="7" t="s">
        <v>2469</v>
      </c>
      <c r="F1149">
        <v>1460</v>
      </c>
      <c r="G1149" s="6">
        <v>23334</v>
      </c>
      <c r="H1149" s="11" t="s">
        <v>2470</v>
      </c>
      <c r="I1149" s="6">
        <v>18</v>
      </c>
      <c r="J1149" s="6">
        <v>25</v>
      </c>
      <c r="K1149" s="6">
        <v>55</v>
      </c>
      <c r="L1149" s="6">
        <v>49</v>
      </c>
      <c r="M1149" s="10">
        <f t="shared" si="51"/>
        <v>112.24489795918367</v>
      </c>
      <c r="N1149" s="10">
        <f t="shared" si="52"/>
        <v>113</v>
      </c>
      <c r="O1149" s="6" t="s">
        <v>18</v>
      </c>
      <c r="P1149" s="6">
        <v>0</v>
      </c>
      <c r="Q1149" s="6">
        <v>2</v>
      </c>
      <c r="R1149" s="6">
        <v>7</v>
      </c>
      <c r="S1149" s="6">
        <v>9</v>
      </c>
      <c r="T1149" s="6" t="str">
        <f t="shared" si="53"/>
        <v>Cuarta</v>
      </c>
    </row>
    <row r="1150" spans="1:20">
      <c r="A1150" s="7" t="s">
        <v>2438</v>
      </c>
      <c r="B1150" s="7" t="s">
        <v>496</v>
      </c>
      <c r="C1150" s="8">
        <v>2</v>
      </c>
      <c r="D1150" s="7" t="s">
        <v>2468</v>
      </c>
      <c r="E1150" s="7" t="s">
        <v>2471</v>
      </c>
      <c r="F1150">
        <v>1000</v>
      </c>
      <c r="G1150" s="6">
        <v>10074</v>
      </c>
      <c r="H1150" s="11" t="s">
        <v>2472</v>
      </c>
      <c r="I1150" s="6">
        <v>28</v>
      </c>
      <c r="J1150" s="6">
        <v>0</v>
      </c>
      <c r="K1150" s="6">
        <v>0</v>
      </c>
      <c r="L1150" s="6">
        <v>0</v>
      </c>
      <c r="M1150" s="10">
        <f t="shared" si="51"/>
        <v>0</v>
      </c>
      <c r="N1150" s="10">
        <f t="shared" si="52"/>
        <v>0</v>
      </c>
      <c r="P1150" s="6">
        <v>0</v>
      </c>
      <c r="Q1150" s="6">
        <v>0</v>
      </c>
      <c r="R1150" s="6">
        <v>0</v>
      </c>
      <c r="S1150" s="6">
        <v>0</v>
      </c>
      <c r="T1150" s="6" t="str">
        <f t="shared" si="53"/>
        <v>Septima</v>
      </c>
    </row>
    <row r="1151" spans="1:20">
      <c r="A1151" s="7" t="s">
        <v>2438</v>
      </c>
      <c r="B1151" s="7" t="s">
        <v>496</v>
      </c>
      <c r="C1151" s="8">
        <v>2</v>
      </c>
      <c r="D1151" s="7" t="s">
        <v>2468</v>
      </c>
      <c r="E1151" s="7" t="s">
        <v>2473</v>
      </c>
      <c r="F1151">
        <v>1465</v>
      </c>
      <c r="G1151" s="6">
        <v>24473</v>
      </c>
      <c r="H1151" s="11" t="s">
        <v>2474</v>
      </c>
      <c r="I1151" s="6">
        <v>21</v>
      </c>
      <c r="J1151" s="6">
        <v>23</v>
      </c>
      <c r="K1151" s="6">
        <v>70</v>
      </c>
      <c r="L1151" s="6">
        <v>57</v>
      </c>
      <c r="M1151" s="10">
        <f t="shared" si="51"/>
        <v>122.80701754385964</v>
      </c>
      <c r="N1151" s="10">
        <f t="shared" si="52"/>
        <v>123</v>
      </c>
      <c r="O1151" s="6" t="s">
        <v>12</v>
      </c>
      <c r="P1151" s="6">
        <v>1</v>
      </c>
      <c r="Q1151" s="6">
        <v>1</v>
      </c>
      <c r="R1151" s="6">
        <v>5</v>
      </c>
      <c r="S1151" s="6">
        <v>7</v>
      </c>
      <c r="T1151" s="6" t="str">
        <f t="shared" si="53"/>
        <v>Cuarta</v>
      </c>
    </row>
    <row r="1152" spans="1:20">
      <c r="A1152" s="7" t="s">
        <v>2438</v>
      </c>
      <c r="B1152" s="7" t="s">
        <v>496</v>
      </c>
      <c r="C1152" s="8">
        <v>2</v>
      </c>
      <c r="D1152" s="7" t="s">
        <v>2468</v>
      </c>
      <c r="E1152" s="7" t="s">
        <v>2475</v>
      </c>
      <c r="F1152">
        <v>1168</v>
      </c>
      <c r="G1152" s="6">
        <v>18864</v>
      </c>
      <c r="H1152" s="11" t="s">
        <v>2476</v>
      </c>
      <c r="I1152" s="6">
        <v>32</v>
      </c>
      <c r="J1152" s="6">
        <v>3</v>
      </c>
      <c r="K1152" s="6">
        <v>1</v>
      </c>
      <c r="L1152" s="6">
        <v>11</v>
      </c>
      <c r="M1152" s="10">
        <f t="shared" si="51"/>
        <v>9.0909090909090917</v>
      </c>
      <c r="N1152" s="10">
        <f t="shared" si="52"/>
        <v>10</v>
      </c>
      <c r="O1152" s="6" t="s">
        <v>301</v>
      </c>
      <c r="P1152" s="6">
        <v>0</v>
      </c>
      <c r="Q1152" s="6">
        <v>0</v>
      </c>
      <c r="R1152" s="6">
        <v>0</v>
      </c>
      <c r="S1152" s="6">
        <v>0</v>
      </c>
      <c r="T1152" s="6" t="str">
        <f t="shared" si="53"/>
        <v>Sexta</v>
      </c>
    </row>
    <row r="1153" spans="1:20">
      <c r="A1153" s="7" t="s">
        <v>2438</v>
      </c>
      <c r="B1153" s="7" t="s">
        <v>496</v>
      </c>
      <c r="C1153" s="8">
        <v>2</v>
      </c>
      <c r="D1153" s="7" t="s">
        <v>2468</v>
      </c>
      <c r="E1153" s="7" t="s">
        <v>2477</v>
      </c>
      <c r="F1153">
        <v>1269</v>
      </c>
      <c r="G1153" s="6">
        <v>27003</v>
      </c>
      <c r="H1153" s="11" t="s">
        <v>2478</v>
      </c>
      <c r="I1153" s="6">
        <v>18</v>
      </c>
      <c r="J1153" s="6">
        <v>14</v>
      </c>
      <c r="K1153" s="6">
        <v>29</v>
      </c>
      <c r="L1153" s="6">
        <v>43</v>
      </c>
      <c r="M1153" s="10">
        <f t="shared" si="51"/>
        <v>67.441860465116278</v>
      </c>
      <c r="N1153" s="10">
        <f t="shared" si="52"/>
        <v>68</v>
      </c>
      <c r="O1153" s="6" t="s">
        <v>37</v>
      </c>
      <c r="P1153" s="6">
        <v>1</v>
      </c>
      <c r="Q1153" s="6">
        <v>0</v>
      </c>
      <c r="R1153" s="6">
        <v>1</v>
      </c>
      <c r="S1153" s="6">
        <v>2</v>
      </c>
      <c r="T1153" s="6" t="str">
        <f t="shared" si="53"/>
        <v>Quinta</v>
      </c>
    </row>
    <row r="1154" spans="1:20">
      <c r="A1154" s="7" t="s">
        <v>2438</v>
      </c>
      <c r="B1154" s="7" t="s">
        <v>496</v>
      </c>
      <c r="C1154" s="8">
        <v>2</v>
      </c>
      <c r="D1154" s="7" t="s">
        <v>2468</v>
      </c>
      <c r="E1154" s="7" t="s">
        <v>2479</v>
      </c>
      <c r="F1154">
        <v>1383</v>
      </c>
      <c r="G1154" s="6">
        <v>28222</v>
      </c>
      <c r="H1154" s="11" t="s">
        <v>2480</v>
      </c>
      <c r="I1154" s="6">
        <v>43</v>
      </c>
      <c r="J1154" s="6">
        <v>20</v>
      </c>
      <c r="K1154" s="6">
        <v>51</v>
      </c>
      <c r="L1154" s="6">
        <v>57</v>
      </c>
      <c r="M1154" s="10">
        <f t="shared" si="51"/>
        <v>89.473684210526315</v>
      </c>
      <c r="N1154" s="10">
        <f t="shared" si="52"/>
        <v>90</v>
      </c>
      <c r="O1154" s="6" t="s">
        <v>12</v>
      </c>
      <c r="P1154" s="6">
        <v>1</v>
      </c>
      <c r="Q1154" s="6">
        <v>0</v>
      </c>
      <c r="R1154" s="6">
        <v>3</v>
      </c>
      <c r="S1154" s="6">
        <v>4</v>
      </c>
      <c r="T1154" s="6" t="str">
        <f t="shared" si="53"/>
        <v>Quinta</v>
      </c>
    </row>
    <row r="1155" spans="1:20">
      <c r="A1155" s="7" t="s">
        <v>2438</v>
      </c>
      <c r="B1155" s="7" t="s">
        <v>496</v>
      </c>
      <c r="C1155" s="8">
        <v>2</v>
      </c>
      <c r="D1155" s="7" t="s">
        <v>2468</v>
      </c>
      <c r="E1155" s="7" t="s">
        <v>2481</v>
      </c>
      <c r="F1155">
        <v>1424</v>
      </c>
      <c r="G1155" s="6">
        <v>14224</v>
      </c>
      <c r="H1155" s="11" t="s">
        <v>2482</v>
      </c>
      <c r="I1155" s="6">
        <v>52</v>
      </c>
      <c r="J1155" s="6">
        <v>73</v>
      </c>
      <c r="K1155" s="6">
        <v>181</v>
      </c>
      <c r="L1155" s="6">
        <v>50</v>
      </c>
      <c r="M1155" s="10">
        <f t="shared" ref="M1155:M1218" si="54">IF(K1155+L1155=0,0,(100*K1155/L1155))</f>
        <v>362</v>
      </c>
      <c r="N1155" s="10">
        <f t="shared" ref="N1155:N1218" si="55">ROUNDUP(M1155,0)</f>
        <v>362</v>
      </c>
      <c r="O1155" s="6" t="s">
        <v>37</v>
      </c>
      <c r="P1155" s="6">
        <v>2</v>
      </c>
      <c r="Q1155" s="6">
        <v>4</v>
      </c>
      <c r="R1155" s="6">
        <v>4</v>
      </c>
      <c r="S1155" s="6">
        <v>10</v>
      </c>
      <c r="T1155" s="6" t="str">
        <f t="shared" ref="T1155:T1218" si="56">IF(F1155&gt;2100,"Primera",
IF(F1155&gt;=1800,"Segunda",
IF(F1155&gt;=1600,"Tercera",
IF(F1155&gt;=1400,"Cuarta",
IF(F1155&gt;=1200,"Quinta",
IF(F1155&gt;=1080,"Sexta",
IF(F1155&gt;=980,"Septima",
"Octava")))))))</f>
        <v>Cuarta</v>
      </c>
    </row>
    <row r="1156" spans="1:20">
      <c r="A1156" s="7" t="s">
        <v>2438</v>
      </c>
      <c r="B1156" s="7" t="s">
        <v>496</v>
      </c>
      <c r="C1156" s="8">
        <v>2</v>
      </c>
      <c r="D1156" s="7" t="s">
        <v>2468</v>
      </c>
      <c r="E1156" s="7" t="s">
        <v>2483</v>
      </c>
      <c r="F1156">
        <v>1149</v>
      </c>
      <c r="G1156" s="6">
        <v>25726</v>
      </c>
      <c r="H1156" s="11" t="s">
        <v>2484</v>
      </c>
      <c r="I1156" s="6">
        <v>18</v>
      </c>
      <c r="J1156" s="6">
        <v>9</v>
      </c>
      <c r="K1156" s="6">
        <v>28</v>
      </c>
      <c r="L1156" s="6">
        <v>58</v>
      </c>
      <c r="M1156" s="10">
        <f t="shared" si="54"/>
        <v>48.275862068965516</v>
      </c>
      <c r="N1156" s="10">
        <f t="shared" si="55"/>
        <v>49</v>
      </c>
      <c r="O1156" s="6" t="s">
        <v>122</v>
      </c>
      <c r="P1156" s="6">
        <v>0</v>
      </c>
      <c r="Q1156" s="6">
        <v>1</v>
      </c>
      <c r="R1156" s="6">
        <v>2</v>
      </c>
      <c r="S1156" s="6">
        <v>3</v>
      </c>
      <c r="T1156" s="6" t="str">
        <f t="shared" si="56"/>
        <v>Sexta</v>
      </c>
    </row>
    <row r="1157" spans="1:20">
      <c r="A1157" s="7" t="s">
        <v>2485</v>
      </c>
      <c r="B1157" s="7" t="s">
        <v>421</v>
      </c>
      <c r="C1157" s="8">
        <v>1</v>
      </c>
      <c r="D1157" s="7" t="s">
        <v>2485</v>
      </c>
      <c r="E1157" s="7" t="s">
        <v>2486</v>
      </c>
      <c r="F1157">
        <v>2522</v>
      </c>
      <c r="G1157" s="6">
        <v>15239</v>
      </c>
      <c r="H1157" s="11" t="s">
        <v>2487</v>
      </c>
      <c r="I1157" s="6">
        <v>33</v>
      </c>
      <c r="J1157" s="6">
        <v>155</v>
      </c>
      <c r="K1157" s="6">
        <v>489</v>
      </c>
      <c r="L1157" s="6">
        <v>69</v>
      </c>
      <c r="M1157" s="10">
        <f t="shared" si="54"/>
        <v>708.695652173913</v>
      </c>
      <c r="N1157" s="10">
        <f t="shared" si="55"/>
        <v>709</v>
      </c>
      <c r="O1157" s="6" t="s">
        <v>19</v>
      </c>
      <c r="P1157" s="6">
        <v>24</v>
      </c>
      <c r="Q1157" s="6">
        <v>20</v>
      </c>
      <c r="R1157" s="6">
        <v>26</v>
      </c>
      <c r="S1157" s="6">
        <v>70</v>
      </c>
      <c r="T1157" s="6" t="str">
        <f t="shared" si="56"/>
        <v>Primera</v>
      </c>
    </row>
    <row r="1158" spans="1:20">
      <c r="A1158" s="7" t="s">
        <v>2485</v>
      </c>
      <c r="B1158" s="7" t="s">
        <v>421</v>
      </c>
      <c r="C1158" s="8">
        <v>1</v>
      </c>
      <c r="D1158" s="7" t="s">
        <v>2485</v>
      </c>
      <c r="E1158" s="7" t="s">
        <v>2488</v>
      </c>
      <c r="F1158">
        <v>2433</v>
      </c>
      <c r="G1158" s="6">
        <v>1280</v>
      </c>
      <c r="H1158" s="11" t="s">
        <v>2489</v>
      </c>
      <c r="I1158" s="6">
        <v>37</v>
      </c>
      <c r="J1158" s="6">
        <v>10</v>
      </c>
      <c r="K1158" s="6">
        <v>44</v>
      </c>
      <c r="L1158" s="6">
        <v>85</v>
      </c>
      <c r="M1158" s="10">
        <f t="shared" si="54"/>
        <v>51.764705882352942</v>
      </c>
      <c r="N1158" s="10">
        <f t="shared" si="55"/>
        <v>52</v>
      </c>
      <c r="O1158" s="6" t="s">
        <v>302</v>
      </c>
      <c r="P1158" s="6">
        <v>2</v>
      </c>
      <c r="Q1158" s="6">
        <v>3</v>
      </c>
      <c r="R1158" s="6">
        <v>2</v>
      </c>
      <c r="S1158" s="6">
        <v>7</v>
      </c>
      <c r="T1158" s="6" t="str">
        <f t="shared" si="56"/>
        <v>Primera</v>
      </c>
    </row>
    <row r="1159" spans="1:20">
      <c r="A1159" s="7" t="s">
        <v>2485</v>
      </c>
      <c r="B1159" s="7" t="s">
        <v>421</v>
      </c>
      <c r="C1159" s="8">
        <v>1</v>
      </c>
      <c r="D1159" s="7" t="s">
        <v>2485</v>
      </c>
      <c r="E1159" s="7" t="s">
        <v>2490</v>
      </c>
      <c r="F1159">
        <v>2254</v>
      </c>
      <c r="G1159" s="6">
        <v>9879</v>
      </c>
      <c r="H1159" s="11" t="s">
        <v>2491</v>
      </c>
      <c r="I1159" s="6">
        <v>37</v>
      </c>
      <c r="J1159" s="6">
        <v>109</v>
      </c>
      <c r="K1159" s="6">
        <v>347</v>
      </c>
      <c r="L1159" s="6">
        <v>65</v>
      </c>
      <c r="M1159" s="10">
        <f t="shared" si="54"/>
        <v>533.84615384615381</v>
      </c>
      <c r="N1159" s="10">
        <f t="shared" si="55"/>
        <v>534</v>
      </c>
      <c r="O1159" s="6" t="s">
        <v>27</v>
      </c>
      <c r="P1159" s="6">
        <v>15</v>
      </c>
      <c r="Q1159" s="6">
        <v>13</v>
      </c>
      <c r="R1159" s="6">
        <v>15</v>
      </c>
      <c r="S1159" s="6">
        <v>43</v>
      </c>
      <c r="T1159" s="6" t="str">
        <f t="shared" si="56"/>
        <v>Primera</v>
      </c>
    </row>
    <row r="1160" spans="1:20">
      <c r="A1160" s="7" t="s">
        <v>2485</v>
      </c>
      <c r="B1160" s="7" t="s">
        <v>496</v>
      </c>
      <c r="C1160" s="8">
        <v>1</v>
      </c>
      <c r="D1160" s="7" t="s">
        <v>2485</v>
      </c>
      <c r="E1160" s="7" t="s">
        <v>2492</v>
      </c>
      <c r="F1160">
        <v>1514</v>
      </c>
      <c r="G1160" s="6">
        <v>27503</v>
      </c>
      <c r="H1160" s="11" t="s">
        <v>2493</v>
      </c>
      <c r="I1160" s="6">
        <v>37</v>
      </c>
      <c r="J1160" s="6">
        <v>16</v>
      </c>
      <c r="K1160" s="6">
        <v>54</v>
      </c>
      <c r="L1160" s="6">
        <v>53</v>
      </c>
      <c r="M1160" s="10">
        <f t="shared" si="54"/>
        <v>101.88679245283019</v>
      </c>
      <c r="N1160" s="10">
        <f t="shared" si="55"/>
        <v>102</v>
      </c>
      <c r="O1160" s="6" t="s">
        <v>37</v>
      </c>
      <c r="P1160" s="6">
        <v>3</v>
      </c>
      <c r="Q1160" s="6">
        <v>2</v>
      </c>
      <c r="R1160" s="6">
        <v>2</v>
      </c>
      <c r="S1160" s="6">
        <v>7</v>
      </c>
      <c r="T1160" s="6" t="str">
        <f t="shared" si="56"/>
        <v>Cuarta</v>
      </c>
    </row>
    <row r="1161" spans="1:20">
      <c r="A1161" s="7" t="s">
        <v>2485</v>
      </c>
      <c r="B1161" s="7" t="s">
        <v>496</v>
      </c>
      <c r="C1161" s="8">
        <v>1</v>
      </c>
      <c r="D1161" s="7" t="s">
        <v>2485</v>
      </c>
      <c r="E1161" s="7" t="s">
        <v>2494</v>
      </c>
      <c r="F1161">
        <v>1440</v>
      </c>
      <c r="G1161" s="6">
        <v>16138</v>
      </c>
      <c r="H1161" s="11" t="s">
        <v>2495</v>
      </c>
      <c r="I1161" s="6">
        <v>51</v>
      </c>
      <c r="J1161" s="6">
        <v>47</v>
      </c>
      <c r="K1161" s="6">
        <v>106</v>
      </c>
      <c r="L1161" s="6">
        <v>44</v>
      </c>
      <c r="M1161" s="10">
        <f t="shared" si="54"/>
        <v>240.90909090909091</v>
      </c>
      <c r="N1161" s="10">
        <f t="shared" si="55"/>
        <v>241</v>
      </c>
      <c r="O1161" s="6" t="s">
        <v>122</v>
      </c>
      <c r="P1161" s="6">
        <v>0</v>
      </c>
      <c r="Q1161" s="6">
        <v>6</v>
      </c>
      <c r="R1161" s="6">
        <v>4</v>
      </c>
      <c r="S1161" s="6">
        <v>10</v>
      </c>
      <c r="T1161" s="6" t="str">
        <f t="shared" si="56"/>
        <v>Cuarta</v>
      </c>
    </row>
    <row r="1162" spans="1:20">
      <c r="A1162" s="7" t="s">
        <v>2485</v>
      </c>
      <c r="B1162" s="7" t="s">
        <v>496</v>
      </c>
      <c r="C1162" s="8">
        <v>1</v>
      </c>
      <c r="D1162" s="7" t="s">
        <v>2485</v>
      </c>
      <c r="E1162" s="7" t="s">
        <v>2496</v>
      </c>
      <c r="F1162">
        <v>1596</v>
      </c>
      <c r="G1162" s="6">
        <v>2252</v>
      </c>
      <c r="H1162" s="11" t="s">
        <v>2497</v>
      </c>
      <c r="I1162" s="6">
        <v>37</v>
      </c>
      <c r="J1162" s="6">
        <v>24</v>
      </c>
      <c r="K1162" s="6">
        <v>44</v>
      </c>
      <c r="L1162" s="6">
        <v>47</v>
      </c>
      <c r="M1162" s="10">
        <f t="shared" si="54"/>
        <v>93.61702127659575</v>
      </c>
      <c r="N1162" s="10">
        <f t="shared" si="55"/>
        <v>94</v>
      </c>
      <c r="O1162" s="6" t="s">
        <v>9</v>
      </c>
      <c r="P1162" s="6">
        <v>1</v>
      </c>
      <c r="Q1162" s="6">
        <v>1</v>
      </c>
      <c r="R1162" s="6">
        <v>4</v>
      </c>
      <c r="S1162" s="6">
        <v>6</v>
      </c>
      <c r="T1162" s="6" t="str">
        <f t="shared" si="56"/>
        <v>Cuarta</v>
      </c>
    </row>
    <row r="1163" spans="1:20">
      <c r="A1163" s="7" t="s">
        <v>2485</v>
      </c>
      <c r="B1163" s="7" t="s">
        <v>496</v>
      </c>
      <c r="C1163" s="8">
        <v>1</v>
      </c>
      <c r="D1163" s="7" t="s">
        <v>2485</v>
      </c>
      <c r="E1163" s="7" t="s">
        <v>2498</v>
      </c>
      <c r="F1163">
        <v>1488</v>
      </c>
      <c r="G1163" s="6">
        <v>441</v>
      </c>
      <c r="H1163" s="11" t="s">
        <v>2499</v>
      </c>
      <c r="I1163" s="6">
        <v>58</v>
      </c>
      <c r="J1163" s="6">
        <v>331</v>
      </c>
      <c r="K1163" s="6">
        <v>908</v>
      </c>
      <c r="L1163" s="6">
        <v>61</v>
      </c>
      <c r="M1163" s="10">
        <f t="shared" si="54"/>
        <v>1488.5245901639344</v>
      </c>
      <c r="N1163" s="10">
        <f t="shared" si="55"/>
        <v>1489</v>
      </c>
      <c r="O1163" s="6" t="s">
        <v>12</v>
      </c>
      <c r="P1163" s="6">
        <v>35</v>
      </c>
      <c r="Q1163" s="6">
        <v>24</v>
      </c>
      <c r="R1163" s="6">
        <v>59</v>
      </c>
      <c r="S1163" s="6">
        <v>118</v>
      </c>
      <c r="T1163" s="6" t="str">
        <f t="shared" si="56"/>
        <v>Cuarta</v>
      </c>
    </row>
    <row r="1164" spans="1:20">
      <c r="A1164" s="7" t="s">
        <v>2485</v>
      </c>
      <c r="B1164" s="7" t="s">
        <v>496</v>
      </c>
      <c r="C1164" s="8">
        <v>1</v>
      </c>
      <c r="D1164" s="7" t="s">
        <v>2485</v>
      </c>
      <c r="E1164" s="7" t="s">
        <v>2500</v>
      </c>
      <c r="F1164">
        <v>1000</v>
      </c>
      <c r="G1164" s="6">
        <v>5765</v>
      </c>
      <c r="H1164" s="11" t="s">
        <v>2501</v>
      </c>
      <c r="I1164" s="6">
        <v>44</v>
      </c>
      <c r="J1164" s="6">
        <v>0</v>
      </c>
      <c r="K1164" s="6">
        <v>0</v>
      </c>
      <c r="L1164" s="6">
        <v>0</v>
      </c>
      <c r="M1164" s="10">
        <f t="shared" si="54"/>
        <v>0</v>
      </c>
      <c r="N1164" s="10">
        <f t="shared" si="55"/>
        <v>0</v>
      </c>
      <c r="P1164" s="6">
        <v>0</v>
      </c>
      <c r="Q1164" s="6">
        <v>0</v>
      </c>
      <c r="R1164" s="6">
        <v>0</v>
      </c>
      <c r="S1164" s="6">
        <v>0</v>
      </c>
      <c r="T1164" s="6" t="str">
        <f t="shared" si="56"/>
        <v>Septima</v>
      </c>
    </row>
    <row r="1165" spans="1:20">
      <c r="A1165" s="7" t="s">
        <v>2485</v>
      </c>
      <c r="B1165" s="7" t="s">
        <v>496</v>
      </c>
      <c r="C1165" s="8">
        <v>1</v>
      </c>
      <c r="D1165" s="7" t="s">
        <v>2485</v>
      </c>
      <c r="E1165" s="7" t="s">
        <v>2502</v>
      </c>
      <c r="F1165">
        <v>1405</v>
      </c>
      <c r="G1165" s="6">
        <v>23885</v>
      </c>
      <c r="H1165" s="11" t="s">
        <v>2503</v>
      </c>
      <c r="I1165" s="6">
        <v>25</v>
      </c>
      <c r="J1165" s="6">
        <v>10</v>
      </c>
      <c r="K1165" s="6">
        <v>37</v>
      </c>
      <c r="L1165" s="6">
        <v>70</v>
      </c>
      <c r="M1165" s="10">
        <f t="shared" si="54"/>
        <v>52.857142857142854</v>
      </c>
      <c r="N1165" s="10">
        <f t="shared" si="55"/>
        <v>53</v>
      </c>
      <c r="O1165" s="6" t="s">
        <v>37</v>
      </c>
      <c r="P1165" s="6">
        <v>3</v>
      </c>
      <c r="Q1165" s="6">
        <v>0</v>
      </c>
      <c r="R1165" s="6">
        <v>2</v>
      </c>
      <c r="S1165" s="6">
        <v>5</v>
      </c>
      <c r="T1165" s="6" t="str">
        <f t="shared" si="56"/>
        <v>Cuarta</v>
      </c>
    </row>
    <row r="1166" spans="1:20">
      <c r="A1166" s="7" t="s">
        <v>2485</v>
      </c>
      <c r="B1166" s="7" t="s">
        <v>507</v>
      </c>
      <c r="C1166" s="8">
        <v>1</v>
      </c>
      <c r="D1166" s="7" t="s">
        <v>2504</v>
      </c>
      <c r="E1166" s="7" t="s">
        <v>2505</v>
      </c>
      <c r="F1166">
        <v>1307</v>
      </c>
      <c r="G1166" s="6">
        <v>28970</v>
      </c>
      <c r="H1166" s="11" t="s">
        <v>2506</v>
      </c>
      <c r="I1166" s="6">
        <v>60</v>
      </c>
      <c r="J1166" s="6">
        <v>39</v>
      </c>
      <c r="K1166" s="6">
        <v>81</v>
      </c>
      <c r="L1166" s="6">
        <v>45</v>
      </c>
      <c r="M1166" s="10">
        <f t="shared" si="54"/>
        <v>180</v>
      </c>
      <c r="N1166" s="10">
        <f t="shared" si="55"/>
        <v>180</v>
      </c>
      <c r="O1166" s="6" t="s">
        <v>12</v>
      </c>
      <c r="P1166" s="6">
        <v>5</v>
      </c>
      <c r="Q1166" s="6">
        <v>3</v>
      </c>
      <c r="R1166" s="6">
        <v>5</v>
      </c>
      <c r="S1166" s="6">
        <v>13</v>
      </c>
      <c r="T1166" s="6" t="str">
        <f t="shared" si="56"/>
        <v>Quinta</v>
      </c>
    </row>
    <row r="1167" spans="1:20">
      <c r="A1167" s="7" t="s">
        <v>2485</v>
      </c>
      <c r="B1167" s="7" t="s">
        <v>507</v>
      </c>
      <c r="C1167" s="8">
        <v>1</v>
      </c>
      <c r="D1167" s="7" t="s">
        <v>2504</v>
      </c>
      <c r="E1167" s="7" t="s">
        <v>2507</v>
      </c>
      <c r="F1167">
        <v>1384</v>
      </c>
      <c r="G1167" s="6">
        <v>26118</v>
      </c>
      <c r="H1167" s="11" t="s">
        <v>2508</v>
      </c>
      <c r="I1167" s="6">
        <v>60</v>
      </c>
      <c r="J1167" s="6">
        <v>40</v>
      </c>
      <c r="K1167" s="6">
        <v>93</v>
      </c>
      <c r="L1167" s="6">
        <v>57</v>
      </c>
      <c r="M1167" s="10">
        <f t="shared" si="54"/>
        <v>163.15789473684211</v>
      </c>
      <c r="N1167" s="10">
        <f t="shared" si="55"/>
        <v>164</v>
      </c>
      <c r="O1167" s="6" t="s">
        <v>12</v>
      </c>
      <c r="P1167" s="6">
        <v>3</v>
      </c>
      <c r="Q1167" s="6">
        <v>3</v>
      </c>
      <c r="R1167" s="6">
        <v>3</v>
      </c>
      <c r="S1167" s="6">
        <v>9</v>
      </c>
      <c r="T1167" s="6" t="str">
        <f t="shared" si="56"/>
        <v>Quinta</v>
      </c>
    </row>
    <row r="1168" spans="1:20">
      <c r="A1168" s="7" t="s">
        <v>2485</v>
      </c>
      <c r="B1168" s="7" t="s">
        <v>507</v>
      </c>
      <c r="C1168" s="8">
        <v>1</v>
      </c>
      <c r="D1168" s="7" t="s">
        <v>2504</v>
      </c>
      <c r="E1168" s="7" t="s">
        <v>2509</v>
      </c>
      <c r="F1168">
        <v>1293</v>
      </c>
      <c r="G1168" s="6">
        <v>12110</v>
      </c>
      <c r="H1168" s="11" t="s">
        <v>2510</v>
      </c>
      <c r="I1168" s="6">
        <v>57</v>
      </c>
      <c r="J1168" s="6">
        <v>5</v>
      </c>
      <c r="K1168" s="6">
        <v>9</v>
      </c>
      <c r="L1168" s="6">
        <v>45</v>
      </c>
      <c r="M1168" s="10">
        <f t="shared" si="54"/>
        <v>20</v>
      </c>
      <c r="N1168" s="10">
        <f t="shared" si="55"/>
        <v>20</v>
      </c>
      <c r="O1168" s="6" t="s">
        <v>19</v>
      </c>
      <c r="P1168" s="6">
        <v>0</v>
      </c>
      <c r="Q1168" s="6">
        <v>1</v>
      </c>
      <c r="R1168" s="6">
        <v>0</v>
      </c>
      <c r="S1168" s="6">
        <v>1</v>
      </c>
      <c r="T1168" s="6" t="str">
        <f t="shared" si="56"/>
        <v>Quinta</v>
      </c>
    </row>
    <row r="1169" spans="1:20">
      <c r="A1169" s="7" t="s">
        <v>2485</v>
      </c>
      <c r="B1169" s="7" t="s">
        <v>507</v>
      </c>
      <c r="C1169" s="8">
        <v>1</v>
      </c>
      <c r="D1169" s="7" t="s">
        <v>2504</v>
      </c>
      <c r="E1169" s="7" t="s">
        <v>2511</v>
      </c>
      <c r="F1169">
        <v>1330</v>
      </c>
      <c r="G1169" s="6">
        <v>16066</v>
      </c>
      <c r="H1169" s="11" t="s">
        <v>2512</v>
      </c>
      <c r="I1169" s="6">
        <v>57</v>
      </c>
      <c r="J1169" s="6">
        <v>61</v>
      </c>
      <c r="K1169" s="6">
        <v>145</v>
      </c>
      <c r="L1169" s="6">
        <v>49</v>
      </c>
      <c r="M1169" s="10">
        <f t="shared" si="54"/>
        <v>295.91836734693879</v>
      </c>
      <c r="N1169" s="10">
        <f t="shared" si="55"/>
        <v>296</v>
      </c>
      <c r="O1169" s="6" t="s">
        <v>12</v>
      </c>
      <c r="P1169" s="6">
        <v>0</v>
      </c>
      <c r="Q1169" s="6">
        <v>2</v>
      </c>
      <c r="R1169" s="6">
        <v>8</v>
      </c>
      <c r="S1169" s="6">
        <v>10</v>
      </c>
      <c r="T1169" s="6" t="str">
        <f t="shared" si="56"/>
        <v>Quinta</v>
      </c>
    </row>
    <row r="1170" spans="1:20">
      <c r="A1170" s="7" t="s">
        <v>2485</v>
      </c>
      <c r="B1170" s="7" t="s">
        <v>507</v>
      </c>
      <c r="C1170" s="8">
        <v>1</v>
      </c>
      <c r="D1170" s="7" t="s">
        <v>2504</v>
      </c>
      <c r="E1170" s="7" t="s">
        <v>2513</v>
      </c>
      <c r="F1170">
        <v>1428</v>
      </c>
      <c r="G1170" s="6">
        <v>1254</v>
      </c>
      <c r="H1170" s="11" t="s">
        <v>2514</v>
      </c>
      <c r="I1170" s="6">
        <v>49</v>
      </c>
      <c r="J1170" s="6">
        <v>33</v>
      </c>
      <c r="K1170" s="6">
        <v>53</v>
      </c>
      <c r="L1170" s="6">
        <v>36</v>
      </c>
      <c r="M1170" s="10">
        <f t="shared" si="54"/>
        <v>147.22222222222223</v>
      </c>
      <c r="N1170" s="10">
        <f t="shared" si="55"/>
        <v>148</v>
      </c>
      <c r="O1170" s="6" t="s">
        <v>303</v>
      </c>
      <c r="P1170" s="6">
        <v>1</v>
      </c>
      <c r="Q1170" s="6">
        <v>1</v>
      </c>
      <c r="R1170" s="6">
        <v>2</v>
      </c>
      <c r="S1170" s="6">
        <v>4</v>
      </c>
      <c r="T1170" s="6" t="str">
        <f t="shared" si="56"/>
        <v>Cuarta</v>
      </c>
    </row>
    <row r="1171" spans="1:20">
      <c r="A1171" s="7" t="s">
        <v>2485</v>
      </c>
      <c r="B1171" s="7" t="s">
        <v>507</v>
      </c>
      <c r="C1171" s="8">
        <v>1</v>
      </c>
      <c r="D1171" s="7" t="s">
        <v>2504</v>
      </c>
      <c r="E1171" s="7" t="s">
        <v>2515</v>
      </c>
      <c r="F1171">
        <v>1084</v>
      </c>
      <c r="G1171" s="6">
        <v>27416</v>
      </c>
      <c r="H1171" s="11" t="s">
        <v>2516</v>
      </c>
      <c r="I1171" s="6">
        <v>38</v>
      </c>
      <c r="J1171" s="6">
        <v>7</v>
      </c>
      <c r="K1171" s="6">
        <v>15</v>
      </c>
      <c r="L1171" s="6">
        <v>38</v>
      </c>
      <c r="M1171" s="10">
        <f t="shared" si="54"/>
        <v>39.473684210526315</v>
      </c>
      <c r="N1171" s="10">
        <f t="shared" si="55"/>
        <v>40</v>
      </c>
      <c r="O1171" s="6" t="s">
        <v>304</v>
      </c>
      <c r="P1171" s="6">
        <v>0</v>
      </c>
      <c r="Q1171" s="6">
        <v>1</v>
      </c>
      <c r="R1171" s="6">
        <v>0</v>
      </c>
      <c r="S1171" s="6">
        <v>1</v>
      </c>
      <c r="T1171" s="6" t="str">
        <f t="shared" si="56"/>
        <v>Sexta</v>
      </c>
    </row>
    <row r="1172" spans="1:20">
      <c r="A1172" s="7" t="s">
        <v>2485</v>
      </c>
      <c r="B1172" s="7" t="s">
        <v>507</v>
      </c>
      <c r="C1172" s="8">
        <v>1</v>
      </c>
      <c r="D1172" s="7" t="s">
        <v>2504</v>
      </c>
      <c r="E1172" s="7" t="s">
        <v>2517</v>
      </c>
      <c r="F1172">
        <v>1511</v>
      </c>
      <c r="G1172" s="6">
        <v>5272</v>
      </c>
      <c r="H1172" s="11" t="s">
        <v>2518</v>
      </c>
      <c r="I1172" s="6">
        <v>38</v>
      </c>
      <c r="J1172" s="6">
        <v>1</v>
      </c>
      <c r="K1172" s="6">
        <v>1</v>
      </c>
      <c r="L1172" s="6">
        <v>17</v>
      </c>
      <c r="M1172" s="10">
        <f t="shared" si="54"/>
        <v>5.882352941176471</v>
      </c>
      <c r="N1172" s="10">
        <f t="shared" si="55"/>
        <v>6</v>
      </c>
      <c r="O1172" s="6" t="s">
        <v>305</v>
      </c>
      <c r="P1172" s="6">
        <v>0</v>
      </c>
      <c r="Q1172" s="6">
        <v>0</v>
      </c>
      <c r="R1172" s="6">
        <v>0</v>
      </c>
      <c r="S1172" s="6">
        <v>0</v>
      </c>
      <c r="T1172" s="6" t="str">
        <f t="shared" si="56"/>
        <v>Cuarta</v>
      </c>
    </row>
    <row r="1173" spans="1:20">
      <c r="A1173" s="7" t="s">
        <v>2485</v>
      </c>
      <c r="B1173" s="7" t="s">
        <v>507</v>
      </c>
      <c r="C1173" s="8">
        <v>2</v>
      </c>
      <c r="D1173" s="7" t="s">
        <v>2519</v>
      </c>
      <c r="E1173" s="7" t="s">
        <v>2520</v>
      </c>
      <c r="F1173">
        <v>1285</v>
      </c>
      <c r="G1173" s="6">
        <v>21788</v>
      </c>
      <c r="H1173" s="11" t="s">
        <v>2521</v>
      </c>
      <c r="I1173" s="6">
        <v>51</v>
      </c>
      <c r="J1173" s="6">
        <v>24</v>
      </c>
      <c r="K1173" s="6">
        <v>51</v>
      </c>
      <c r="L1173" s="6">
        <v>52</v>
      </c>
      <c r="M1173" s="10">
        <f t="shared" si="54"/>
        <v>98.07692307692308</v>
      </c>
      <c r="N1173" s="10">
        <f t="shared" si="55"/>
        <v>99</v>
      </c>
      <c r="O1173" s="6" t="s">
        <v>37</v>
      </c>
      <c r="P1173" s="6">
        <v>0</v>
      </c>
      <c r="Q1173" s="6">
        <v>0</v>
      </c>
      <c r="R1173" s="6">
        <v>4</v>
      </c>
      <c r="S1173" s="6">
        <v>4</v>
      </c>
      <c r="T1173" s="6" t="str">
        <f t="shared" si="56"/>
        <v>Quinta</v>
      </c>
    </row>
    <row r="1174" spans="1:20">
      <c r="A1174" s="7" t="s">
        <v>2485</v>
      </c>
      <c r="B1174" s="7" t="s">
        <v>507</v>
      </c>
      <c r="C1174" s="8">
        <v>2</v>
      </c>
      <c r="D1174" s="7" t="s">
        <v>2519</v>
      </c>
      <c r="E1174" s="7" t="s">
        <v>2522</v>
      </c>
      <c r="F1174">
        <v>1280</v>
      </c>
      <c r="G1174" s="6">
        <v>27850</v>
      </c>
      <c r="H1174" s="11" t="s">
        <v>2523</v>
      </c>
      <c r="I1174" s="6">
        <v>25</v>
      </c>
      <c r="J1174" s="6">
        <v>20</v>
      </c>
      <c r="K1174" s="6">
        <v>49</v>
      </c>
      <c r="L1174" s="6">
        <v>56</v>
      </c>
      <c r="M1174" s="10">
        <f t="shared" si="54"/>
        <v>87.5</v>
      </c>
      <c r="N1174" s="10">
        <f t="shared" si="55"/>
        <v>88</v>
      </c>
      <c r="O1174" s="6" t="s">
        <v>12</v>
      </c>
      <c r="P1174" s="6">
        <v>0</v>
      </c>
      <c r="Q1174" s="6">
        <v>3</v>
      </c>
      <c r="R1174" s="6">
        <v>3</v>
      </c>
      <c r="S1174" s="6">
        <v>6</v>
      </c>
      <c r="T1174" s="6" t="str">
        <f t="shared" si="56"/>
        <v>Quinta</v>
      </c>
    </row>
    <row r="1175" spans="1:20">
      <c r="A1175" s="7" t="s">
        <v>2485</v>
      </c>
      <c r="B1175" s="7" t="s">
        <v>507</v>
      </c>
      <c r="C1175" s="8">
        <v>2</v>
      </c>
      <c r="D1175" s="7" t="s">
        <v>2519</v>
      </c>
      <c r="E1175" s="7" t="s">
        <v>2524</v>
      </c>
      <c r="F1175">
        <v>1989</v>
      </c>
      <c r="G1175" s="6">
        <v>14806</v>
      </c>
      <c r="H1175" s="11" t="s">
        <v>2525</v>
      </c>
      <c r="I1175" s="6">
        <v>56</v>
      </c>
      <c r="J1175" s="6">
        <v>1</v>
      </c>
      <c r="K1175" s="6">
        <v>1</v>
      </c>
      <c r="L1175" s="6">
        <v>33</v>
      </c>
      <c r="M1175" s="10">
        <f t="shared" si="54"/>
        <v>3.0303030303030303</v>
      </c>
      <c r="N1175" s="10">
        <f t="shared" si="55"/>
        <v>4</v>
      </c>
      <c r="O1175" s="6" t="s">
        <v>306</v>
      </c>
      <c r="P1175" s="6">
        <v>0</v>
      </c>
      <c r="Q1175" s="6">
        <v>0</v>
      </c>
      <c r="R1175" s="6">
        <v>0</v>
      </c>
      <c r="S1175" s="6">
        <v>0</v>
      </c>
      <c r="T1175" s="6" t="str">
        <f t="shared" si="56"/>
        <v>Segunda</v>
      </c>
    </row>
    <row r="1176" spans="1:20">
      <c r="A1176" s="7" t="s">
        <v>2485</v>
      </c>
      <c r="B1176" s="7" t="s">
        <v>507</v>
      </c>
      <c r="C1176" s="8">
        <v>2</v>
      </c>
      <c r="D1176" s="7" t="s">
        <v>2519</v>
      </c>
      <c r="E1176" s="7" t="s">
        <v>2526</v>
      </c>
      <c r="F1176">
        <v>1156</v>
      </c>
      <c r="G1176" s="6">
        <v>24672</v>
      </c>
      <c r="H1176" s="11" t="s">
        <v>2527</v>
      </c>
      <c r="I1176" s="6">
        <v>65</v>
      </c>
      <c r="J1176" s="6">
        <v>11</v>
      </c>
      <c r="K1176" s="6">
        <v>33</v>
      </c>
      <c r="L1176" s="6">
        <v>62</v>
      </c>
      <c r="M1176" s="10">
        <f t="shared" si="54"/>
        <v>53.225806451612904</v>
      </c>
      <c r="N1176" s="10">
        <f t="shared" si="55"/>
        <v>54</v>
      </c>
      <c r="O1176" s="6" t="s">
        <v>207</v>
      </c>
      <c r="P1176" s="6">
        <v>1</v>
      </c>
      <c r="Q1176" s="6">
        <v>2</v>
      </c>
      <c r="R1176" s="6">
        <v>1</v>
      </c>
      <c r="S1176" s="6">
        <v>4</v>
      </c>
      <c r="T1176" s="6" t="str">
        <f t="shared" si="56"/>
        <v>Sexta</v>
      </c>
    </row>
    <row r="1177" spans="1:20">
      <c r="A1177" s="7" t="s">
        <v>2485</v>
      </c>
      <c r="B1177" s="7" t="s">
        <v>507</v>
      </c>
      <c r="C1177" s="8">
        <v>2</v>
      </c>
      <c r="D1177" s="7" t="s">
        <v>2519</v>
      </c>
      <c r="E1177" s="7" t="s">
        <v>2528</v>
      </c>
      <c r="F1177">
        <v>1112</v>
      </c>
      <c r="G1177" s="6">
        <v>19055</v>
      </c>
      <c r="H1177" s="11" t="s">
        <v>2529</v>
      </c>
      <c r="I1177" s="6">
        <v>37</v>
      </c>
      <c r="J1177" s="6">
        <v>20</v>
      </c>
      <c r="K1177" s="6">
        <v>30</v>
      </c>
      <c r="L1177" s="6">
        <v>33</v>
      </c>
      <c r="M1177" s="10">
        <f t="shared" si="54"/>
        <v>90.909090909090907</v>
      </c>
      <c r="N1177" s="10">
        <f t="shared" si="55"/>
        <v>91</v>
      </c>
      <c r="O1177" s="6" t="s">
        <v>18</v>
      </c>
      <c r="P1177" s="6">
        <v>0</v>
      </c>
      <c r="Q1177" s="6">
        <v>1</v>
      </c>
      <c r="R1177" s="6">
        <v>2</v>
      </c>
      <c r="S1177" s="6">
        <v>3</v>
      </c>
      <c r="T1177" s="6" t="str">
        <f t="shared" si="56"/>
        <v>Sexta</v>
      </c>
    </row>
    <row r="1178" spans="1:20">
      <c r="A1178" s="7" t="s">
        <v>2485</v>
      </c>
      <c r="B1178" s="7" t="s">
        <v>507</v>
      </c>
      <c r="C1178" s="8">
        <v>2</v>
      </c>
      <c r="D1178" s="7" t="s">
        <v>2519</v>
      </c>
      <c r="E1178" s="7" t="s">
        <v>2530</v>
      </c>
      <c r="F1178">
        <v>1050</v>
      </c>
      <c r="G1178" s="6">
        <v>24341</v>
      </c>
      <c r="H1178" s="11" t="s">
        <v>2531</v>
      </c>
      <c r="I1178" s="6">
        <v>22</v>
      </c>
      <c r="J1178" s="6">
        <v>1</v>
      </c>
      <c r="K1178" s="6">
        <v>4</v>
      </c>
      <c r="L1178" s="6">
        <v>80</v>
      </c>
      <c r="M1178" s="10">
        <f t="shared" si="54"/>
        <v>5</v>
      </c>
      <c r="N1178" s="10">
        <f t="shared" si="55"/>
        <v>5</v>
      </c>
      <c r="O1178" s="6" t="s">
        <v>307</v>
      </c>
      <c r="P1178" s="6">
        <v>0</v>
      </c>
      <c r="Q1178" s="6">
        <v>0</v>
      </c>
      <c r="R1178" s="6">
        <v>0</v>
      </c>
      <c r="S1178" s="6">
        <v>0</v>
      </c>
      <c r="T1178" s="6" t="str">
        <f t="shared" si="56"/>
        <v>Septima</v>
      </c>
    </row>
    <row r="1179" spans="1:20" ht="24">
      <c r="A1179" s="7" t="s">
        <v>2532</v>
      </c>
      <c r="B1179" s="7" t="s">
        <v>507</v>
      </c>
      <c r="C1179" s="8">
        <v>1</v>
      </c>
      <c r="D1179" s="7" t="s">
        <v>2532</v>
      </c>
      <c r="E1179" s="7" t="s">
        <v>2533</v>
      </c>
      <c r="F1179">
        <v>1300</v>
      </c>
      <c r="G1179" s="6">
        <v>20218</v>
      </c>
      <c r="H1179" s="11" t="s">
        <v>2534</v>
      </c>
      <c r="I1179" s="6">
        <v>50</v>
      </c>
      <c r="J1179" s="6">
        <v>38</v>
      </c>
      <c r="K1179" s="6">
        <v>120</v>
      </c>
      <c r="L1179" s="6">
        <v>62</v>
      </c>
      <c r="M1179" s="10">
        <f t="shared" si="54"/>
        <v>193.54838709677421</v>
      </c>
      <c r="N1179" s="10">
        <f t="shared" si="55"/>
        <v>194</v>
      </c>
      <c r="O1179" s="6" t="s">
        <v>15</v>
      </c>
      <c r="P1179" s="6">
        <v>2</v>
      </c>
      <c r="Q1179" s="6">
        <v>2</v>
      </c>
      <c r="R1179" s="6">
        <v>12</v>
      </c>
      <c r="S1179" s="6">
        <v>16</v>
      </c>
      <c r="T1179" s="6" t="str">
        <f t="shared" si="56"/>
        <v>Quinta</v>
      </c>
    </row>
    <row r="1180" spans="1:20" ht="24">
      <c r="A1180" s="7" t="s">
        <v>2532</v>
      </c>
      <c r="B1180" s="7" t="s">
        <v>507</v>
      </c>
      <c r="C1180" s="8">
        <v>1</v>
      </c>
      <c r="D1180" s="7" t="s">
        <v>2532</v>
      </c>
      <c r="E1180" s="7" t="s">
        <v>2535</v>
      </c>
      <c r="F1180">
        <v>1690</v>
      </c>
      <c r="G1180" s="6">
        <v>891</v>
      </c>
      <c r="H1180" s="11" t="s">
        <v>2536</v>
      </c>
      <c r="I1180" s="6">
        <v>36</v>
      </c>
      <c r="J1180" s="6">
        <v>1</v>
      </c>
      <c r="K1180" s="6">
        <v>1</v>
      </c>
      <c r="L1180" s="6">
        <v>33</v>
      </c>
      <c r="M1180" s="10">
        <f t="shared" si="54"/>
        <v>3.0303030303030303</v>
      </c>
      <c r="N1180" s="10">
        <f t="shared" si="55"/>
        <v>4</v>
      </c>
      <c r="O1180" s="6" t="s">
        <v>234</v>
      </c>
      <c r="P1180" s="6">
        <v>0</v>
      </c>
      <c r="Q1180" s="6">
        <v>0</v>
      </c>
      <c r="R1180" s="6">
        <v>0</v>
      </c>
      <c r="S1180" s="6">
        <v>0</v>
      </c>
      <c r="T1180" s="6" t="str">
        <f t="shared" si="56"/>
        <v>Tercera</v>
      </c>
    </row>
    <row r="1181" spans="1:20" ht="24">
      <c r="A1181" s="7" t="s">
        <v>2532</v>
      </c>
      <c r="B1181" s="7" t="s">
        <v>507</v>
      </c>
      <c r="C1181" s="8">
        <v>1</v>
      </c>
      <c r="D1181" s="7" t="s">
        <v>2532</v>
      </c>
      <c r="E1181" s="7" t="s">
        <v>2537</v>
      </c>
      <c r="F1181">
        <v>1067</v>
      </c>
      <c r="G1181" s="6">
        <v>25432</v>
      </c>
      <c r="H1181" s="11" t="s">
        <v>2538</v>
      </c>
      <c r="I1181" s="6">
        <v>48</v>
      </c>
      <c r="J1181" s="6">
        <v>21</v>
      </c>
      <c r="K1181" s="6">
        <v>47</v>
      </c>
      <c r="L1181" s="6">
        <v>56</v>
      </c>
      <c r="M1181" s="10">
        <f t="shared" si="54"/>
        <v>83.928571428571431</v>
      </c>
      <c r="N1181" s="10">
        <f t="shared" si="55"/>
        <v>84</v>
      </c>
      <c r="O1181" s="6" t="s">
        <v>106</v>
      </c>
      <c r="P1181" s="6">
        <v>0</v>
      </c>
      <c r="Q1181" s="6">
        <v>3</v>
      </c>
      <c r="R1181" s="6">
        <v>3</v>
      </c>
      <c r="S1181" s="6">
        <v>6</v>
      </c>
      <c r="T1181" s="6" t="str">
        <f t="shared" si="56"/>
        <v>Septima</v>
      </c>
    </row>
    <row r="1182" spans="1:20" ht="24">
      <c r="A1182" s="7" t="s">
        <v>2532</v>
      </c>
      <c r="B1182" s="7" t="s">
        <v>507</v>
      </c>
      <c r="C1182" s="8">
        <v>1</v>
      </c>
      <c r="D1182" s="7" t="s">
        <v>2532</v>
      </c>
      <c r="E1182" s="7" t="s">
        <v>2539</v>
      </c>
      <c r="F1182">
        <v>1167</v>
      </c>
      <c r="G1182" s="6">
        <v>15996</v>
      </c>
      <c r="H1182" s="11" t="s">
        <v>2540</v>
      </c>
      <c r="I1182" s="6">
        <v>41</v>
      </c>
      <c r="J1182" s="6">
        <v>71</v>
      </c>
      <c r="K1182" s="6">
        <v>97</v>
      </c>
      <c r="L1182" s="6">
        <v>34</v>
      </c>
      <c r="M1182" s="10">
        <f t="shared" si="54"/>
        <v>285.29411764705884</v>
      </c>
      <c r="N1182" s="10">
        <f t="shared" si="55"/>
        <v>286</v>
      </c>
      <c r="O1182" s="6" t="s">
        <v>20</v>
      </c>
      <c r="P1182" s="6">
        <v>1</v>
      </c>
      <c r="Q1182" s="6">
        <v>0</v>
      </c>
      <c r="R1182" s="6">
        <v>9</v>
      </c>
      <c r="S1182" s="6">
        <v>10</v>
      </c>
      <c r="T1182" s="6" t="str">
        <f t="shared" si="56"/>
        <v>Sexta</v>
      </c>
    </row>
    <row r="1183" spans="1:20" ht="24">
      <c r="A1183" s="7" t="s">
        <v>2532</v>
      </c>
      <c r="B1183" s="7" t="s">
        <v>507</v>
      </c>
      <c r="C1183" s="8">
        <v>1</v>
      </c>
      <c r="D1183" s="7" t="s">
        <v>2532</v>
      </c>
      <c r="E1183" s="7" t="s">
        <v>2541</v>
      </c>
      <c r="F1183">
        <v>1140</v>
      </c>
      <c r="G1183" s="6">
        <v>25750</v>
      </c>
      <c r="H1183" s="11" t="s">
        <v>2542</v>
      </c>
      <c r="I1183" s="6">
        <v>14</v>
      </c>
      <c r="J1183" s="6">
        <v>34</v>
      </c>
      <c r="K1183" s="6">
        <v>69</v>
      </c>
      <c r="L1183" s="6">
        <v>50</v>
      </c>
      <c r="M1183" s="10">
        <f t="shared" si="54"/>
        <v>138</v>
      </c>
      <c r="N1183" s="10">
        <f t="shared" si="55"/>
        <v>138</v>
      </c>
      <c r="O1183" s="6" t="s">
        <v>26</v>
      </c>
      <c r="P1183" s="6">
        <v>2</v>
      </c>
      <c r="Q1183" s="6">
        <v>2</v>
      </c>
      <c r="R1183" s="6">
        <v>4</v>
      </c>
      <c r="S1183" s="6">
        <v>8</v>
      </c>
      <c r="T1183" s="6" t="str">
        <f t="shared" si="56"/>
        <v>Sexta</v>
      </c>
    </row>
    <row r="1184" spans="1:20" ht="24">
      <c r="A1184" s="7" t="s">
        <v>2532</v>
      </c>
      <c r="B1184" s="7" t="s">
        <v>507</v>
      </c>
      <c r="C1184" s="8">
        <v>1</v>
      </c>
      <c r="D1184" s="7" t="s">
        <v>2532</v>
      </c>
      <c r="E1184" s="7" t="s">
        <v>2543</v>
      </c>
      <c r="F1184">
        <v>1235</v>
      </c>
      <c r="G1184" s="6">
        <v>18260</v>
      </c>
      <c r="H1184" s="11" t="s">
        <v>2544</v>
      </c>
      <c r="I1184" s="6">
        <v>29</v>
      </c>
      <c r="J1184" s="6">
        <v>24</v>
      </c>
      <c r="K1184" s="6">
        <v>46</v>
      </c>
      <c r="L1184" s="6">
        <v>48</v>
      </c>
      <c r="M1184" s="10">
        <f t="shared" si="54"/>
        <v>95.833333333333329</v>
      </c>
      <c r="N1184" s="10">
        <f t="shared" si="55"/>
        <v>96</v>
      </c>
      <c r="O1184" s="6" t="s">
        <v>12</v>
      </c>
      <c r="P1184" s="6">
        <v>1</v>
      </c>
      <c r="Q1184" s="6">
        <v>3</v>
      </c>
      <c r="R1184" s="6">
        <v>3</v>
      </c>
      <c r="S1184" s="6">
        <v>7</v>
      </c>
      <c r="T1184" s="6" t="str">
        <f t="shared" si="56"/>
        <v>Quinta</v>
      </c>
    </row>
    <row r="1185" spans="1:20" ht="24">
      <c r="A1185" s="7" t="s">
        <v>2532</v>
      </c>
      <c r="B1185" s="7" t="s">
        <v>507</v>
      </c>
      <c r="C1185" s="8">
        <v>1</v>
      </c>
      <c r="D1185" s="7" t="s">
        <v>2532</v>
      </c>
      <c r="E1185" s="7" t="s">
        <v>2545</v>
      </c>
      <c r="F1185">
        <v>0</v>
      </c>
      <c r="G1185" s="6">
        <v>26906</v>
      </c>
      <c r="H1185" s="11" t="s">
        <v>2546</v>
      </c>
      <c r="I1185" s="6">
        <v>41</v>
      </c>
      <c r="M1185" s="10">
        <f t="shared" si="54"/>
        <v>0</v>
      </c>
      <c r="N1185" s="10">
        <f t="shared" si="55"/>
        <v>0</v>
      </c>
      <c r="P1185" s="6">
        <v>0</v>
      </c>
      <c r="Q1185" s="6">
        <v>0</v>
      </c>
      <c r="R1185" s="6">
        <v>0</v>
      </c>
      <c r="S1185" s="6">
        <v>0</v>
      </c>
      <c r="T1185" s="6" t="str">
        <f t="shared" si="56"/>
        <v>Octava</v>
      </c>
    </row>
    <row r="1186" spans="1:20">
      <c r="A1186" s="7" t="s">
        <v>2547</v>
      </c>
      <c r="B1186" s="7" t="s">
        <v>468</v>
      </c>
      <c r="C1186" s="8">
        <v>1</v>
      </c>
      <c r="D1186" s="7" t="s">
        <v>2547</v>
      </c>
      <c r="E1186" s="7" t="s">
        <v>2548</v>
      </c>
      <c r="F1186">
        <v>1907</v>
      </c>
      <c r="G1186" s="6">
        <v>15680</v>
      </c>
      <c r="H1186" s="11" t="s">
        <v>2549</v>
      </c>
      <c r="I1186" s="6">
        <v>37</v>
      </c>
      <c r="J1186" s="6">
        <v>214</v>
      </c>
      <c r="K1186" s="6">
        <v>636</v>
      </c>
      <c r="L1186" s="6">
        <v>51</v>
      </c>
      <c r="M1186" s="10">
        <f t="shared" si="54"/>
        <v>1247.0588235294117</v>
      </c>
      <c r="N1186" s="10">
        <f t="shared" si="55"/>
        <v>1248</v>
      </c>
      <c r="O1186" s="6" t="s">
        <v>26</v>
      </c>
      <c r="P1186" s="6">
        <v>28</v>
      </c>
      <c r="Q1186" s="6">
        <v>30</v>
      </c>
      <c r="R1186" s="6">
        <v>58</v>
      </c>
      <c r="S1186" s="6">
        <v>116</v>
      </c>
      <c r="T1186" s="6" t="str">
        <f t="shared" si="56"/>
        <v>Segunda</v>
      </c>
    </row>
    <row r="1187" spans="1:20">
      <c r="A1187" s="7" t="s">
        <v>2547</v>
      </c>
      <c r="B1187" s="7" t="s">
        <v>468</v>
      </c>
      <c r="C1187" s="8">
        <v>1</v>
      </c>
      <c r="D1187" s="7" t="s">
        <v>2547</v>
      </c>
      <c r="E1187" s="7" t="s">
        <v>2550</v>
      </c>
      <c r="F1187">
        <v>1645</v>
      </c>
      <c r="G1187" s="6">
        <v>7390</v>
      </c>
      <c r="H1187" s="11" t="s">
        <v>2551</v>
      </c>
      <c r="I1187" s="6">
        <v>34</v>
      </c>
      <c r="J1187" s="6">
        <v>15</v>
      </c>
      <c r="K1187" s="6">
        <v>44</v>
      </c>
      <c r="L1187" s="6">
        <v>66</v>
      </c>
      <c r="M1187" s="10">
        <f t="shared" si="54"/>
        <v>66.666666666666671</v>
      </c>
      <c r="N1187" s="10">
        <f t="shared" si="55"/>
        <v>67</v>
      </c>
      <c r="O1187" s="6" t="s">
        <v>69</v>
      </c>
      <c r="P1187" s="6">
        <v>2</v>
      </c>
      <c r="Q1187" s="6">
        <v>1</v>
      </c>
      <c r="R1187" s="6">
        <v>1</v>
      </c>
      <c r="S1187" s="6">
        <v>4</v>
      </c>
      <c r="T1187" s="6" t="str">
        <f t="shared" si="56"/>
        <v>Tercera</v>
      </c>
    </row>
    <row r="1188" spans="1:20">
      <c r="A1188" s="7" t="s">
        <v>2547</v>
      </c>
      <c r="B1188" s="7" t="s">
        <v>468</v>
      </c>
      <c r="C1188" s="8">
        <v>1</v>
      </c>
      <c r="D1188" s="7" t="s">
        <v>2547</v>
      </c>
      <c r="E1188" s="7" t="s">
        <v>2552</v>
      </c>
      <c r="F1188">
        <v>1616</v>
      </c>
      <c r="G1188" s="6">
        <v>8552</v>
      </c>
      <c r="H1188" s="11" t="s">
        <v>2553</v>
      </c>
      <c r="I1188" s="6">
        <v>53</v>
      </c>
      <c r="J1188" s="6">
        <v>116</v>
      </c>
      <c r="K1188" s="6">
        <v>260</v>
      </c>
      <c r="L1188" s="6">
        <v>49</v>
      </c>
      <c r="M1188" s="10">
        <f t="shared" si="54"/>
        <v>530.61224489795916</v>
      </c>
      <c r="N1188" s="10">
        <f t="shared" si="55"/>
        <v>531</v>
      </c>
      <c r="O1188" s="6" t="s">
        <v>272</v>
      </c>
      <c r="P1188" s="6">
        <v>2</v>
      </c>
      <c r="Q1188" s="6">
        <v>13</v>
      </c>
      <c r="R1188" s="6">
        <v>20</v>
      </c>
      <c r="S1188" s="6">
        <v>35</v>
      </c>
      <c r="T1188" s="6" t="str">
        <f t="shared" si="56"/>
        <v>Tercera</v>
      </c>
    </row>
    <row r="1189" spans="1:20">
      <c r="A1189" s="7" t="s">
        <v>2547</v>
      </c>
      <c r="B1189" s="7" t="s">
        <v>468</v>
      </c>
      <c r="C1189" s="8">
        <v>1</v>
      </c>
      <c r="D1189" s="7" t="s">
        <v>2547</v>
      </c>
      <c r="E1189" s="7" t="s">
        <v>2554</v>
      </c>
      <c r="F1189">
        <v>1666</v>
      </c>
      <c r="G1189" s="6">
        <v>10909</v>
      </c>
      <c r="H1189" s="11" t="s">
        <v>2555</v>
      </c>
      <c r="I1189" s="6">
        <v>39</v>
      </c>
      <c r="J1189" s="6">
        <v>108</v>
      </c>
      <c r="K1189" s="6">
        <v>276</v>
      </c>
      <c r="L1189" s="6">
        <v>48</v>
      </c>
      <c r="M1189" s="10">
        <f t="shared" si="54"/>
        <v>575</v>
      </c>
      <c r="N1189" s="10">
        <f t="shared" si="55"/>
        <v>575</v>
      </c>
      <c r="O1189" s="6" t="s">
        <v>59</v>
      </c>
      <c r="P1189" s="6">
        <v>10</v>
      </c>
      <c r="Q1189" s="6">
        <v>5</v>
      </c>
      <c r="R1189" s="6">
        <v>24</v>
      </c>
      <c r="S1189" s="6">
        <v>39</v>
      </c>
      <c r="T1189" s="6" t="str">
        <f t="shared" si="56"/>
        <v>Tercera</v>
      </c>
    </row>
    <row r="1190" spans="1:20">
      <c r="A1190" s="7" t="s">
        <v>2547</v>
      </c>
      <c r="B1190" s="7" t="s">
        <v>468</v>
      </c>
      <c r="C1190" s="8">
        <v>1</v>
      </c>
      <c r="D1190" s="7" t="s">
        <v>2547</v>
      </c>
      <c r="E1190" s="7" t="s">
        <v>2556</v>
      </c>
      <c r="F1190">
        <v>1739</v>
      </c>
      <c r="G1190" s="6">
        <v>22819</v>
      </c>
      <c r="H1190" s="11" t="s">
        <v>2557</v>
      </c>
      <c r="I1190" s="6">
        <v>17</v>
      </c>
      <c r="J1190" s="6">
        <v>42</v>
      </c>
      <c r="K1190" s="6">
        <v>134</v>
      </c>
      <c r="L1190" s="6">
        <v>65</v>
      </c>
      <c r="M1190" s="10">
        <f t="shared" si="54"/>
        <v>206.15384615384616</v>
      </c>
      <c r="N1190" s="10">
        <f t="shared" si="55"/>
        <v>207</v>
      </c>
      <c r="O1190" s="6" t="s">
        <v>27</v>
      </c>
      <c r="P1190" s="6">
        <v>7</v>
      </c>
      <c r="Q1190" s="6">
        <v>6</v>
      </c>
      <c r="R1190" s="6">
        <v>2</v>
      </c>
      <c r="S1190" s="6">
        <v>15</v>
      </c>
      <c r="T1190" s="6" t="str">
        <f t="shared" si="56"/>
        <v>Tercera</v>
      </c>
    </row>
    <row r="1191" spans="1:20">
      <c r="A1191" s="7" t="s">
        <v>2547</v>
      </c>
      <c r="B1191" s="7" t="s">
        <v>468</v>
      </c>
      <c r="C1191" s="8">
        <v>1</v>
      </c>
      <c r="D1191" s="7" t="s">
        <v>2547</v>
      </c>
      <c r="E1191" s="7" t="s">
        <v>2558</v>
      </c>
      <c r="F1191">
        <v>1000</v>
      </c>
      <c r="G1191" s="6">
        <v>13225</v>
      </c>
      <c r="H1191" s="11" t="s">
        <v>2559</v>
      </c>
      <c r="I1191" s="6">
        <v>34</v>
      </c>
      <c r="J1191" s="6">
        <v>0</v>
      </c>
      <c r="K1191" s="6">
        <v>0</v>
      </c>
      <c r="L1191" s="6">
        <v>0</v>
      </c>
      <c r="M1191" s="10">
        <f t="shared" si="54"/>
        <v>0</v>
      </c>
      <c r="N1191" s="10">
        <f t="shared" si="55"/>
        <v>0</v>
      </c>
      <c r="P1191" s="6">
        <v>0</v>
      </c>
      <c r="Q1191" s="6">
        <v>0</v>
      </c>
      <c r="R1191" s="6">
        <v>0</v>
      </c>
      <c r="S1191" s="6">
        <v>0</v>
      </c>
      <c r="T1191" s="6" t="str">
        <f t="shared" si="56"/>
        <v>Septima</v>
      </c>
    </row>
    <row r="1192" spans="1:20">
      <c r="A1192" s="7" t="s">
        <v>2547</v>
      </c>
      <c r="B1192" s="7" t="s">
        <v>468</v>
      </c>
      <c r="C1192" s="8">
        <v>1</v>
      </c>
      <c r="D1192" s="7" t="s">
        <v>2547</v>
      </c>
      <c r="E1192" s="7" t="s">
        <v>2560</v>
      </c>
      <c r="F1192">
        <v>1000</v>
      </c>
      <c r="G1192" s="6">
        <v>8905</v>
      </c>
      <c r="H1192" s="11" t="s">
        <v>2561</v>
      </c>
      <c r="I1192" s="6">
        <v>27</v>
      </c>
      <c r="J1192" s="6">
        <v>0</v>
      </c>
      <c r="K1192" s="6">
        <v>0</v>
      </c>
      <c r="L1192" s="6">
        <v>0</v>
      </c>
      <c r="M1192" s="10">
        <f t="shared" si="54"/>
        <v>0</v>
      </c>
      <c r="N1192" s="10">
        <f t="shared" si="55"/>
        <v>0</v>
      </c>
      <c r="P1192" s="6">
        <v>0</v>
      </c>
      <c r="Q1192" s="6">
        <v>0</v>
      </c>
      <c r="R1192" s="6">
        <v>0</v>
      </c>
      <c r="S1192" s="6">
        <v>0</v>
      </c>
      <c r="T1192" s="6" t="str">
        <f t="shared" si="56"/>
        <v>Septima</v>
      </c>
    </row>
    <row r="1193" spans="1:20">
      <c r="A1193" s="7" t="s">
        <v>2562</v>
      </c>
      <c r="B1193" s="7" t="s">
        <v>451</v>
      </c>
      <c r="C1193" s="8">
        <v>1</v>
      </c>
      <c r="D1193" s="7" t="s">
        <v>2562</v>
      </c>
      <c r="E1193" s="7" t="s">
        <v>2563</v>
      </c>
      <c r="F1193">
        <v>2169</v>
      </c>
      <c r="G1193" s="6">
        <v>8192</v>
      </c>
      <c r="H1193" s="11" t="s">
        <v>2564</v>
      </c>
      <c r="I1193" s="6">
        <v>37</v>
      </c>
      <c r="J1193" s="6">
        <v>683</v>
      </c>
      <c r="K1193" s="6">
        <v>2226</v>
      </c>
      <c r="L1193" s="6">
        <v>63</v>
      </c>
      <c r="M1193" s="10">
        <f t="shared" si="54"/>
        <v>3533.3333333333335</v>
      </c>
      <c r="N1193" s="10">
        <f t="shared" si="55"/>
        <v>3534</v>
      </c>
      <c r="O1193" s="6" t="s">
        <v>101</v>
      </c>
      <c r="P1193" s="6">
        <v>87</v>
      </c>
      <c r="Q1193" s="6">
        <v>103</v>
      </c>
      <c r="R1193" s="6">
        <v>172</v>
      </c>
      <c r="S1193" s="6">
        <v>362</v>
      </c>
      <c r="T1193" s="6" t="str">
        <f t="shared" si="56"/>
        <v>Primera</v>
      </c>
    </row>
    <row r="1194" spans="1:20">
      <c r="A1194" s="7" t="s">
        <v>2562</v>
      </c>
      <c r="B1194" s="7" t="s">
        <v>451</v>
      </c>
      <c r="C1194" s="8">
        <v>1</v>
      </c>
      <c r="D1194" s="7" t="s">
        <v>2562</v>
      </c>
      <c r="E1194" s="7" t="s">
        <v>2565</v>
      </c>
      <c r="F1194">
        <v>2108</v>
      </c>
      <c r="G1194" s="6">
        <v>10956</v>
      </c>
      <c r="H1194" s="11" t="s">
        <v>2566</v>
      </c>
      <c r="I1194" s="6">
        <v>26</v>
      </c>
      <c r="J1194" s="6">
        <v>75</v>
      </c>
      <c r="K1194" s="6">
        <v>274</v>
      </c>
      <c r="L1194" s="6">
        <v>67</v>
      </c>
      <c r="M1194" s="10">
        <f t="shared" si="54"/>
        <v>408.95522388059703</v>
      </c>
      <c r="N1194" s="10">
        <f t="shared" si="55"/>
        <v>409</v>
      </c>
      <c r="O1194" s="6" t="s">
        <v>101</v>
      </c>
      <c r="P1194" s="6">
        <v>13</v>
      </c>
      <c r="Q1194" s="6">
        <v>6</v>
      </c>
      <c r="R1194" s="6">
        <v>24</v>
      </c>
      <c r="S1194" s="6">
        <v>43</v>
      </c>
      <c r="T1194" s="6" t="str">
        <f t="shared" si="56"/>
        <v>Primera</v>
      </c>
    </row>
    <row r="1195" spans="1:20">
      <c r="A1195" s="7" t="s">
        <v>2562</v>
      </c>
      <c r="B1195" s="7" t="s">
        <v>451</v>
      </c>
      <c r="C1195" s="8">
        <v>1</v>
      </c>
      <c r="D1195" s="7" t="s">
        <v>2562</v>
      </c>
      <c r="E1195" s="7" t="s">
        <v>2567</v>
      </c>
      <c r="F1195">
        <v>2026</v>
      </c>
      <c r="G1195" s="6">
        <v>25731</v>
      </c>
      <c r="H1195" s="11" t="s">
        <v>2568</v>
      </c>
      <c r="I1195" s="6">
        <v>53</v>
      </c>
      <c r="J1195" s="6">
        <v>90</v>
      </c>
      <c r="K1195" s="6">
        <v>249</v>
      </c>
      <c r="L1195" s="6">
        <v>63</v>
      </c>
      <c r="M1195" s="10">
        <f t="shared" si="54"/>
        <v>395.23809523809524</v>
      </c>
      <c r="N1195" s="10">
        <f t="shared" si="55"/>
        <v>396</v>
      </c>
      <c r="O1195" s="6" t="s">
        <v>101</v>
      </c>
      <c r="P1195" s="6">
        <v>12</v>
      </c>
      <c r="Q1195" s="6">
        <v>8</v>
      </c>
      <c r="R1195" s="6">
        <v>27</v>
      </c>
      <c r="S1195" s="6">
        <v>47</v>
      </c>
      <c r="T1195" s="6" t="str">
        <f t="shared" si="56"/>
        <v>Segunda</v>
      </c>
    </row>
    <row r="1196" spans="1:20">
      <c r="A1196" s="7" t="s">
        <v>2562</v>
      </c>
      <c r="B1196" s="7" t="s">
        <v>451</v>
      </c>
      <c r="C1196" s="8">
        <v>1</v>
      </c>
      <c r="D1196" s="7" t="s">
        <v>2562</v>
      </c>
      <c r="E1196" s="7" t="s">
        <v>2569</v>
      </c>
      <c r="F1196">
        <v>1880</v>
      </c>
      <c r="G1196" s="6">
        <v>8883</v>
      </c>
      <c r="H1196" s="11" t="s">
        <v>2570</v>
      </c>
      <c r="I1196" s="6">
        <v>60</v>
      </c>
      <c r="J1196" s="6">
        <v>177</v>
      </c>
      <c r="K1196" s="6">
        <v>435</v>
      </c>
      <c r="L1196" s="6">
        <v>50</v>
      </c>
      <c r="M1196" s="10">
        <f t="shared" si="54"/>
        <v>870</v>
      </c>
      <c r="N1196" s="10">
        <f t="shared" si="55"/>
        <v>870</v>
      </c>
      <c r="O1196" s="6" t="s">
        <v>9</v>
      </c>
      <c r="P1196" s="6">
        <v>4</v>
      </c>
      <c r="Q1196" s="6">
        <v>18</v>
      </c>
      <c r="R1196" s="6">
        <v>27</v>
      </c>
      <c r="S1196" s="6">
        <v>49</v>
      </c>
      <c r="T1196" s="6" t="str">
        <f t="shared" si="56"/>
        <v>Segunda</v>
      </c>
    </row>
    <row r="1197" spans="1:20">
      <c r="A1197" s="7" t="s">
        <v>2562</v>
      </c>
      <c r="B1197" s="7" t="s">
        <v>451</v>
      </c>
      <c r="C1197" s="8">
        <v>1</v>
      </c>
      <c r="D1197" s="7" t="s">
        <v>2562</v>
      </c>
      <c r="E1197" s="7" t="s">
        <v>2571</v>
      </c>
      <c r="F1197">
        <v>2109</v>
      </c>
      <c r="G1197" s="6">
        <v>14668</v>
      </c>
      <c r="H1197" s="11" t="s">
        <v>2572</v>
      </c>
      <c r="I1197" s="6">
        <v>33</v>
      </c>
      <c r="J1197" s="6">
        <v>216</v>
      </c>
      <c r="K1197" s="6">
        <v>541</v>
      </c>
      <c r="L1197" s="6">
        <v>56</v>
      </c>
      <c r="M1197" s="10">
        <f t="shared" si="54"/>
        <v>966.07142857142856</v>
      </c>
      <c r="N1197" s="10">
        <f t="shared" si="55"/>
        <v>967</v>
      </c>
      <c r="O1197" s="6" t="s">
        <v>101</v>
      </c>
      <c r="P1197" s="6">
        <v>25</v>
      </c>
      <c r="Q1197" s="6">
        <v>24</v>
      </c>
      <c r="R1197" s="6">
        <v>36</v>
      </c>
      <c r="S1197" s="6">
        <v>85</v>
      </c>
      <c r="T1197" s="6" t="str">
        <f t="shared" si="56"/>
        <v>Primera</v>
      </c>
    </row>
    <row r="1198" spans="1:20">
      <c r="A1198" s="7" t="s">
        <v>2562</v>
      </c>
      <c r="B1198" s="7" t="s">
        <v>451</v>
      </c>
      <c r="C1198" s="8">
        <v>1</v>
      </c>
      <c r="D1198" s="7" t="s">
        <v>2562</v>
      </c>
      <c r="E1198" s="7" t="s">
        <v>2573</v>
      </c>
      <c r="F1198">
        <v>1858</v>
      </c>
      <c r="G1198" s="6">
        <v>8640</v>
      </c>
      <c r="H1198" s="11" t="s">
        <v>2574</v>
      </c>
      <c r="I1198" s="6">
        <v>48</v>
      </c>
      <c r="J1198" s="6">
        <v>737</v>
      </c>
      <c r="K1198" s="6">
        <v>2025</v>
      </c>
      <c r="L1198" s="6">
        <v>61</v>
      </c>
      <c r="M1198" s="10">
        <f t="shared" si="54"/>
        <v>3319.6721311475408</v>
      </c>
      <c r="N1198" s="10">
        <f t="shared" si="55"/>
        <v>3320</v>
      </c>
      <c r="O1198" s="6" t="s">
        <v>142</v>
      </c>
      <c r="P1198" s="6">
        <v>86</v>
      </c>
      <c r="Q1198" s="6">
        <v>92</v>
      </c>
      <c r="R1198" s="6">
        <v>150</v>
      </c>
      <c r="S1198" s="6">
        <v>328</v>
      </c>
      <c r="T1198" s="6" t="str">
        <f t="shared" si="56"/>
        <v>Segunda</v>
      </c>
    </row>
    <row r="1199" spans="1:20">
      <c r="A1199" s="7" t="s">
        <v>2562</v>
      </c>
      <c r="B1199" s="7" t="s">
        <v>468</v>
      </c>
      <c r="C1199" s="8">
        <v>1</v>
      </c>
      <c r="D1199" s="7" t="s">
        <v>2562</v>
      </c>
      <c r="E1199" s="7" t="s">
        <v>2575</v>
      </c>
      <c r="F1199">
        <v>1641</v>
      </c>
      <c r="G1199" s="6">
        <v>19551</v>
      </c>
      <c r="H1199" s="11" t="s">
        <v>2576</v>
      </c>
      <c r="I1199" s="6">
        <v>66</v>
      </c>
      <c r="J1199" s="6">
        <v>229</v>
      </c>
      <c r="K1199" s="6">
        <v>563</v>
      </c>
      <c r="L1199" s="6">
        <v>56</v>
      </c>
      <c r="M1199" s="10">
        <f t="shared" si="54"/>
        <v>1005.3571428571429</v>
      </c>
      <c r="N1199" s="10">
        <f t="shared" si="55"/>
        <v>1006</v>
      </c>
      <c r="O1199" s="6" t="s">
        <v>27</v>
      </c>
      <c r="P1199" s="6">
        <v>21</v>
      </c>
      <c r="Q1199" s="6">
        <v>19</v>
      </c>
      <c r="R1199" s="6">
        <v>47</v>
      </c>
      <c r="S1199" s="6">
        <v>87</v>
      </c>
      <c r="T1199" s="6" t="str">
        <f t="shared" si="56"/>
        <v>Tercera</v>
      </c>
    </row>
    <row r="1200" spans="1:20">
      <c r="A1200" s="7" t="s">
        <v>2562</v>
      </c>
      <c r="B1200" s="7" t="s">
        <v>468</v>
      </c>
      <c r="C1200" s="8">
        <v>1</v>
      </c>
      <c r="D1200" s="7" t="s">
        <v>2562</v>
      </c>
      <c r="E1200" s="7" t="s">
        <v>2577</v>
      </c>
      <c r="F1200">
        <v>1866</v>
      </c>
      <c r="G1200" s="6">
        <v>3364</v>
      </c>
      <c r="H1200" s="11" t="s">
        <v>2578</v>
      </c>
      <c r="I1200" s="6">
        <v>60</v>
      </c>
      <c r="J1200" s="6">
        <v>372</v>
      </c>
      <c r="K1200" s="6">
        <v>921</v>
      </c>
      <c r="L1200" s="6">
        <v>59</v>
      </c>
      <c r="M1200" s="10">
        <f t="shared" si="54"/>
        <v>1561.0169491525423</v>
      </c>
      <c r="N1200" s="10">
        <f t="shared" si="55"/>
        <v>1562</v>
      </c>
      <c r="O1200" s="6" t="s">
        <v>101</v>
      </c>
      <c r="P1200" s="6">
        <v>30</v>
      </c>
      <c r="Q1200" s="6">
        <v>42</v>
      </c>
      <c r="R1200" s="6">
        <v>68</v>
      </c>
      <c r="S1200" s="6">
        <v>140</v>
      </c>
      <c r="T1200" s="6" t="str">
        <f t="shared" si="56"/>
        <v>Segunda</v>
      </c>
    </row>
    <row r="1201" spans="1:20">
      <c r="A1201" s="7" t="s">
        <v>2562</v>
      </c>
      <c r="B1201" s="7" t="s">
        <v>468</v>
      </c>
      <c r="C1201" s="8">
        <v>1</v>
      </c>
      <c r="D1201" s="7" t="s">
        <v>2562</v>
      </c>
      <c r="E1201" s="7" t="s">
        <v>2579</v>
      </c>
      <c r="F1201">
        <v>1614</v>
      </c>
      <c r="G1201" s="6">
        <v>1123</v>
      </c>
      <c r="H1201" s="11" t="s">
        <v>2580</v>
      </c>
      <c r="I1201" s="6">
        <v>51</v>
      </c>
      <c r="J1201" s="6">
        <v>417</v>
      </c>
      <c r="K1201" s="6">
        <v>1204</v>
      </c>
      <c r="L1201" s="6">
        <v>55</v>
      </c>
      <c r="M1201" s="10">
        <f t="shared" si="54"/>
        <v>2189.090909090909</v>
      </c>
      <c r="N1201" s="10">
        <f t="shared" si="55"/>
        <v>2190</v>
      </c>
      <c r="O1201" s="6" t="s">
        <v>308</v>
      </c>
      <c r="P1201" s="6">
        <v>38</v>
      </c>
      <c r="Q1201" s="6">
        <v>39</v>
      </c>
      <c r="R1201" s="6">
        <v>74</v>
      </c>
      <c r="S1201" s="6">
        <v>151</v>
      </c>
      <c r="T1201" s="6" t="str">
        <f t="shared" si="56"/>
        <v>Tercera</v>
      </c>
    </row>
    <row r="1202" spans="1:20">
      <c r="A1202" s="7" t="s">
        <v>2562</v>
      </c>
      <c r="B1202" s="7" t="s">
        <v>468</v>
      </c>
      <c r="C1202" s="8">
        <v>1</v>
      </c>
      <c r="D1202" s="7" t="s">
        <v>2562</v>
      </c>
      <c r="E1202" s="7" t="s">
        <v>2581</v>
      </c>
      <c r="F1202">
        <v>1683</v>
      </c>
      <c r="G1202" s="6">
        <v>8923</v>
      </c>
      <c r="H1202" s="11" t="s">
        <v>2582</v>
      </c>
      <c r="I1202" s="6">
        <v>48</v>
      </c>
      <c r="J1202" s="6">
        <v>833</v>
      </c>
      <c r="K1202" s="6">
        <v>2296</v>
      </c>
      <c r="L1202" s="6">
        <v>53</v>
      </c>
      <c r="M1202" s="10">
        <f t="shared" si="54"/>
        <v>4332.0754716981128</v>
      </c>
      <c r="N1202" s="10">
        <f t="shared" si="55"/>
        <v>4333</v>
      </c>
      <c r="O1202" s="6" t="s">
        <v>27</v>
      </c>
      <c r="P1202" s="6">
        <v>93</v>
      </c>
      <c r="Q1202" s="6">
        <v>84</v>
      </c>
      <c r="R1202" s="6">
        <v>177</v>
      </c>
      <c r="S1202" s="6">
        <v>354</v>
      </c>
      <c r="T1202" s="6" t="str">
        <f t="shared" si="56"/>
        <v>Tercera</v>
      </c>
    </row>
    <row r="1203" spans="1:20">
      <c r="A1203" s="7" t="s">
        <v>2562</v>
      </c>
      <c r="B1203" s="7" t="s">
        <v>468</v>
      </c>
      <c r="C1203" s="8">
        <v>1</v>
      </c>
      <c r="D1203" s="7" t="s">
        <v>2562</v>
      </c>
      <c r="E1203" s="7" t="s">
        <v>2583</v>
      </c>
      <c r="F1203">
        <v>1008</v>
      </c>
      <c r="G1203" s="6">
        <v>22525</v>
      </c>
      <c r="H1203" s="11" t="s">
        <v>2584</v>
      </c>
      <c r="I1203" s="6">
        <v>68</v>
      </c>
      <c r="J1203" s="6">
        <v>1</v>
      </c>
      <c r="K1203" s="6">
        <v>1</v>
      </c>
      <c r="L1203" s="6">
        <v>33</v>
      </c>
      <c r="M1203" s="10">
        <f t="shared" si="54"/>
        <v>3.0303030303030303</v>
      </c>
      <c r="N1203" s="10">
        <f t="shared" si="55"/>
        <v>4</v>
      </c>
      <c r="O1203" s="6" t="s">
        <v>309</v>
      </c>
      <c r="P1203" s="6">
        <v>0</v>
      </c>
      <c r="Q1203" s="6">
        <v>0</v>
      </c>
      <c r="R1203" s="6">
        <v>0</v>
      </c>
      <c r="S1203" s="6">
        <v>0</v>
      </c>
      <c r="T1203" s="6" t="str">
        <f t="shared" si="56"/>
        <v>Septima</v>
      </c>
    </row>
    <row r="1204" spans="1:20">
      <c r="A1204" s="7" t="s">
        <v>2562</v>
      </c>
      <c r="B1204" s="7" t="s">
        <v>468</v>
      </c>
      <c r="C1204" s="8">
        <v>1</v>
      </c>
      <c r="D1204" s="7" t="s">
        <v>2562</v>
      </c>
      <c r="E1204" s="7" t="s">
        <v>2585</v>
      </c>
      <c r="F1204">
        <v>1000</v>
      </c>
      <c r="G1204" s="6">
        <v>15393</v>
      </c>
      <c r="H1204" s="11" t="s">
        <v>2586</v>
      </c>
      <c r="I1204" s="6">
        <v>34</v>
      </c>
      <c r="J1204" s="6">
        <v>0</v>
      </c>
      <c r="K1204" s="6">
        <v>0</v>
      </c>
      <c r="L1204" s="6">
        <v>0</v>
      </c>
      <c r="M1204" s="10">
        <f t="shared" si="54"/>
        <v>0</v>
      </c>
      <c r="N1204" s="10">
        <f t="shared" si="55"/>
        <v>0</v>
      </c>
      <c r="P1204" s="6">
        <v>0</v>
      </c>
      <c r="Q1204" s="6">
        <v>0</v>
      </c>
      <c r="R1204" s="6">
        <v>0</v>
      </c>
      <c r="S1204" s="6">
        <v>0</v>
      </c>
      <c r="T1204" s="6" t="str">
        <f t="shared" si="56"/>
        <v>Septima</v>
      </c>
    </row>
    <row r="1205" spans="1:20">
      <c r="A1205" s="7" t="s">
        <v>2562</v>
      </c>
      <c r="B1205" s="7" t="s">
        <v>468</v>
      </c>
      <c r="C1205" s="8">
        <v>1</v>
      </c>
      <c r="D1205" s="7" t="s">
        <v>2562</v>
      </c>
      <c r="E1205" s="7" t="s">
        <v>2587</v>
      </c>
      <c r="F1205">
        <v>1560</v>
      </c>
      <c r="G1205" s="6">
        <v>5111</v>
      </c>
      <c r="H1205" s="11" t="s">
        <v>2588</v>
      </c>
      <c r="I1205" s="6">
        <v>56</v>
      </c>
      <c r="J1205" s="6">
        <v>90</v>
      </c>
      <c r="K1205" s="6">
        <v>175</v>
      </c>
      <c r="L1205" s="6">
        <v>46</v>
      </c>
      <c r="M1205" s="10">
        <f t="shared" si="54"/>
        <v>380.43478260869563</v>
      </c>
      <c r="N1205" s="10">
        <f t="shared" si="55"/>
        <v>381</v>
      </c>
      <c r="O1205" s="6" t="s">
        <v>199</v>
      </c>
      <c r="P1205" s="6">
        <v>8</v>
      </c>
      <c r="Q1205" s="6">
        <v>4</v>
      </c>
      <c r="R1205" s="6">
        <v>15</v>
      </c>
      <c r="S1205" s="6">
        <v>27</v>
      </c>
      <c r="T1205" s="6" t="str">
        <f t="shared" si="56"/>
        <v>Cuarta</v>
      </c>
    </row>
    <row r="1206" spans="1:20">
      <c r="A1206" s="7" t="s">
        <v>2562</v>
      </c>
      <c r="B1206" s="7" t="s">
        <v>496</v>
      </c>
      <c r="C1206" s="8">
        <v>1</v>
      </c>
      <c r="D1206" s="7" t="s">
        <v>2562</v>
      </c>
      <c r="E1206" s="7" t="s">
        <v>2589</v>
      </c>
      <c r="F1206">
        <v>1578</v>
      </c>
      <c r="G1206" s="6">
        <v>5406</v>
      </c>
      <c r="H1206" s="11" t="s">
        <v>2590</v>
      </c>
      <c r="I1206" s="6">
        <v>55</v>
      </c>
      <c r="J1206" s="6">
        <v>54</v>
      </c>
      <c r="K1206" s="6">
        <v>124</v>
      </c>
      <c r="L1206" s="6">
        <v>52</v>
      </c>
      <c r="M1206" s="10">
        <f t="shared" si="54"/>
        <v>238.46153846153845</v>
      </c>
      <c r="N1206" s="10">
        <f t="shared" si="55"/>
        <v>239</v>
      </c>
      <c r="O1206" s="6" t="s">
        <v>192</v>
      </c>
      <c r="P1206" s="6">
        <v>4</v>
      </c>
      <c r="Q1206" s="6">
        <v>6</v>
      </c>
      <c r="R1206" s="6">
        <v>7</v>
      </c>
      <c r="S1206" s="6">
        <v>17</v>
      </c>
      <c r="T1206" s="6" t="str">
        <f t="shared" si="56"/>
        <v>Cuarta</v>
      </c>
    </row>
    <row r="1207" spans="1:20">
      <c r="A1207" s="7" t="s">
        <v>2562</v>
      </c>
      <c r="B1207" s="7" t="s">
        <v>496</v>
      </c>
      <c r="C1207" s="8">
        <v>1</v>
      </c>
      <c r="D1207" s="7" t="s">
        <v>2562</v>
      </c>
      <c r="E1207" s="7" t="s">
        <v>2591</v>
      </c>
      <c r="F1207">
        <v>1677</v>
      </c>
      <c r="G1207" s="6">
        <v>28091</v>
      </c>
      <c r="H1207" s="11" t="s">
        <v>2592</v>
      </c>
      <c r="I1207" s="6">
        <v>41</v>
      </c>
      <c r="J1207" s="6">
        <v>79</v>
      </c>
      <c r="K1207" s="6">
        <v>179</v>
      </c>
      <c r="L1207" s="6">
        <v>50</v>
      </c>
      <c r="M1207" s="10">
        <f t="shared" si="54"/>
        <v>358</v>
      </c>
      <c r="N1207" s="10">
        <f t="shared" si="55"/>
        <v>358</v>
      </c>
      <c r="O1207" s="6" t="s">
        <v>37</v>
      </c>
      <c r="P1207" s="6">
        <v>10</v>
      </c>
      <c r="Q1207" s="6">
        <v>8</v>
      </c>
      <c r="R1207" s="6">
        <v>15</v>
      </c>
      <c r="S1207" s="6">
        <v>33</v>
      </c>
      <c r="T1207" s="6" t="str">
        <f t="shared" si="56"/>
        <v>Tercera</v>
      </c>
    </row>
    <row r="1208" spans="1:20">
      <c r="A1208" s="7" t="s">
        <v>2562</v>
      </c>
      <c r="B1208" s="7" t="s">
        <v>496</v>
      </c>
      <c r="C1208" s="8">
        <v>1</v>
      </c>
      <c r="D1208" s="7" t="s">
        <v>2562</v>
      </c>
      <c r="E1208" s="7" t="s">
        <v>2593</v>
      </c>
      <c r="F1208">
        <v>1446</v>
      </c>
      <c r="G1208" s="6">
        <v>21538</v>
      </c>
      <c r="H1208" s="11" t="s">
        <v>2594</v>
      </c>
      <c r="I1208" s="6">
        <v>47</v>
      </c>
      <c r="J1208" s="6">
        <v>25</v>
      </c>
      <c r="K1208" s="6">
        <v>74</v>
      </c>
      <c r="L1208" s="6">
        <v>50</v>
      </c>
      <c r="M1208" s="10">
        <f t="shared" si="54"/>
        <v>148</v>
      </c>
      <c r="N1208" s="10">
        <f t="shared" si="55"/>
        <v>148</v>
      </c>
      <c r="O1208" s="6" t="s">
        <v>219</v>
      </c>
      <c r="P1208" s="6">
        <v>2</v>
      </c>
      <c r="Q1208" s="6">
        <v>6</v>
      </c>
      <c r="R1208" s="6">
        <v>2</v>
      </c>
      <c r="S1208" s="6">
        <v>10</v>
      </c>
      <c r="T1208" s="6" t="str">
        <f t="shared" si="56"/>
        <v>Cuarta</v>
      </c>
    </row>
    <row r="1209" spans="1:20">
      <c r="A1209" s="7" t="s">
        <v>2562</v>
      </c>
      <c r="B1209" s="7" t="s">
        <v>496</v>
      </c>
      <c r="C1209" s="8">
        <v>1</v>
      </c>
      <c r="D1209" s="7" t="s">
        <v>2562</v>
      </c>
      <c r="E1209" s="7" t="s">
        <v>2595</v>
      </c>
      <c r="F1209">
        <v>1207</v>
      </c>
      <c r="G1209" s="6">
        <v>26615</v>
      </c>
      <c r="H1209" s="11" t="s">
        <v>2596</v>
      </c>
      <c r="I1209" s="6">
        <v>53</v>
      </c>
      <c r="J1209" s="6">
        <v>10</v>
      </c>
      <c r="K1209" s="6">
        <v>31</v>
      </c>
      <c r="L1209" s="6">
        <v>69</v>
      </c>
      <c r="M1209" s="10">
        <f t="shared" si="54"/>
        <v>44.927536231884055</v>
      </c>
      <c r="N1209" s="10">
        <f t="shared" si="55"/>
        <v>45</v>
      </c>
      <c r="O1209" s="6" t="s">
        <v>310</v>
      </c>
      <c r="P1209" s="6">
        <v>6</v>
      </c>
      <c r="Q1209" s="6">
        <v>0</v>
      </c>
      <c r="R1209" s="6">
        <v>2</v>
      </c>
      <c r="S1209" s="6">
        <v>8</v>
      </c>
      <c r="T1209" s="6" t="str">
        <f t="shared" si="56"/>
        <v>Quinta</v>
      </c>
    </row>
    <row r="1210" spans="1:20">
      <c r="A1210" s="7" t="s">
        <v>2562</v>
      </c>
      <c r="B1210" s="7" t="s">
        <v>496</v>
      </c>
      <c r="C1210" s="8">
        <v>1</v>
      </c>
      <c r="D1210" s="7" t="s">
        <v>2562</v>
      </c>
      <c r="E1210" s="7" t="s">
        <v>2597</v>
      </c>
      <c r="F1210">
        <v>1110</v>
      </c>
      <c r="G1210" s="6">
        <v>7033</v>
      </c>
      <c r="H1210" s="11" t="s">
        <v>2598</v>
      </c>
      <c r="I1210" s="6">
        <v>67</v>
      </c>
      <c r="J1210" s="6">
        <v>183</v>
      </c>
      <c r="K1210" s="6">
        <v>192</v>
      </c>
      <c r="L1210" s="6">
        <v>26</v>
      </c>
      <c r="M1210" s="10">
        <f t="shared" si="54"/>
        <v>738.46153846153845</v>
      </c>
      <c r="N1210" s="10">
        <f t="shared" si="55"/>
        <v>739</v>
      </c>
      <c r="O1210" s="6" t="s">
        <v>311</v>
      </c>
      <c r="P1210" s="6">
        <v>4</v>
      </c>
      <c r="Q1210" s="6">
        <v>4</v>
      </c>
      <c r="R1210" s="6">
        <v>8</v>
      </c>
      <c r="S1210" s="6">
        <v>16</v>
      </c>
      <c r="T1210" s="6" t="str">
        <f t="shared" si="56"/>
        <v>Sexta</v>
      </c>
    </row>
    <row r="1211" spans="1:20">
      <c r="A1211" s="7" t="s">
        <v>2562</v>
      </c>
      <c r="B1211" s="7" t="s">
        <v>496</v>
      </c>
      <c r="C1211" s="8">
        <v>1</v>
      </c>
      <c r="D1211" s="7" t="s">
        <v>2562</v>
      </c>
      <c r="E1211" s="7" t="s">
        <v>2599</v>
      </c>
      <c r="F1211">
        <v>1212</v>
      </c>
      <c r="G1211" s="6">
        <v>22533</v>
      </c>
      <c r="H1211" s="11" t="s">
        <v>2600</v>
      </c>
      <c r="I1211" s="6">
        <v>63</v>
      </c>
      <c r="J1211" s="6">
        <v>28</v>
      </c>
      <c r="K1211" s="6">
        <v>58</v>
      </c>
      <c r="L1211" s="6">
        <v>50</v>
      </c>
      <c r="M1211" s="10">
        <f t="shared" si="54"/>
        <v>116</v>
      </c>
      <c r="N1211" s="10">
        <f t="shared" si="55"/>
        <v>116</v>
      </c>
      <c r="O1211" s="6" t="s">
        <v>312</v>
      </c>
      <c r="P1211" s="6">
        <v>2</v>
      </c>
      <c r="Q1211" s="6">
        <v>1</v>
      </c>
      <c r="R1211" s="6">
        <v>5</v>
      </c>
      <c r="S1211" s="6">
        <v>8</v>
      </c>
      <c r="T1211" s="6" t="str">
        <f t="shared" si="56"/>
        <v>Quinta</v>
      </c>
    </row>
    <row r="1212" spans="1:20">
      <c r="A1212" s="7" t="s">
        <v>2562</v>
      </c>
      <c r="B1212" s="7" t="s">
        <v>496</v>
      </c>
      <c r="C1212" s="8">
        <v>1</v>
      </c>
      <c r="D1212" s="7" t="s">
        <v>2562</v>
      </c>
      <c r="E1212" s="7" t="s">
        <v>2601</v>
      </c>
      <c r="F1212">
        <v>1200</v>
      </c>
      <c r="G1212" s="6">
        <v>27127</v>
      </c>
      <c r="H1212" s="11" t="s">
        <v>2602</v>
      </c>
      <c r="I1212" s="6">
        <v>32</v>
      </c>
      <c r="J1212" s="6">
        <v>46</v>
      </c>
      <c r="K1212" s="6">
        <v>109</v>
      </c>
      <c r="L1212" s="6">
        <v>54</v>
      </c>
      <c r="M1212" s="10">
        <f t="shared" si="54"/>
        <v>201.85185185185185</v>
      </c>
      <c r="N1212" s="10">
        <f t="shared" si="55"/>
        <v>202</v>
      </c>
      <c r="O1212" s="6" t="s">
        <v>121</v>
      </c>
      <c r="P1212" s="6">
        <v>4</v>
      </c>
      <c r="Q1212" s="6">
        <v>10</v>
      </c>
      <c r="R1212" s="6">
        <v>9</v>
      </c>
      <c r="S1212" s="6">
        <v>23</v>
      </c>
      <c r="T1212" s="6" t="str">
        <f t="shared" si="56"/>
        <v>Quinta</v>
      </c>
    </row>
    <row r="1213" spans="1:20">
      <c r="A1213" s="7" t="s">
        <v>2562</v>
      </c>
      <c r="B1213" s="7" t="s">
        <v>496</v>
      </c>
      <c r="C1213" s="8">
        <v>1</v>
      </c>
      <c r="D1213" s="7" t="s">
        <v>2562</v>
      </c>
      <c r="E1213" s="7" t="s">
        <v>2603</v>
      </c>
      <c r="F1213">
        <v>1172</v>
      </c>
      <c r="G1213" s="6">
        <v>22230</v>
      </c>
      <c r="H1213" s="11" t="s">
        <v>2604</v>
      </c>
      <c r="I1213" s="6">
        <v>59</v>
      </c>
      <c r="J1213" s="6">
        <v>147</v>
      </c>
      <c r="K1213" s="6">
        <v>248</v>
      </c>
      <c r="L1213" s="6">
        <v>45</v>
      </c>
      <c r="M1213" s="10">
        <f t="shared" si="54"/>
        <v>551.11111111111109</v>
      </c>
      <c r="N1213" s="10">
        <f t="shared" si="55"/>
        <v>552</v>
      </c>
      <c r="O1213" s="6" t="s">
        <v>26</v>
      </c>
      <c r="P1213" s="6">
        <v>5</v>
      </c>
      <c r="Q1213" s="6">
        <v>10</v>
      </c>
      <c r="R1213" s="6">
        <v>22</v>
      </c>
      <c r="S1213" s="6">
        <v>37</v>
      </c>
      <c r="T1213" s="6" t="str">
        <f t="shared" si="56"/>
        <v>Sexta</v>
      </c>
    </row>
    <row r="1214" spans="1:20">
      <c r="A1214" s="7" t="s">
        <v>2562</v>
      </c>
      <c r="B1214" s="7" t="s">
        <v>526</v>
      </c>
      <c r="C1214" s="8">
        <v>1</v>
      </c>
      <c r="D1214" s="7" t="s">
        <v>2562</v>
      </c>
      <c r="E1214" s="7" t="s">
        <v>2605</v>
      </c>
      <c r="F1214">
        <v>1186</v>
      </c>
      <c r="G1214" s="6">
        <v>28806</v>
      </c>
      <c r="H1214" s="11" t="s">
        <v>2606</v>
      </c>
      <c r="I1214" s="6">
        <v>64</v>
      </c>
      <c r="J1214" s="6">
        <v>5</v>
      </c>
      <c r="K1214" s="6">
        <v>20</v>
      </c>
      <c r="L1214" s="6">
        <v>80</v>
      </c>
      <c r="M1214" s="10">
        <f t="shared" si="54"/>
        <v>25</v>
      </c>
      <c r="N1214" s="10">
        <f t="shared" si="55"/>
        <v>25</v>
      </c>
      <c r="O1214" s="6" t="s">
        <v>131</v>
      </c>
      <c r="P1214" s="6">
        <v>2</v>
      </c>
      <c r="Q1214" s="6">
        <v>0</v>
      </c>
      <c r="R1214" s="6">
        <v>3</v>
      </c>
      <c r="S1214" s="6">
        <v>5</v>
      </c>
      <c r="T1214" s="6" t="str">
        <f t="shared" si="56"/>
        <v>Sexta</v>
      </c>
    </row>
    <row r="1215" spans="1:20">
      <c r="A1215" s="7" t="s">
        <v>2562</v>
      </c>
      <c r="B1215" s="7" t="s">
        <v>526</v>
      </c>
      <c r="C1215" s="8">
        <v>1</v>
      </c>
      <c r="D1215" s="7" t="s">
        <v>2562</v>
      </c>
      <c r="E1215" s="7" t="s">
        <v>2607</v>
      </c>
      <c r="F1215">
        <v>1255</v>
      </c>
      <c r="G1215" s="6">
        <v>25294</v>
      </c>
      <c r="H1215" s="11" t="s">
        <v>2608</v>
      </c>
      <c r="I1215" s="6">
        <v>68</v>
      </c>
      <c r="J1215" s="6">
        <v>101</v>
      </c>
      <c r="K1215" s="6">
        <v>249</v>
      </c>
      <c r="L1215" s="6">
        <v>46</v>
      </c>
      <c r="M1215" s="10">
        <f t="shared" si="54"/>
        <v>541.304347826087</v>
      </c>
      <c r="N1215" s="10">
        <f t="shared" si="55"/>
        <v>542</v>
      </c>
      <c r="O1215" s="6" t="s">
        <v>93</v>
      </c>
      <c r="P1215" s="6">
        <v>7</v>
      </c>
      <c r="Q1215" s="6">
        <v>12</v>
      </c>
      <c r="R1215" s="6">
        <v>31</v>
      </c>
      <c r="S1215" s="6">
        <v>50</v>
      </c>
      <c r="T1215" s="6" t="str">
        <f t="shared" si="56"/>
        <v>Quinta</v>
      </c>
    </row>
    <row r="1216" spans="1:20">
      <c r="A1216" s="7" t="s">
        <v>2562</v>
      </c>
      <c r="B1216" s="7" t="s">
        <v>526</v>
      </c>
      <c r="C1216" s="8">
        <v>1</v>
      </c>
      <c r="D1216" s="7" t="s">
        <v>2562</v>
      </c>
      <c r="E1216" s="7" t="s">
        <v>2609</v>
      </c>
      <c r="F1216">
        <v>1212</v>
      </c>
      <c r="G1216" s="6">
        <v>5402</v>
      </c>
      <c r="H1216" s="11" t="s">
        <v>2610</v>
      </c>
      <c r="I1216" s="6">
        <v>35</v>
      </c>
      <c r="J1216" s="6">
        <v>56</v>
      </c>
      <c r="K1216" s="6">
        <v>96</v>
      </c>
      <c r="L1216" s="6">
        <v>43</v>
      </c>
      <c r="M1216" s="10">
        <f t="shared" si="54"/>
        <v>223.25581395348837</v>
      </c>
      <c r="N1216" s="10">
        <f t="shared" si="55"/>
        <v>224</v>
      </c>
      <c r="O1216" s="6" t="s">
        <v>221</v>
      </c>
      <c r="P1216" s="6">
        <v>6</v>
      </c>
      <c r="Q1216" s="6">
        <v>6</v>
      </c>
      <c r="R1216" s="6">
        <v>4</v>
      </c>
      <c r="S1216" s="6">
        <v>16</v>
      </c>
      <c r="T1216" s="6" t="str">
        <f t="shared" si="56"/>
        <v>Quinta</v>
      </c>
    </row>
    <row r="1217" spans="1:20">
      <c r="A1217" s="7" t="s">
        <v>2562</v>
      </c>
      <c r="B1217" s="7" t="s">
        <v>526</v>
      </c>
      <c r="C1217" s="8">
        <v>1</v>
      </c>
      <c r="D1217" s="7" t="s">
        <v>2562</v>
      </c>
      <c r="E1217" s="7" t="s">
        <v>2611</v>
      </c>
      <c r="F1217">
        <v>1047</v>
      </c>
      <c r="G1217" s="6">
        <v>17508</v>
      </c>
      <c r="H1217" s="11" t="s">
        <v>2612</v>
      </c>
      <c r="I1217" s="6">
        <v>80</v>
      </c>
      <c r="J1217" s="6">
        <v>84</v>
      </c>
      <c r="K1217" s="6">
        <v>108</v>
      </c>
      <c r="L1217" s="6">
        <v>33</v>
      </c>
      <c r="M1217" s="10">
        <f t="shared" si="54"/>
        <v>327.27272727272725</v>
      </c>
      <c r="N1217" s="10">
        <f t="shared" si="55"/>
        <v>328</v>
      </c>
      <c r="O1217" s="6" t="s">
        <v>121</v>
      </c>
      <c r="P1217" s="6">
        <v>2</v>
      </c>
      <c r="Q1217" s="6">
        <v>7</v>
      </c>
      <c r="R1217" s="6">
        <v>14</v>
      </c>
      <c r="S1217" s="6">
        <v>23</v>
      </c>
      <c r="T1217" s="6" t="str">
        <f t="shared" si="56"/>
        <v>Septima</v>
      </c>
    </row>
    <row r="1218" spans="1:20">
      <c r="A1218" s="7" t="s">
        <v>2562</v>
      </c>
      <c r="B1218" s="7" t="s">
        <v>526</v>
      </c>
      <c r="C1218" s="8">
        <v>1</v>
      </c>
      <c r="D1218" s="7" t="s">
        <v>2562</v>
      </c>
      <c r="E1218" s="7" t="s">
        <v>2613</v>
      </c>
      <c r="F1218">
        <v>1151</v>
      </c>
      <c r="G1218" s="6">
        <v>17502</v>
      </c>
      <c r="H1218" s="11" t="s">
        <v>2614</v>
      </c>
      <c r="I1218" s="6">
        <v>66</v>
      </c>
      <c r="J1218" s="6">
        <v>200</v>
      </c>
      <c r="K1218" s="6">
        <v>351</v>
      </c>
      <c r="L1218" s="6">
        <v>43</v>
      </c>
      <c r="M1218" s="10">
        <f t="shared" si="54"/>
        <v>816.27906976744191</v>
      </c>
      <c r="N1218" s="10">
        <f t="shared" si="55"/>
        <v>817</v>
      </c>
      <c r="O1218" s="6" t="s">
        <v>93</v>
      </c>
      <c r="P1218" s="6">
        <v>7</v>
      </c>
      <c r="Q1218" s="6">
        <v>26</v>
      </c>
      <c r="R1218" s="6">
        <v>51</v>
      </c>
      <c r="S1218" s="6">
        <v>84</v>
      </c>
      <c r="T1218" s="6" t="str">
        <f t="shared" si="56"/>
        <v>Sexta</v>
      </c>
    </row>
    <row r="1219" spans="1:20">
      <c r="A1219" s="7" t="s">
        <v>2562</v>
      </c>
      <c r="B1219" s="7" t="s">
        <v>526</v>
      </c>
      <c r="C1219" s="8">
        <v>1</v>
      </c>
      <c r="D1219" s="7" t="s">
        <v>2562</v>
      </c>
      <c r="E1219" s="7" t="s">
        <v>2615</v>
      </c>
      <c r="F1219">
        <v>1302</v>
      </c>
      <c r="G1219" s="6">
        <v>11022</v>
      </c>
      <c r="H1219" s="11" t="s">
        <v>2616</v>
      </c>
      <c r="I1219" s="6">
        <v>60</v>
      </c>
      <c r="J1219" s="6">
        <v>1</v>
      </c>
      <c r="K1219" s="6">
        <v>1</v>
      </c>
      <c r="L1219" s="6">
        <v>25</v>
      </c>
      <c r="M1219" s="10">
        <f t="shared" ref="M1219:M1282" si="57">IF(K1219+L1219=0,0,(100*K1219/L1219))</f>
        <v>4</v>
      </c>
      <c r="N1219" s="10">
        <f t="shared" ref="N1219:N1282" si="58">ROUNDUP(M1219,0)</f>
        <v>4</v>
      </c>
      <c r="O1219" s="6" t="s">
        <v>313</v>
      </c>
      <c r="P1219" s="6">
        <v>0</v>
      </c>
      <c r="Q1219" s="6">
        <v>0</v>
      </c>
      <c r="R1219" s="6">
        <v>0</v>
      </c>
      <c r="S1219" s="6">
        <v>0</v>
      </c>
      <c r="T1219" s="6" t="str">
        <f t="shared" ref="T1219:T1282" si="59">IF(F1219&gt;2100,"Primera",
IF(F1219&gt;=1800,"Segunda",
IF(F1219&gt;=1600,"Tercera",
IF(F1219&gt;=1400,"Cuarta",
IF(F1219&gt;=1200,"Quinta",
IF(F1219&gt;=1080,"Sexta",
IF(F1219&gt;=980,"Septima",
"Octava")))))))</f>
        <v>Quinta</v>
      </c>
    </row>
    <row r="1220" spans="1:20">
      <c r="A1220" s="7" t="s">
        <v>2562</v>
      </c>
      <c r="B1220" s="7" t="s">
        <v>526</v>
      </c>
      <c r="C1220" s="8">
        <v>1</v>
      </c>
      <c r="D1220" s="7" t="s">
        <v>2562</v>
      </c>
      <c r="E1220" s="7" t="s">
        <v>2617</v>
      </c>
      <c r="F1220">
        <v>1032</v>
      </c>
      <c r="G1220" s="6">
        <v>27930</v>
      </c>
      <c r="H1220" s="11" t="s">
        <v>2618</v>
      </c>
      <c r="I1220" s="6">
        <v>60</v>
      </c>
      <c r="J1220" s="6">
        <v>13</v>
      </c>
      <c r="K1220" s="6">
        <v>20</v>
      </c>
      <c r="L1220" s="6">
        <v>38</v>
      </c>
      <c r="M1220" s="10">
        <f t="shared" si="57"/>
        <v>52.631578947368418</v>
      </c>
      <c r="N1220" s="10">
        <f t="shared" si="58"/>
        <v>53</v>
      </c>
      <c r="O1220" s="6" t="s">
        <v>314</v>
      </c>
      <c r="P1220" s="6">
        <v>0</v>
      </c>
      <c r="Q1220" s="6">
        <v>1</v>
      </c>
      <c r="R1220" s="6">
        <v>4</v>
      </c>
      <c r="S1220" s="6">
        <v>5</v>
      </c>
      <c r="T1220" s="6" t="str">
        <f t="shared" si="59"/>
        <v>Septima</v>
      </c>
    </row>
    <row r="1221" spans="1:20">
      <c r="A1221" s="7" t="s">
        <v>2562</v>
      </c>
      <c r="B1221" s="7" t="s">
        <v>526</v>
      </c>
      <c r="C1221" s="8">
        <v>1</v>
      </c>
      <c r="D1221" s="7" t="s">
        <v>2562</v>
      </c>
      <c r="E1221" s="7" t="s">
        <v>2619</v>
      </c>
      <c r="F1221">
        <v>989</v>
      </c>
      <c r="G1221" s="6">
        <v>23425</v>
      </c>
      <c r="H1221" s="11" t="s">
        <v>2620</v>
      </c>
      <c r="I1221" s="6">
        <v>50</v>
      </c>
      <c r="J1221" s="6">
        <v>147</v>
      </c>
      <c r="K1221" s="6">
        <v>190</v>
      </c>
      <c r="L1221" s="6">
        <v>33</v>
      </c>
      <c r="M1221" s="10">
        <f t="shared" si="57"/>
        <v>575.75757575757575</v>
      </c>
      <c r="N1221" s="10">
        <f t="shared" si="58"/>
        <v>576</v>
      </c>
      <c r="O1221" s="6" t="s">
        <v>121</v>
      </c>
      <c r="P1221" s="6">
        <v>1</v>
      </c>
      <c r="Q1221" s="6">
        <v>10</v>
      </c>
      <c r="R1221" s="6">
        <v>39</v>
      </c>
      <c r="S1221" s="6">
        <v>50</v>
      </c>
      <c r="T1221" s="6" t="str">
        <f t="shared" si="59"/>
        <v>Septima</v>
      </c>
    </row>
    <row r="1222" spans="1:20">
      <c r="A1222" s="7" t="s">
        <v>2621</v>
      </c>
      <c r="B1222" s="7" t="s">
        <v>507</v>
      </c>
      <c r="C1222" s="8">
        <v>1</v>
      </c>
      <c r="D1222" s="7" t="s">
        <v>2621</v>
      </c>
      <c r="E1222" s="7" t="s">
        <v>2622</v>
      </c>
      <c r="F1222">
        <v>1236</v>
      </c>
      <c r="G1222" s="6">
        <v>17494</v>
      </c>
      <c r="H1222" s="11" t="s">
        <v>2623</v>
      </c>
      <c r="I1222" s="6">
        <v>23</v>
      </c>
      <c r="J1222" s="6">
        <v>1</v>
      </c>
      <c r="K1222" s="6">
        <v>1</v>
      </c>
      <c r="L1222" s="6">
        <v>33</v>
      </c>
      <c r="M1222" s="10">
        <f t="shared" si="57"/>
        <v>3.0303030303030303</v>
      </c>
      <c r="N1222" s="10">
        <f t="shared" si="58"/>
        <v>4</v>
      </c>
      <c r="O1222" s="6" t="s">
        <v>315</v>
      </c>
      <c r="P1222" s="6">
        <v>0</v>
      </c>
      <c r="Q1222" s="6">
        <v>0</v>
      </c>
      <c r="R1222" s="6">
        <v>0</v>
      </c>
      <c r="S1222" s="6">
        <v>0</v>
      </c>
      <c r="T1222" s="6" t="str">
        <f t="shared" si="59"/>
        <v>Quinta</v>
      </c>
    </row>
    <row r="1223" spans="1:20">
      <c r="A1223" s="7" t="s">
        <v>2621</v>
      </c>
      <c r="B1223" s="7" t="s">
        <v>507</v>
      </c>
      <c r="C1223" s="8">
        <v>1</v>
      </c>
      <c r="D1223" s="7" t="s">
        <v>2621</v>
      </c>
      <c r="E1223" s="7" t="s">
        <v>2624</v>
      </c>
      <c r="F1223">
        <v>1141</v>
      </c>
      <c r="G1223" s="6">
        <v>3157</v>
      </c>
      <c r="H1223" s="11" t="s">
        <v>2625</v>
      </c>
      <c r="I1223" s="6">
        <v>37</v>
      </c>
      <c r="J1223" s="6">
        <v>38</v>
      </c>
      <c r="K1223" s="6">
        <v>87</v>
      </c>
      <c r="L1223" s="6">
        <v>54</v>
      </c>
      <c r="M1223" s="10">
        <f t="shared" si="57"/>
        <v>161.11111111111111</v>
      </c>
      <c r="N1223" s="10">
        <f t="shared" si="58"/>
        <v>162</v>
      </c>
      <c r="O1223" s="6" t="s">
        <v>304</v>
      </c>
      <c r="P1223" s="6">
        <v>3</v>
      </c>
      <c r="Q1223" s="6">
        <v>4</v>
      </c>
      <c r="R1223" s="6">
        <v>5</v>
      </c>
      <c r="S1223" s="6">
        <v>12</v>
      </c>
      <c r="T1223" s="6" t="str">
        <f t="shared" si="59"/>
        <v>Sexta</v>
      </c>
    </row>
    <row r="1224" spans="1:20">
      <c r="A1224" s="7" t="s">
        <v>2621</v>
      </c>
      <c r="B1224" s="7" t="s">
        <v>507</v>
      </c>
      <c r="C1224" s="8">
        <v>1</v>
      </c>
      <c r="D1224" s="7" t="s">
        <v>2621</v>
      </c>
      <c r="E1224" s="7" t="s">
        <v>2626</v>
      </c>
      <c r="F1224">
        <v>1397</v>
      </c>
      <c r="G1224" s="6">
        <v>17305</v>
      </c>
      <c r="H1224" s="11" t="s">
        <v>2627</v>
      </c>
      <c r="I1224" s="6">
        <v>52</v>
      </c>
      <c r="J1224" s="6">
        <v>8</v>
      </c>
      <c r="K1224" s="6">
        <v>23</v>
      </c>
      <c r="L1224" s="6">
        <v>72</v>
      </c>
      <c r="M1224" s="10">
        <f t="shared" si="57"/>
        <v>31.944444444444443</v>
      </c>
      <c r="N1224" s="10">
        <f t="shared" si="58"/>
        <v>32</v>
      </c>
      <c r="O1224" s="6" t="s">
        <v>48</v>
      </c>
      <c r="P1224" s="6">
        <v>3</v>
      </c>
      <c r="Q1224" s="6">
        <v>0</v>
      </c>
      <c r="R1224" s="6">
        <v>1</v>
      </c>
      <c r="S1224" s="6">
        <v>4</v>
      </c>
      <c r="T1224" s="6" t="str">
        <f t="shared" si="59"/>
        <v>Quinta</v>
      </c>
    </row>
    <row r="1225" spans="1:20">
      <c r="A1225" s="7" t="s">
        <v>2621</v>
      </c>
      <c r="B1225" s="7" t="s">
        <v>507</v>
      </c>
      <c r="C1225" s="8">
        <v>1</v>
      </c>
      <c r="D1225" s="7" t="s">
        <v>2621</v>
      </c>
      <c r="E1225" s="7" t="s">
        <v>2628</v>
      </c>
      <c r="F1225">
        <v>1610</v>
      </c>
      <c r="G1225" s="6">
        <v>379</v>
      </c>
      <c r="H1225" s="11" t="s">
        <v>2629</v>
      </c>
      <c r="I1225" s="6">
        <v>69</v>
      </c>
      <c r="J1225" s="6">
        <v>2</v>
      </c>
      <c r="K1225" s="6">
        <v>0</v>
      </c>
      <c r="L1225" s="6">
        <v>0</v>
      </c>
      <c r="M1225" s="10">
        <f t="shared" si="57"/>
        <v>0</v>
      </c>
      <c r="N1225" s="10">
        <f t="shared" si="58"/>
        <v>0</v>
      </c>
      <c r="O1225" s="6" t="s">
        <v>316</v>
      </c>
      <c r="P1225" s="6">
        <v>0</v>
      </c>
      <c r="Q1225" s="6">
        <v>0</v>
      </c>
      <c r="R1225" s="6">
        <v>0</v>
      </c>
      <c r="S1225" s="6">
        <v>0</v>
      </c>
      <c r="T1225" s="6" t="str">
        <f t="shared" si="59"/>
        <v>Tercera</v>
      </c>
    </row>
    <row r="1226" spans="1:20">
      <c r="A1226" s="7" t="s">
        <v>2621</v>
      </c>
      <c r="B1226" s="7" t="s">
        <v>507</v>
      </c>
      <c r="C1226" s="8">
        <v>1</v>
      </c>
      <c r="D1226" s="7" t="s">
        <v>2621</v>
      </c>
      <c r="E1226" s="7" t="s">
        <v>2630</v>
      </c>
      <c r="F1226">
        <v>1205</v>
      </c>
      <c r="G1226" s="6">
        <v>16056</v>
      </c>
      <c r="H1226" s="11" t="s">
        <v>2631</v>
      </c>
      <c r="I1226" s="6">
        <v>56</v>
      </c>
      <c r="J1226" s="6">
        <v>85</v>
      </c>
      <c r="K1226" s="6">
        <v>177</v>
      </c>
      <c r="L1226" s="6">
        <v>41</v>
      </c>
      <c r="M1226" s="10">
        <f t="shared" si="57"/>
        <v>431.70731707317071</v>
      </c>
      <c r="N1226" s="10">
        <f t="shared" si="58"/>
        <v>432</v>
      </c>
      <c r="O1226" s="6" t="s">
        <v>18</v>
      </c>
      <c r="P1226" s="6">
        <v>4</v>
      </c>
      <c r="Q1226" s="6">
        <v>3</v>
      </c>
      <c r="R1226" s="6">
        <v>10</v>
      </c>
      <c r="S1226" s="6">
        <v>17</v>
      </c>
      <c r="T1226" s="6" t="str">
        <f t="shared" si="59"/>
        <v>Quinta</v>
      </c>
    </row>
    <row r="1227" spans="1:20">
      <c r="A1227" s="7" t="s">
        <v>2621</v>
      </c>
      <c r="B1227" s="7" t="s">
        <v>507</v>
      </c>
      <c r="C1227" s="8">
        <v>1</v>
      </c>
      <c r="D1227" s="7" t="s">
        <v>2621</v>
      </c>
      <c r="E1227" s="7" t="s">
        <v>2632</v>
      </c>
      <c r="F1227">
        <v>1044</v>
      </c>
      <c r="G1227" s="6">
        <v>28632</v>
      </c>
      <c r="H1227" s="11" t="s">
        <v>2633</v>
      </c>
      <c r="I1227" s="6">
        <v>45</v>
      </c>
      <c r="J1227" s="6">
        <v>3</v>
      </c>
      <c r="K1227" s="6">
        <v>11</v>
      </c>
      <c r="L1227" s="6">
        <v>61</v>
      </c>
      <c r="M1227" s="10">
        <f t="shared" si="57"/>
        <v>18.032786885245901</v>
      </c>
      <c r="N1227" s="10">
        <f t="shared" si="58"/>
        <v>19</v>
      </c>
      <c r="O1227" s="6" t="s">
        <v>48</v>
      </c>
      <c r="P1227" s="6">
        <v>1</v>
      </c>
      <c r="Q1227" s="6">
        <v>1</v>
      </c>
      <c r="R1227" s="6">
        <v>0</v>
      </c>
      <c r="S1227" s="6">
        <v>2</v>
      </c>
      <c r="T1227" s="6" t="str">
        <f t="shared" si="59"/>
        <v>Septima</v>
      </c>
    </row>
    <row r="1228" spans="1:20">
      <c r="A1228" s="7" t="s">
        <v>2621</v>
      </c>
      <c r="B1228" s="7" t="s">
        <v>507</v>
      </c>
      <c r="C1228" s="8">
        <v>1</v>
      </c>
      <c r="D1228" s="7" t="s">
        <v>2621</v>
      </c>
      <c r="E1228" s="7" t="s">
        <v>2634</v>
      </c>
      <c r="F1228">
        <v>0</v>
      </c>
      <c r="G1228" s="6">
        <v>24433</v>
      </c>
      <c r="H1228" s="11" t="s">
        <v>2635</v>
      </c>
      <c r="I1228" s="6">
        <v>50</v>
      </c>
      <c r="M1228" s="10">
        <f t="shared" si="57"/>
        <v>0</v>
      </c>
      <c r="N1228" s="10">
        <f t="shared" si="58"/>
        <v>0</v>
      </c>
      <c r="P1228" s="6">
        <v>0</v>
      </c>
      <c r="Q1228" s="6">
        <v>0</v>
      </c>
      <c r="R1228" s="6">
        <v>0</v>
      </c>
      <c r="S1228" s="6">
        <v>0</v>
      </c>
      <c r="T1228" s="6" t="str">
        <f t="shared" si="59"/>
        <v>Octava</v>
      </c>
    </row>
    <row r="1229" spans="1:20">
      <c r="A1229" s="7" t="s">
        <v>2621</v>
      </c>
      <c r="B1229" s="7" t="s">
        <v>507</v>
      </c>
      <c r="C1229" s="8">
        <v>1</v>
      </c>
      <c r="D1229" s="7" t="s">
        <v>2621</v>
      </c>
      <c r="E1229" s="7" t="s">
        <v>2636</v>
      </c>
      <c r="F1229">
        <v>982</v>
      </c>
      <c r="G1229" s="6">
        <v>28213</v>
      </c>
      <c r="H1229" s="11" t="s">
        <v>2637</v>
      </c>
      <c r="I1229" s="6">
        <v>53</v>
      </c>
      <c r="J1229" s="6">
        <v>1</v>
      </c>
      <c r="K1229" s="6">
        <v>5</v>
      </c>
      <c r="L1229" s="6">
        <v>83</v>
      </c>
      <c r="M1229" s="10">
        <f t="shared" si="57"/>
        <v>6.024096385542169</v>
      </c>
      <c r="N1229" s="10">
        <f t="shared" si="58"/>
        <v>7</v>
      </c>
      <c r="O1229" s="6" t="s">
        <v>219</v>
      </c>
      <c r="P1229" s="6">
        <v>0</v>
      </c>
      <c r="Q1229" s="6">
        <v>1</v>
      </c>
      <c r="R1229" s="6">
        <v>0</v>
      </c>
      <c r="S1229" s="6">
        <v>1</v>
      </c>
      <c r="T1229" s="6" t="str">
        <f t="shared" si="59"/>
        <v>Septima</v>
      </c>
    </row>
    <row r="1230" spans="1:20">
      <c r="A1230" s="7" t="s">
        <v>2621</v>
      </c>
      <c r="B1230" s="7" t="s">
        <v>526</v>
      </c>
      <c r="C1230" s="8">
        <v>1</v>
      </c>
      <c r="D1230" s="7" t="s">
        <v>2621</v>
      </c>
      <c r="E1230" s="7" t="s">
        <v>2638</v>
      </c>
      <c r="F1230">
        <v>1181</v>
      </c>
      <c r="G1230" s="6">
        <v>27636</v>
      </c>
      <c r="H1230" s="11" t="s">
        <v>2639</v>
      </c>
      <c r="I1230" s="6">
        <v>66</v>
      </c>
      <c r="J1230" s="6">
        <v>7</v>
      </c>
      <c r="K1230" s="6">
        <v>29</v>
      </c>
      <c r="L1230" s="6">
        <v>71</v>
      </c>
      <c r="M1230" s="10">
        <f t="shared" si="57"/>
        <v>40.845070422535208</v>
      </c>
      <c r="N1230" s="10">
        <f t="shared" si="58"/>
        <v>41</v>
      </c>
      <c r="O1230" s="6" t="s">
        <v>26</v>
      </c>
      <c r="P1230" s="6">
        <v>1</v>
      </c>
      <c r="Q1230" s="6">
        <v>1</v>
      </c>
      <c r="R1230" s="6">
        <v>4</v>
      </c>
      <c r="S1230" s="6">
        <v>6</v>
      </c>
      <c r="T1230" s="6" t="str">
        <f t="shared" si="59"/>
        <v>Sexta</v>
      </c>
    </row>
    <row r="1231" spans="1:20">
      <c r="A1231" s="7" t="s">
        <v>2621</v>
      </c>
      <c r="B1231" s="7" t="s">
        <v>526</v>
      </c>
      <c r="C1231" s="8">
        <v>1</v>
      </c>
      <c r="D1231" s="7" t="s">
        <v>2621</v>
      </c>
      <c r="E1231" s="7" t="s">
        <v>2640</v>
      </c>
      <c r="F1231">
        <v>1152</v>
      </c>
      <c r="G1231" s="6">
        <v>153</v>
      </c>
      <c r="H1231" s="11" t="s">
        <v>2641</v>
      </c>
      <c r="I1231" s="6">
        <v>62</v>
      </c>
      <c r="J1231" s="6">
        <v>173</v>
      </c>
      <c r="K1231" s="6">
        <v>382</v>
      </c>
      <c r="L1231" s="6">
        <v>49</v>
      </c>
      <c r="M1231" s="10">
        <f t="shared" si="57"/>
        <v>779.59183673469386</v>
      </c>
      <c r="N1231" s="10">
        <f t="shared" si="58"/>
        <v>780</v>
      </c>
      <c r="O1231" s="6" t="s">
        <v>219</v>
      </c>
      <c r="P1231" s="6">
        <v>7</v>
      </c>
      <c r="Q1231" s="6">
        <v>11</v>
      </c>
      <c r="R1231" s="6">
        <v>10</v>
      </c>
      <c r="S1231" s="6">
        <v>28</v>
      </c>
      <c r="T1231" s="6" t="str">
        <f t="shared" si="59"/>
        <v>Sexta</v>
      </c>
    </row>
    <row r="1232" spans="1:20">
      <c r="A1232" s="7" t="s">
        <v>2621</v>
      </c>
      <c r="B1232" s="7" t="s">
        <v>526</v>
      </c>
      <c r="C1232" s="8">
        <v>1</v>
      </c>
      <c r="D1232" s="7" t="s">
        <v>2621</v>
      </c>
      <c r="E1232" s="7" t="s">
        <v>2642</v>
      </c>
      <c r="F1232">
        <v>1000</v>
      </c>
      <c r="G1232" s="6">
        <v>5320</v>
      </c>
      <c r="H1232" s="11" t="s">
        <v>2643</v>
      </c>
      <c r="I1232" s="6">
        <v>37</v>
      </c>
      <c r="J1232" s="6">
        <v>0</v>
      </c>
      <c r="K1232" s="6">
        <v>0</v>
      </c>
      <c r="L1232" s="6">
        <v>0</v>
      </c>
      <c r="M1232" s="10">
        <f t="shared" si="57"/>
        <v>0</v>
      </c>
      <c r="N1232" s="10">
        <f t="shared" si="58"/>
        <v>0</v>
      </c>
      <c r="P1232" s="6">
        <v>0</v>
      </c>
      <c r="Q1232" s="6">
        <v>0</v>
      </c>
      <c r="R1232" s="6">
        <v>0</v>
      </c>
      <c r="S1232" s="6">
        <v>0</v>
      </c>
      <c r="T1232" s="6" t="str">
        <f t="shared" si="59"/>
        <v>Septima</v>
      </c>
    </row>
    <row r="1233" spans="1:20">
      <c r="A1233" s="7" t="s">
        <v>2621</v>
      </c>
      <c r="B1233" s="7" t="s">
        <v>526</v>
      </c>
      <c r="C1233" s="8">
        <v>1</v>
      </c>
      <c r="D1233" s="7" t="s">
        <v>2621</v>
      </c>
      <c r="E1233" s="7" t="s">
        <v>2644</v>
      </c>
      <c r="F1233">
        <v>1669</v>
      </c>
      <c r="G1233" s="6">
        <v>878</v>
      </c>
      <c r="H1233" s="11" t="s">
        <v>2645</v>
      </c>
      <c r="I1233" s="6">
        <v>52</v>
      </c>
      <c r="J1233" s="6">
        <v>36</v>
      </c>
      <c r="K1233" s="6">
        <v>73</v>
      </c>
      <c r="L1233" s="6">
        <v>49</v>
      </c>
      <c r="M1233" s="10">
        <f t="shared" si="57"/>
        <v>148.9795918367347</v>
      </c>
      <c r="N1233" s="10">
        <f t="shared" si="58"/>
        <v>149</v>
      </c>
      <c r="O1233" s="6" t="s">
        <v>317</v>
      </c>
      <c r="P1233" s="6">
        <v>1</v>
      </c>
      <c r="Q1233" s="6">
        <v>1</v>
      </c>
      <c r="R1233" s="6">
        <v>5</v>
      </c>
      <c r="S1233" s="6">
        <v>7</v>
      </c>
      <c r="T1233" s="6" t="str">
        <f t="shared" si="59"/>
        <v>Tercera</v>
      </c>
    </row>
    <row r="1234" spans="1:20">
      <c r="A1234" s="7" t="s">
        <v>2621</v>
      </c>
      <c r="B1234" s="7" t="s">
        <v>526</v>
      </c>
      <c r="C1234" s="8">
        <v>1</v>
      </c>
      <c r="D1234" s="7" t="s">
        <v>2621</v>
      </c>
      <c r="E1234" s="7" t="s">
        <v>2646</v>
      </c>
      <c r="F1234">
        <v>895</v>
      </c>
      <c r="G1234" s="6">
        <v>29523</v>
      </c>
      <c r="H1234" s="11" t="s">
        <v>2647</v>
      </c>
      <c r="I1234" s="6">
        <v>17</v>
      </c>
      <c r="J1234" s="6">
        <v>1</v>
      </c>
      <c r="K1234" s="6">
        <v>1</v>
      </c>
      <c r="L1234" s="6">
        <v>25</v>
      </c>
      <c r="M1234" s="10">
        <f t="shared" si="57"/>
        <v>4</v>
      </c>
      <c r="N1234" s="10">
        <f t="shared" si="58"/>
        <v>4</v>
      </c>
      <c r="O1234" s="6" t="s">
        <v>26</v>
      </c>
      <c r="P1234" s="6">
        <v>0</v>
      </c>
      <c r="Q1234" s="6">
        <v>0</v>
      </c>
      <c r="R1234" s="6">
        <v>0</v>
      </c>
      <c r="S1234" s="6">
        <v>0</v>
      </c>
      <c r="T1234" s="6" t="str">
        <f t="shared" si="59"/>
        <v>Octava</v>
      </c>
    </row>
    <row r="1235" spans="1:20">
      <c r="A1235" s="7" t="s">
        <v>2621</v>
      </c>
      <c r="B1235" s="7" t="s">
        <v>526</v>
      </c>
      <c r="C1235" s="8">
        <v>1</v>
      </c>
      <c r="D1235" s="7" t="s">
        <v>2621</v>
      </c>
      <c r="E1235" s="7" t="s">
        <v>2648</v>
      </c>
      <c r="F1235">
        <v>930</v>
      </c>
      <c r="G1235" s="6">
        <v>19330</v>
      </c>
      <c r="H1235" s="11" t="s">
        <v>2649</v>
      </c>
      <c r="I1235" s="6">
        <v>52</v>
      </c>
      <c r="J1235" s="6">
        <v>29</v>
      </c>
      <c r="K1235" s="6">
        <v>22</v>
      </c>
      <c r="L1235" s="6">
        <v>23</v>
      </c>
      <c r="M1235" s="10">
        <f t="shared" si="57"/>
        <v>95.652173913043484</v>
      </c>
      <c r="N1235" s="10">
        <f t="shared" si="58"/>
        <v>96</v>
      </c>
      <c r="O1235" s="6" t="s">
        <v>26</v>
      </c>
      <c r="P1235" s="6">
        <v>0</v>
      </c>
      <c r="Q1235" s="6">
        <v>1</v>
      </c>
      <c r="R1235" s="6">
        <v>0</v>
      </c>
      <c r="S1235" s="6">
        <v>1</v>
      </c>
      <c r="T1235" s="6" t="str">
        <f t="shared" si="59"/>
        <v>Octava</v>
      </c>
    </row>
    <row r="1236" spans="1:20">
      <c r="A1236" s="7" t="s">
        <v>2621</v>
      </c>
      <c r="B1236" s="7" t="s">
        <v>526</v>
      </c>
      <c r="C1236" s="8">
        <v>1</v>
      </c>
      <c r="D1236" s="7" t="s">
        <v>2621</v>
      </c>
      <c r="E1236" s="7" t="s">
        <v>2650</v>
      </c>
      <c r="F1236">
        <v>912</v>
      </c>
      <c r="G1236" s="6">
        <v>4313</v>
      </c>
      <c r="H1236" s="11" t="s">
        <v>2651</v>
      </c>
      <c r="I1236" s="6">
        <v>59</v>
      </c>
      <c r="J1236" s="6">
        <v>11</v>
      </c>
      <c r="K1236" s="6">
        <v>18</v>
      </c>
      <c r="L1236" s="6">
        <v>38</v>
      </c>
      <c r="M1236" s="10">
        <f t="shared" si="57"/>
        <v>47.368421052631582</v>
      </c>
      <c r="N1236" s="10">
        <f t="shared" si="58"/>
        <v>48</v>
      </c>
      <c r="O1236" s="6" t="s">
        <v>223</v>
      </c>
      <c r="P1236" s="6">
        <v>0</v>
      </c>
      <c r="Q1236" s="6">
        <v>0</v>
      </c>
      <c r="R1236" s="6">
        <v>1</v>
      </c>
      <c r="S1236" s="6">
        <v>1</v>
      </c>
      <c r="T1236" s="6" t="str">
        <f t="shared" si="59"/>
        <v>Octava</v>
      </c>
    </row>
    <row r="1237" spans="1:20">
      <c r="A1237" s="7" t="s">
        <v>2621</v>
      </c>
      <c r="B1237" s="7" t="s">
        <v>526</v>
      </c>
      <c r="C1237" s="8">
        <v>1</v>
      </c>
      <c r="D1237" s="7" t="s">
        <v>2621</v>
      </c>
      <c r="E1237" s="7" t="s">
        <v>2652</v>
      </c>
      <c r="F1237">
        <v>1000</v>
      </c>
      <c r="G1237" s="6">
        <v>18769</v>
      </c>
      <c r="H1237" s="11" t="s">
        <v>2653</v>
      </c>
      <c r="I1237" s="6">
        <v>14</v>
      </c>
      <c r="J1237" s="6">
        <v>0</v>
      </c>
      <c r="K1237" s="6">
        <v>0</v>
      </c>
      <c r="L1237" s="6">
        <v>0</v>
      </c>
      <c r="M1237" s="10">
        <f t="shared" si="57"/>
        <v>0</v>
      </c>
      <c r="N1237" s="10">
        <f t="shared" si="58"/>
        <v>0</v>
      </c>
      <c r="P1237" s="6">
        <v>0</v>
      </c>
      <c r="Q1237" s="6">
        <v>0</v>
      </c>
      <c r="R1237" s="6">
        <v>0</v>
      </c>
      <c r="S1237" s="6">
        <v>0</v>
      </c>
      <c r="T1237" s="6" t="str">
        <f t="shared" si="59"/>
        <v>Septima</v>
      </c>
    </row>
    <row r="1238" spans="1:20">
      <c r="A1238" s="7" t="s">
        <v>2654</v>
      </c>
      <c r="B1238" s="7" t="s">
        <v>781</v>
      </c>
      <c r="C1238" s="8">
        <v>1</v>
      </c>
      <c r="D1238" s="7" t="s">
        <v>2654</v>
      </c>
      <c r="E1238" s="7" t="s">
        <v>2655</v>
      </c>
      <c r="F1238">
        <v>1996</v>
      </c>
      <c r="G1238" s="6">
        <v>19946</v>
      </c>
      <c r="H1238" s="11" t="s">
        <v>2656</v>
      </c>
      <c r="I1238" s="6">
        <v>18</v>
      </c>
      <c r="J1238" s="6">
        <v>63</v>
      </c>
      <c r="K1238" s="6">
        <v>172</v>
      </c>
      <c r="L1238" s="6">
        <v>51</v>
      </c>
      <c r="M1238" s="10">
        <f t="shared" si="57"/>
        <v>337.25490196078431</v>
      </c>
      <c r="N1238" s="10">
        <f t="shared" si="58"/>
        <v>338</v>
      </c>
      <c r="O1238" s="6" t="s">
        <v>276</v>
      </c>
      <c r="P1238" s="6">
        <v>2</v>
      </c>
      <c r="Q1238" s="6">
        <v>4</v>
      </c>
      <c r="R1238" s="6">
        <v>12</v>
      </c>
      <c r="S1238" s="6">
        <v>18</v>
      </c>
      <c r="T1238" s="6" t="str">
        <f t="shared" si="59"/>
        <v>Segunda</v>
      </c>
    </row>
    <row r="1239" spans="1:20">
      <c r="A1239" s="7" t="s">
        <v>2654</v>
      </c>
      <c r="B1239" s="7" t="s">
        <v>781</v>
      </c>
      <c r="C1239" s="8">
        <v>1</v>
      </c>
      <c r="D1239" s="7" t="s">
        <v>2654</v>
      </c>
      <c r="E1239" s="7" t="s">
        <v>2657</v>
      </c>
      <c r="F1239">
        <v>1733</v>
      </c>
      <c r="G1239" s="6">
        <v>11985</v>
      </c>
      <c r="H1239" s="11" t="s">
        <v>2658</v>
      </c>
      <c r="I1239" s="6">
        <v>47</v>
      </c>
      <c r="J1239" s="6">
        <v>30</v>
      </c>
      <c r="K1239" s="6">
        <v>96</v>
      </c>
      <c r="L1239" s="6">
        <v>56</v>
      </c>
      <c r="M1239" s="10">
        <f t="shared" si="57"/>
        <v>171.42857142857142</v>
      </c>
      <c r="N1239" s="10">
        <f t="shared" si="58"/>
        <v>172</v>
      </c>
      <c r="O1239" s="6" t="s">
        <v>26</v>
      </c>
      <c r="P1239" s="6">
        <v>4</v>
      </c>
      <c r="Q1239" s="6">
        <v>1</v>
      </c>
      <c r="R1239" s="6">
        <v>6</v>
      </c>
      <c r="S1239" s="6">
        <v>11</v>
      </c>
      <c r="T1239" s="6" t="str">
        <f t="shared" si="59"/>
        <v>Tercera</v>
      </c>
    </row>
    <row r="1240" spans="1:20">
      <c r="A1240" s="7" t="s">
        <v>2654</v>
      </c>
      <c r="B1240" s="7" t="s">
        <v>781</v>
      </c>
      <c r="C1240" s="8">
        <v>1</v>
      </c>
      <c r="D1240" s="7" t="s">
        <v>2654</v>
      </c>
      <c r="E1240" s="7" t="s">
        <v>2659</v>
      </c>
      <c r="F1240">
        <v>1877</v>
      </c>
      <c r="G1240" s="6">
        <v>15502</v>
      </c>
      <c r="H1240" s="11" t="s">
        <v>2660</v>
      </c>
      <c r="I1240" s="6">
        <v>29</v>
      </c>
      <c r="J1240" s="6">
        <v>91</v>
      </c>
      <c r="K1240" s="6">
        <v>255</v>
      </c>
      <c r="L1240" s="6">
        <v>57</v>
      </c>
      <c r="M1240" s="10">
        <f t="shared" si="57"/>
        <v>447.36842105263156</v>
      </c>
      <c r="N1240" s="10">
        <f t="shared" si="58"/>
        <v>448</v>
      </c>
      <c r="O1240" s="6" t="s">
        <v>27</v>
      </c>
      <c r="P1240" s="6">
        <v>11</v>
      </c>
      <c r="Q1240" s="6">
        <v>7</v>
      </c>
      <c r="R1240" s="6">
        <v>15</v>
      </c>
      <c r="S1240" s="6">
        <v>33</v>
      </c>
      <c r="T1240" s="6" t="str">
        <f t="shared" si="59"/>
        <v>Segunda</v>
      </c>
    </row>
    <row r="1241" spans="1:20">
      <c r="A1241" s="7" t="s">
        <v>2654</v>
      </c>
      <c r="B1241" s="7" t="s">
        <v>781</v>
      </c>
      <c r="C1241" s="8">
        <v>1</v>
      </c>
      <c r="D1241" s="7" t="s">
        <v>2654</v>
      </c>
      <c r="E1241" s="7" t="s">
        <v>2661</v>
      </c>
      <c r="F1241">
        <v>1957</v>
      </c>
      <c r="G1241" s="6">
        <v>12623</v>
      </c>
      <c r="H1241" s="11" t="s">
        <v>2662</v>
      </c>
      <c r="I1241" s="6">
        <v>26</v>
      </c>
      <c r="J1241" s="6">
        <v>29</v>
      </c>
      <c r="K1241" s="6">
        <v>90</v>
      </c>
      <c r="L1241" s="6">
        <v>62</v>
      </c>
      <c r="M1241" s="10">
        <f t="shared" si="57"/>
        <v>145.16129032258064</v>
      </c>
      <c r="N1241" s="10">
        <f t="shared" si="58"/>
        <v>146</v>
      </c>
      <c r="O1241" s="6" t="s">
        <v>27</v>
      </c>
      <c r="P1241" s="6">
        <v>5</v>
      </c>
      <c r="Q1241" s="6">
        <v>1</v>
      </c>
      <c r="R1241" s="6">
        <v>6</v>
      </c>
      <c r="S1241" s="6">
        <v>12</v>
      </c>
      <c r="T1241" s="6" t="str">
        <f t="shared" si="59"/>
        <v>Segunda</v>
      </c>
    </row>
    <row r="1242" spans="1:20">
      <c r="A1242" s="7" t="s">
        <v>2654</v>
      </c>
      <c r="B1242" s="7" t="s">
        <v>781</v>
      </c>
      <c r="C1242" s="8">
        <v>1</v>
      </c>
      <c r="D1242" s="7" t="s">
        <v>2654</v>
      </c>
      <c r="E1242" s="7" t="s">
        <v>2663</v>
      </c>
      <c r="F1242">
        <v>1750</v>
      </c>
      <c r="G1242" s="6">
        <v>22665</v>
      </c>
      <c r="H1242" s="11" t="s">
        <v>2664</v>
      </c>
      <c r="I1242" s="6">
        <v>18</v>
      </c>
      <c r="J1242" s="6">
        <v>45</v>
      </c>
      <c r="K1242" s="6">
        <v>132</v>
      </c>
      <c r="L1242" s="6">
        <v>54</v>
      </c>
      <c r="M1242" s="10">
        <f t="shared" si="57"/>
        <v>244.44444444444446</v>
      </c>
      <c r="N1242" s="10">
        <f t="shared" si="58"/>
        <v>245</v>
      </c>
      <c r="O1242" s="6" t="s">
        <v>33</v>
      </c>
      <c r="P1242" s="6">
        <v>3</v>
      </c>
      <c r="Q1242" s="6">
        <v>3</v>
      </c>
      <c r="R1242" s="6">
        <v>9</v>
      </c>
      <c r="S1242" s="6">
        <v>15</v>
      </c>
      <c r="T1242" s="6" t="str">
        <f t="shared" si="59"/>
        <v>Tercera</v>
      </c>
    </row>
    <row r="1243" spans="1:20">
      <c r="A1243" s="7" t="s">
        <v>2654</v>
      </c>
      <c r="B1243" s="7" t="s">
        <v>781</v>
      </c>
      <c r="C1243" s="8">
        <v>1</v>
      </c>
      <c r="D1243" s="7" t="s">
        <v>2654</v>
      </c>
      <c r="E1243" s="7" t="s">
        <v>2665</v>
      </c>
      <c r="F1243">
        <v>1397</v>
      </c>
      <c r="G1243" s="6">
        <v>19650</v>
      </c>
      <c r="H1243" s="11" t="s">
        <v>2666</v>
      </c>
      <c r="I1243" s="6">
        <v>39</v>
      </c>
      <c r="J1243" s="6">
        <v>92</v>
      </c>
      <c r="K1243" s="6">
        <v>191</v>
      </c>
      <c r="L1243" s="6">
        <v>40</v>
      </c>
      <c r="M1243" s="10">
        <f t="shared" si="57"/>
        <v>477.5</v>
      </c>
      <c r="N1243" s="10">
        <f t="shared" si="58"/>
        <v>478</v>
      </c>
      <c r="O1243" s="6" t="s">
        <v>19</v>
      </c>
      <c r="P1243" s="6">
        <v>1</v>
      </c>
      <c r="Q1243" s="6">
        <v>5</v>
      </c>
      <c r="R1243" s="6">
        <v>8</v>
      </c>
      <c r="S1243" s="6">
        <v>14</v>
      </c>
      <c r="T1243" s="6" t="str">
        <f t="shared" si="59"/>
        <v>Quinta</v>
      </c>
    </row>
    <row r="1244" spans="1:20">
      <c r="A1244" s="7" t="s">
        <v>2654</v>
      </c>
      <c r="B1244" s="7" t="s">
        <v>781</v>
      </c>
      <c r="C1244" s="8">
        <v>1</v>
      </c>
      <c r="D1244" s="7" t="s">
        <v>2654</v>
      </c>
      <c r="E1244" s="7" t="s">
        <v>2667</v>
      </c>
      <c r="F1244">
        <v>1640</v>
      </c>
      <c r="G1244" s="6">
        <v>24597</v>
      </c>
      <c r="H1244" s="11" t="s">
        <v>2668</v>
      </c>
      <c r="I1244" s="6">
        <v>42</v>
      </c>
      <c r="J1244" s="6">
        <v>34</v>
      </c>
      <c r="K1244" s="6">
        <v>108</v>
      </c>
      <c r="L1244" s="6">
        <v>65</v>
      </c>
      <c r="M1244" s="10">
        <f t="shared" si="57"/>
        <v>166.15384615384616</v>
      </c>
      <c r="N1244" s="10">
        <f t="shared" si="58"/>
        <v>167</v>
      </c>
      <c r="O1244" s="6" t="s">
        <v>26</v>
      </c>
      <c r="P1244" s="6">
        <v>5</v>
      </c>
      <c r="Q1244" s="6">
        <v>5</v>
      </c>
      <c r="R1244" s="6">
        <v>5</v>
      </c>
      <c r="S1244" s="6">
        <v>15</v>
      </c>
      <c r="T1244" s="6" t="str">
        <f t="shared" si="59"/>
        <v>Tercera</v>
      </c>
    </row>
    <row r="1245" spans="1:20">
      <c r="A1245" s="7" t="s">
        <v>2654</v>
      </c>
      <c r="B1245" s="7" t="s">
        <v>483</v>
      </c>
      <c r="C1245" s="8">
        <v>1</v>
      </c>
      <c r="D1245" s="7" t="s">
        <v>2654</v>
      </c>
      <c r="E1245" s="7" t="s">
        <v>2663</v>
      </c>
      <c r="F1245">
        <v>1750</v>
      </c>
      <c r="G1245" s="6">
        <v>22665</v>
      </c>
      <c r="H1245" s="11" t="s">
        <v>2664</v>
      </c>
      <c r="I1245" s="6">
        <v>18</v>
      </c>
      <c r="J1245" s="6">
        <v>45</v>
      </c>
      <c r="K1245" s="6">
        <v>132</v>
      </c>
      <c r="L1245" s="6">
        <v>54</v>
      </c>
      <c r="M1245" s="10">
        <f t="shared" si="57"/>
        <v>244.44444444444446</v>
      </c>
      <c r="N1245" s="10">
        <f t="shared" si="58"/>
        <v>245</v>
      </c>
      <c r="O1245" s="6" t="s">
        <v>33</v>
      </c>
      <c r="P1245" s="6">
        <v>3</v>
      </c>
      <c r="Q1245" s="6">
        <v>3</v>
      </c>
      <c r="R1245" s="6">
        <v>9</v>
      </c>
      <c r="S1245" s="6">
        <v>15</v>
      </c>
      <c r="T1245" s="6" t="str">
        <f t="shared" si="59"/>
        <v>Tercera</v>
      </c>
    </row>
    <row r="1246" spans="1:20">
      <c r="A1246" s="7" t="s">
        <v>2654</v>
      </c>
      <c r="B1246" s="7" t="s">
        <v>483</v>
      </c>
      <c r="C1246" s="8">
        <v>1</v>
      </c>
      <c r="D1246" s="7" t="s">
        <v>2654</v>
      </c>
      <c r="E1246" s="7" t="s">
        <v>2665</v>
      </c>
      <c r="F1246">
        <v>1397</v>
      </c>
      <c r="G1246" s="6">
        <v>19650</v>
      </c>
      <c r="H1246" s="11" t="s">
        <v>2666</v>
      </c>
      <c r="I1246" s="6">
        <v>39</v>
      </c>
      <c r="J1246" s="6">
        <v>92</v>
      </c>
      <c r="K1246" s="6">
        <v>191</v>
      </c>
      <c r="L1246" s="6">
        <v>40</v>
      </c>
      <c r="M1246" s="10">
        <f t="shared" si="57"/>
        <v>477.5</v>
      </c>
      <c r="N1246" s="10">
        <f t="shared" si="58"/>
        <v>478</v>
      </c>
      <c r="O1246" s="6" t="s">
        <v>19</v>
      </c>
      <c r="P1246" s="6">
        <v>1</v>
      </c>
      <c r="Q1246" s="6">
        <v>5</v>
      </c>
      <c r="R1246" s="6">
        <v>8</v>
      </c>
      <c r="S1246" s="6">
        <v>14</v>
      </c>
      <c r="T1246" s="6" t="str">
        <f t="shared" si="59"/>
        <v>Quinta</v>
      </c>
    </row>
    <row r="1247" spans="1:20">
      <c r="A1247" s="7" t="s">
        <v>2654</v>
      </c>
      <c r="B1247" s="7" t="s">
        <v>483</v>
      </c>
      <c r="C1247" s="8">
        <v>1</v>
      </c>
      <c r="D1247" s="7" t="s">
        <v>2654</v>
      </c>
      <c r="E1247" s="7" t="s">
        <v>2667</v>
      </c>
      <c r="F1247">
        <v>1640</v>
      </c>
      <c r="G1247" s="6">
        <v>24597</v>
      </c>
      <c r="H1247" s="11" t="s">
        <v>2668</v>
      </c>
      <c r="I1247" s="6">
        <v>42</v>
      </c>
      <c r="J1247" s="6">
        <v>34</v>
      </c>
      <c r="K1247" s="6">
        <v>108</v>
      </c>
      <c r="L1247" s="6">
        <v>65</v>
      </c>
      <c r="M1247" s="10">
        <f t="shared" si="57"/>
        <v>166.15384615384616</v>
      </c>
      <c r="N1247" s="10">
        <f t="shared" si="58"/>
        <v>167</v>
      </c>
      <c r="O1247" s="6" t="s">
        <v>26</v>
      </c>
      <c r="P1247" s="6">
        <v>5</v>
      </c>
      <c r="Q1247" s="6">
        <v>5</v>
      </c>
      <c r="R1247" s="6">
        <v>5</v>
      </c>
      <c r="S1247" s="6">
        <v>15</v>
      </c>
      <c r="T1247" s="6" t="str">
        <f t="shared" si="59"/>
        <v>Tercera</v>
      </c>
    </row>
    <row r="1248" spans="1:20">
      <c r="A1248" s="7" t="s">
        <v>2654</v>
      </c>
      <c r="B1248" s="7" t="s">
        <v>483</v>
      </c>
      <c r="C1248" s="8">
        <v>1</v>
      </c>
      <c r="D1248" s="7" t="s">
        <v>2654</v>
      </c>
      <c r="E1248" s="7" t="s">
        <v>2669</v>
      </c>
      <c r="F1248">
        <v>1414</v>
      </c>
      <c r="G1248" s="6">
        <v>27134</v>
      </c>
      <c r="H1248" s="11" t="s">
        <v>2670</v>
      </c>
      <c r="I1248" s="6">
        <v>37</v>
      </c>
      <c r="J1248" s="6">
        <v>7</v>
      </c>
      <c r="K1248" s="6">
        <v>12</v>
      </c>
      <c r="L1248" s="6">
        <v>40</v>
      </c>
      <c r="M1248" s="10">
        <f t="shared" si="57"/>
        <v>30</v>
      </c>
      <c r="N1248" s="10">
        <f t="shared" si="58"/>
        <v>30</v>
      </c>
      <c r="O1248" s="6" t="s">
        <v>33</v>
      </c>
      <c r="P1248" s="6">
        <v>0</v>
      </c>
      <c r="Q1248" s="6">
        <v>1</v>
      </c>
      <c r="R1248" s="6">
        <v>1</v>
      </c>
      <c r="S1248" s="6">
        <v>2</v>
      </c>
      <c r="T1248" s="6" t="str">
        <f t="shared" si="59"/>
        <v>Cuarta</v>
      </c>
    </row>
    <row r="1249" spans="1:20">
      <c r="A1249" s="7" t="s">
        <v>2654</v>
      </c>
      <c r="B1249" s="7" t="s">
        <v>483</v>
      </c>
      <c r="C1249" s="8">
        <v>1</v>
      </c>
      <c r="D1249" s="7" t="s">
        <v>2654</v>
      </c>
      <c r="E1249" s="7" t="s">
        <v>2671</v>
      </c>
      <c r="F1249">
        <v>1509</v>
      </c>
      <c r="G1249" s="6">
        <v>24561</v>
      </c>
      <c r="H1249" s="11" t="s">
        <v>2672</v>
      </c>
      <c r="I1249" s="6">
        <v>55</v>
      </c>
      <c r="J1249" s="6">
        <v>123</v>
      </c>
      <c r="K1249" s="6">
        <v>277</v>
      </c>
      <c r="L1249" s="6">
        <v>47</v>
      </c>
      <c r="M1249" s="10">
        <f t="shared" si="57"/>
        <v>589.36170212765956</v>
      </c>
      <c r="N1249" s="10">
        <f t="shared" si="58"/>
        <v>590</v>
      </c>
      <c r="O1249" s="6" t="s">
        <v>131</v>
      </c>
      <c r="P1249" s="6">
        <v>6</v>
      </c>
      <c r="Q1249" s="6">
        <v>6</v>
      </c>
      <c r="R1249" s="6">
        <v>24</v>
      </c>
      <c r="S1249" s="6">
        <v>36</v>
      </c>
      <c r="T1249" s="6" t="str">
        <f t="shared" si="59"/>
        <v>Cuarta</v>
      </c>
    </row>
    <row r="1250" spans="1:20">
      <c r="A1250" s="7" t="s">
        <v>2654</v>
      </c>
      <c r="B1250" s="7" t="s">
        <v>483</v>
      </c>
      <c r="C1250" s="8">
        <v>1</v>
      </c>
      <c r="D1250" s="7" t="s">
        <v>2654</v>
      </c>
      <c r="E1250" s="7" t="s">
        <v>2673</v>
      </c>
      <c r="F1250">
        <v>2269</v>
      </c>
      <c r="G1250" s="6">
        <v>13320</v>
      </c>
      <c r="H1250" s="11" t="s">
        <v>2674</v>
      </c>
      <c r="I1250" s="6">
        <v>25</v>
      </c>
      <c r="J1250" s="6">
        <v>34</v>
      </c>
      <c r="K1250" s="6">
        <v>189</v>
      </c>
      <c r="L1250" s="6">
        <v>72</v>
      </c>
      <c r="M1250" s="10">
        <f t="shared" si="57"/>
        <v>262.5</v>
      </c>
      <c r="N1250" s="10">
        <f t="shared" si="58"/>
        <v>263</v>
      </c>
      <c r="O1250" s="6" t="s">
        <v>318</v>
      </c>
      <c r="P1250" s="6">
        <v>10</v>
      </c>
      <c r="Q1250" s="6">
        <v>11</v>
      </c>
      <c r="R1250" s="6">
        <v>12</v>
      </c>
      <c r="S1250" s="6">
        <v>33</v>
      </c>
      <c r="T1250" s="6" t="str">
        <f t="shared" si="59"/>
        <v>Primera</v>
      </c>
    </row>
    <row r="1251" spans="1:20">
      <c r="A1251" s="7" t="s">
        <v>2654</v>
      </c>
      <c r="B1251" s="7" t="s">
        <v>483</v>
      </c>
      <c r="C1251" s="8">
        <v>1</v>
      </c>
      <c r="D1251" s="7" t="s">
        <v>2654</v>
      </c>
      <c r="E1251" s="7" t="s">
        <v>2675</v>
      </c>
      <c r="F1251">
        <v>1380</v>
      </c>
      <c r="G1251" s="6">
        <v>20959</v>
      </c>
      <c r="H1251" s="11" t="s">
        <v>2676</v>
      </c>
      <c r="I1251" s="6">
        <v>33</v>
      </c>
      <c r="J1251" s="6">
        <v>34</v>
      </c>
      <c r="K1251" s="6">
        <v>86</v>
      </c>
      <c r="L1251" s="6">
        <v>45</v>
      </c>
      <c r="M1251" s="10">
        <f t="shared" si="57"/>
        <v>191.11111111111111</v>
      </c>
      <c r="N1251" s="10">
        <f t="shared" si="58"/>
        <v>192</v>
      </c>
      <c r="O1251" s="6" t="s">
        <v>97</v>
      </c>
      <c r="P1251" s="6">
        <v>3</v>
      </c>
      <c r="Q1251" s="6">
        <v>3</v>
      </c>
      <c r="R1251" s="6">
        <v>3</v>
      </c>
      <c r="S1251" s="6">
        <v>9</v>
      </c>
      <c r="T1251" s="6" t="str">
        <f t="shared" si="59"/>
        <v>Quinta</v>
      </c>
    </row>
    <row r="1252" spans="1:20">
      <c r="A1252" s="7" t="s">
        <v>2654</v>
      </c>
      <c r="B1252" s="7" t="s">
        <v>483</v>
      </c>
      <c r="C1252" s="8">
        <v>1</v>
      </c>
      <c r="D1252" s="7" t="s">
        <v>2654</v>
      </c>
      <c r="E1252" s="7" t="s">
        <v>2677</v>
      </c>
      <c r="F1252">
        <v>1445</v>
      </c>
      <c r="G1252" s="6">
        <v>27177</v>
      </c>
      <c r="H1252" s="11" t="s">
        <v>2678</v>
      </c>
      <c r="I1252" s="6">
        <v>37</v>
      </c>
      <c r="J1252" s="6">
        <v>24</v>
      </c>
      <c r="K1252" s="6">
        <v>90</v>
      </c>
      <c r="L1252" s="6">
        <v>62</v>
      </c>
      <c r="M1252" s="10">
        <f t="shared" si="57"/>
        <v>145.16129032258064</v>
      </c>
      <c r="N1252" s="10">
        <f t="shared" si="58"/>
        <v>146</v>
      </c>
      <c r="O1252" s="6" t="s">
        <v>27</v>
      </c>
      <c r="P1252" s="6">
        <v>2</v>
      </c>
      <c r="Q1252" s="6">
        <v>2</v>
      </c>
      <c r="R1252" s="6">
        <v>8</v>
      </c>
      <c r="S1252" s="6">
        <v>12</v>
      </c>
      <c r="T1252" s="6" t="str">
        <f t="shared" si="59"/>
        <v>Cuarta</v>
      </c>
    </row>
    <row r="1253" spans="1:20">
      <c r="A1253" s="7" t="s">
        <v>2654</v>
      </c>
      <c r="B1253" s="7" t="s">
        <v>526</v>
      </c>
      <c r="C1253" s="8">
        <v>1</v>
      </c>
      <c r="D1253" s="7" t="s">
        <v>2654</v>
      </c>
      <c r="E1253" s="7" t="s">
        <v>2679</v>
      </c>
      <c r="F1253">
        <v>1111</v>
      </c>
      <c r="G1253" s="6">
        <v>22890</v>
      </c>
      <c r="H1253" s="11" t="s">
        <v>2680</v>
      </c>
      <c r="I1253" s="6">
        <v>58</v>
      </c>
      <c r="J1253" s="6">
        <v>24</v>
      </c>
      <c r="K1253" s="6">
        <v>58</v>
      </c>
      <c r="L1253" s="6">
        <v>51</v>
      </c>
      <c r="M1253" s="10">
        <f t="shared" si="57"/>
        <v>113.72549019607843</v>
      </c>
      <c r="N1253" s="10">
        <f t="shared" si="58"/>
        <v>114</v>
      </c>
      <c r="O1253" s="6" t="s">
        <v>144</v>
      </c>
      <c r="P1253" s="6">
        <v>0</v>
      </c>
      <c r="Q1253" s="6">
        <v>2</v>
      </c>
      <c r="R1253" s="6">
        <v>5</v>
      </c>
      <c r="S1253" s="6">
        <v>7</v>
      </c>
      <c r="T1253" s="6" t="str">
        <f t="shared" si="59"/>
        <v>Sexta</v>
      </c>
    </row>
    <row r="1254" spans="1:20">
      <c r="A1254" s="7" t="s">
        <v>2654</v>
      </c>
      <c r="B1254" s="7" t="s">
        <v>526</v>
      </c>
      <c r="C1254" s="8">
        <v>1</v>
      </c>
      <c r="D1254" s="7" t="s">
        <v>2654</v>
      </c>
      <c r="E1254" s="7" t="s">
        <v>2681</v>
      </c>
      <c r="F1254">
        <v>1093</v>
      </c>
      <c r="G1254" s="6">
        <v>27537</v>
      </c>
      <c r="H1254" s="11" t="s">
        <v>2682</v>
      </c>
      <c r="I1254" s="6">
        <v>31</v>
      </c>
      <c r="J1254" s="6">
        <v>16</v>
      </c>
      <c r="K1254" s="6">
        <v>39</v>
      </c>
      <c r="L1254" s="6">
        <v>51</v>
      </c>
      <c r="M1254" s="10">
        <f t="shared" si="57"/>
        <v>76.470588235294116</v>
      </c>
      <c r="N1254" s="10">
        <f t="shared" si="58"/>
        <v>77</v>
      </c>
      <c r="O1254" s="6" t="s">
        <v>12</v>
      </c>
      <c r="P1254" s="6">
        <v>3</v>
      </c>
      <c r="Q1254" s="6">
        <v>1</v>
      </c>
      <c r="R1254" s="6">
        <v>2</v>
      </c>
      <c r="S1254" s="6">
        <v>6</v>
      </c>
      <c r="T1254" s="6" t="str">
        <f t="shared" si="59"/>
        <v>Sexta</v>
      </c>
    </row>
    <row r="1255" spans="1:20">
      <c r="A1255" s="7" t="s">
        <v>2654</v>
      </c>
      <c r="B1255" s="7" t="s">
        <v>526</v>
      </c>
      <c r="C1255" s="8">
        <v>1</v>
      </c>
      <c r="D1255" s="7" t="s">
        <v>2654</v>
      </c>
      <c r="E1255" s="7" t="s">
        <v>2683</v>
      </c>
      <c r="F1255">
        <v>1190</v>
      </c>
      <c r="G1255" s="6">
        <v>22970</v>
      </c>
      <c r="H1255" s="11" t="s">
        <v>2684</v>
      </c>
      <c r="I1255" s="6">
        <v>37</v>
      </c>
      <c r="J1255" s="6">
        <v>18</v>
      </c>
      <c r="K1255" s="6">
        <v>43</v>
      </c>
      <c r="L1255" s="6">
        <v>49</v>
      </c>
      <c r="M1255" s="10">
        <f t="shared" si="57"/>
        <v>87.755102040816325</v>
      </c>
      <c r="N1255" s="10">
        <f t="shared" si="58"/>
        <v>88</v>
      </c>
      <c r="O1255" s="6" t="s">
        <v>319</v>
      </c>
      <c r="P1255" s="6">
        <v>0</v>
      </c>
      <c r="Q1255" s="6">
        <v>2</v>
      </c>
      <c r="R1255" s="6">
        <v>6</v>
      </c>
      <c r="S1255" s="6">
        <v>8</v>
      </c>
      <c r="T1255" s="6" t="str">
        <f t="shared" si="59"/>
        <v>Sexta</v>
      </c>
    </row>
    <row r="1256" spans="1:20">
      <c r="A1256" s="7" t="s">
        <v>2654</v>
      </c>
      <c r="B1256" s="7" t="s">
        <v>526</v>
      </c>
      <c r="C1256" s="8">
        <v>1</v>
      </c>
      <c r="D1256" s="7" t="s">
        <v>2654</v>
      </c>
      <c r="E1256" s="7" t="s">
        <v>1781</v>
      </c>
      <c r="F1256">
        <v>1894</v>
      </c>
      <c r="G1256" s="6">
        <v>638</v>
      </c>
      <c r="H1256" s="11" t="s">
        <v>1782</v>
      </c>
      <c r="I1256" s="6">
        <v>34</v>
      </c>
      <c r="J1256" s="6">
        <v>5</v>
      </c>
      <c r="K1256" s="6">
        <v>20</v>
      </c>
      <c r="L1256" s="6">
        <v>65</v>
      </c>
      <c r="M1256" s="10">
        <f t="shared" si="57"/>
        <v>30.76923076923077</v>
      </c>
      <c r="N1256" s="10">
        <f t="shared" si="58"/>
        <v>31</v>
      </c>
      <c r="O1256" s="6" t="s">
        <v>228</v>
      </c>
      <c r="P1256" s="6">
        <v>0</v>
      </c>
      <c r="Q1256" s="6">
        <v>1</v>
      </c>
      <c r="R1256" s="6">
        <v>2</v>
      </c>
      <c r="S1256" s="6">
        <v>3</v>
      </c>
      <c r="T1256" s="6" t="str">
        <f t="shared" si="59"/>
        <v>Segunda</v>
      </c>
    </row>
    <row r="1257" spans="1:20">
      <c r="A1257" s="7" t="s">
        <v>2654</v>
      </c>
      <c r="B1257" s="7" t="s">
        <v>526</v>
      </c>
      <c r="C1257" s="8">
        <v>1</v>
      </c>
      <c r="D1257" s="7" t="s">
        <v>2654</v>
      </c>
      <c r="E1257" s="7" t="s">
        <v>2685</v>
      </c>
      <c r="F1257">
        <v>1046</v>
      </c>
      <c r="G1257" s="6">
        <v>26896</v>
      </c>
      <c r="H1257" s="11" t="s">
        <v>2686</v>
      </c>
      <c r="I1257" s="6">
        <v>25</v>
      </c>
      <c r="J1257" s="6">
        <v>47</v>
      </c>
      <c r="K1257" s="6">
        <v>105</v>
      </c>
      <c r="L1257" s="6">
        <v>39</v>
      </c>
      <c r="M1257" s="10">
        <f t="shared" si="57"/>
        <v>269.23076923076923</v>
      </c>
      <c r="N1257" s="10">
        <f t="shared" si="58"/>
        <v>270</v>
      </c>
      <c r="O1257" s="6" t="s">
        <v>79</v>
      </c>
      <c r="P1257" s="6">
        <v>1</v>
      </c>
      <c r="Q1257" s="6">
        <v>2</v>
      </c>
      <c r="R1257" s="6">
        <v>9</v>
      </c>
      <c r="S1257" s="6">
        <v>12</v>
      </c>
      <c r="T1257" s="6" t="str">
        <f t="shared" si="59"/>
        <v>Septima</v>
      </c>
    </row>
    <row r="1258" spans="1:20" ht="24">
      <c r="A1258" s="7" t="s">
        <v>2654</v>
      </c>
      <c r="B1258" s="7" t="s">
        <v>526</v>
      </c>
      <c r="C1258" s="8">
        <v>1</v>
      </c>
      <c r="D1258" s="7" t="s">
        <v>2654</v>
      </c>
      <c r="E1258" s="7" t="s">
        <v>2687</v>
      </c>
      <c r="F1258">
        <v>1076</v>
      </c>
      <c r="G1258" s="6">
        <v>28095</v>
      </c>
      <c r="H1258" s="11" t="s">
        <v>2688</v>
      </c>
      <c r="I1258" s="6">
        <v>30</v>
      </c>
      <c r="J1258" s="6">
        <v>9</v>
      </c>
      <c r="K1258" s="6">
        <v>35</v>
      </c>
      <c r="L1258" s="6">
        <v>61</v>
      </c>
      <c r="M1258" s="10">
        <f t="shared" si="57"/>
        <v>57.377049180327866</v>
      </c>
      <c r="N1258" s="10">
        <f t="shared" si="58"/>
        <v>58</v>
      </c>
      <c r="O1258" s="6" t="s">
        <v>320</v>
      </c>
      <c r="P1258" s="6">
        <v>1</v>
      </c>
      <c r="Q1258" s="6">
        <v>2</v>
      </c>
      <c r="R1258" s="6">
        <v>1</v>
      </c>
      <c r="S1258" s="6">
        <v>4</v>
      </c>
      <c r="T1258" s="6" t="str">
        <f t="shared" si="59"/>
        <v>Septima</v>
      </c>
    </row>
    <row r="1259" spans="1:20">
      <c r="A1259" s="7" t="s">
        <v>2654</v>
      </c>
      <c r="B1259" s="7" t="s">
        <v>526</v>
      </c>
      <c r="C1259" s="8">
        <v>1</v>
      </c>
      <c r="D1259" s="7" t="s">
        <v>2654</v>
      </c>
      <c r="E1259" s="7" t="s">
        <v>2689</v>
      </c>
      <c r="F1259">
        <v>1064</v>
      </c>
      <c r="G1259" s="6">
        <v>26183</v>
      </c>
      <c r="H1259" s="11" t="s">
        <v>2690</v>
      </c>
      <c r="I1259" s="6">
        <v>58</v>
      </c>
      <c r="J1259" s="6">
        <v>7</v>
      </c>
      <c r="K1259" s="6">
        <v>19</v>
      </c>
      <c r="L1259" s="6">
        <v>59</v>
      </c>
      <c r="M1259" s="10">
        <f t="shared" si="57"/>
        <v>32.203389830508478</v>
      </c>
      <c r="N1259" s="10">
        <f t="shared" si="58"/>
        <v>33</v>
      </c>
      <c r="O1259" s="6" t="s">
        <v>223</v>
      </c>
      <c r="P1259" s="6">
        <v>1</v>
      </c>
      <c r="Q1259" s="6">
        <v>0</v>
      </c>
      <c r="R1259" s="6">
        <v>2</v>
      </c>
      <c r="S1259" s="6">
        <v>3</v>
      </c>
      <c r="T1259" s="6" t="str">
        <f t="shared" si="59"/>
        <v>Septima</v>
      </c>
    </row>
    <row r="1260" spans="1:20">
      <c r="A1260" s="7" t="s">
        <v>2654</v>
      </c>
      <c r="B1260" s="7" t="s">
        <v>526</v>
      </c>
      <c r="C1260" s="8">
        <v>1</v>
      </c>
      <c r="D1260" s="7" t="s">
        <v>2654</v>
      </c>
      <c r="E1260" s="7" t="s">
        <v>2691</v>
      </c>
      <c r="F1260">
        <v>1105</v>
      </c>
      <c r="G1260" s="6">
        <v>27881</v>
      </c>
      <c r="H1260" s="11" t="s">
        <v>2692</v>
      </c>
      <c r="I1260" s="6">
        <v>11</v>
      </c>
      <c r="J1260" s="6">
        <v>13</v>
      </c>
      <c r="K1260" s="6">
        <v>31</v>
      </c>
      <c r="L1260" s="6">
        <v>50</v>
      </c>
      <c r="M1260" s="10">
        <f t="shared" si="57"/>
        <v>62</v>
      </c>
      <c r="N1260" s="10">
        <f t="shared" si="58"/>
        <v>62</v>
      </c>
      <c r="O1260" s="6" t="s">
        <v>131</v>
      </c>
      <c r="P1260" s="6">
        <v>3</v>
      </c>
      <c r="Q1260" s="6">
        <v>1</v>
      </c>
      <c r="R1260" s="6">
        <v>2</v>
      </c>
      <c r="S1260" s="6">
        <v>6</v>
      </c>
      <c r="T1260" s="6" t="str">
        <f t="shared" si="59"/>
        <v>Sexta</v>
      </c>
    </row>
    <row r="1261" spans="1:20">
      <c r="A1261" s="7" t="s">
        <v>2693</v>
      </c>
      <c r="B1261" s="7" t="s">
        <v>781</v>
      </c>
      <c r="C1261" s="8">
        <v>1</v>
      </c>
      <c r="D1261" s="7" t="s">
        <v>2693</v>
      </c>
      <c r="E1261" s="7" t="s">
        <v>2694</v>
      </c>
      <c r="F1261">
        <v>1862</v>
      </c>
      <c r="G1261" s="6">
        <v>22489</v>
      </c>
      <c r="H1261" s="11" t="s">
        <v>2695</v>
      </c>
      <c r="I1261" s="6">
        <v>26</v>
      </c>
      <c r="J1261" s="6">
        <v>61</v>
      </c>
      <c r="K1261" s="6">
        <v>191</v>
      </c>
      <c r="L1261" s="6">
        <v>69</v>
      </c>
      <c r="M1261" s="10">
        <f t="shared" si="57"/>
        <v>276.81159420289856</v>
      </c>
      <c r="N1261" s="10">
        <f t="shared" si="58"/>
        <v>277</v>
      </c>
      <c r="O1261" s="6" t="s">
        <v>9</v>
      </c>
      <c r="P1261" s="6">
        <v>10</v>
      </c>
      <c r="Q1261" s="6">
        <v>6</v>
      </c>
      <c r="R1261" s="6">
        <v>12</v>
      </c>
      <c r="S1261" s="6">
        <v>28</v>
      </c>
      <c r="T1261" s="6" t="str">
        <f t="shared" si="59"/>
        <v>Segunda</v>
      </c>
    </row>
    <row r="1262" spans="1:20">
      <c r="A1262" s="7" t="s">
        <v>2693</v>
      </c>
      <c r="B1262" s="7" t="s">
        <v>781</v>
      </c>
      <c r="C1262" s="8">
        <v>1</v>
      </c>
      <c r="D1262" s="7" t="s">
        <v>2693</v>
      </c>
      <c r="E1262" s="7" t="s">
        <v>2696</v>
      </c>
      <c r="F1262">
        <v>2034</v>
      </c>
      <c r="G1262" s="6">
        <v>25973</v>
      </c>
      <c r="H1262" s="11" t="s">
        <v>2697</v>
      </c>
      <c r="I1262" s="6">
        <v>17</v>
      </c>
      <c r="J1262" s="6">
        <v>94</v>
      </c>
      <c r="K1262" s="6">
        <v>233</v>
      </c>
      <c r="L1262" s="6">
        <v>54</v>
      </c>
      <c r="M1262" s="10">
        <f t="shared" si="57"/>
        <v>431.48148148148147</v>
      </c>
      <c r="N1262" s="10">
        <f t="shared" si="58"/>
        <v>432</v>
      </c>
      <c r="O1262" s="6" t="s">
        <v>37</v>
      </c>
      <c r="P1262" s="6">
        <v>8</v>
      </c>
      <c r="Q1262" s="6">
        <v>9</v>
      </c>
      <c r="R1262" s="6">
        <v>15</v>
      </c>
      <c r="S1262" s="6">
        <v>32</v>
      </c>
      <c r="T1262" s="6" t="str">
        <f t="shared" si="59"/>
        <v>Segunda</v>
      </c>
    </row>
    <row r="1263" spans="1:20">
      <c r="A1263" s="7" t="s">
        <v>2693</v>
      </c>
      <c r="B1263" s="7" t="s">
        <v>781</v>
      </c>
      <c r="C1263" s="8">
        <v>1</v>
      </c>
      <c r="D1263" s="7" t="s">
        <v>2693</v>
      </c>
      <c r="E1263" s="7" t="s">
        <v>2698</v>
      </c>
      <c r="F1263">
        <v>2058</v>
      </c>
      <c r="G1263" s="6">
        <v>7467</v>
      </c>
      <c r="H1263" s="11" t="s">
        <v>2699</v>
      </c>
      <c r="I1263" s="6">
        <v>35</v>
      </c>
      <c r="J1263" s="6">
        <v>30</v>
      </c>
      <c r="K1263" s="6">
        <v>91</v>
      </c>
      <c r="L1263" s="6">
        <v>63</v>
      </c>
      <c r="M1263" s="10">
        <f t="shared" si="57"/>
        <v>144.44444444444446</v>
      </c>
      <c r="N1263" s="10">
        <f t="shared" si="58"/>
        <v>145</v>
      </c>
      <c r="O1263" s="6" t="s">
        <v>37</v>
      </c>
      <c r="P1263" s="6">
        <v>4</v>
      </c>
      <c r="Q1263" s="6">
        <v>3</v>
      </c>
      <c r="R1263" s="6">
        <v>6</v>
      </c>
      <c r="S1263" s="6">
        <v>13</v>
      </c>
      <c r="T1263" s="6" t="str">
        <f t="shared" si="59"/>
        <v>Segunda</v>
      </c>
    </row>
    <row r="1264" spans="1:20">
      <c r="A1264" s="7" t="s">
        <v>2693</v>
      </c>
      <c r="B1264" s="7" t="s">
        <v>781</v>
      </c>
      <c r="C1264" s="8">
        <v>1</v>
      </c>
      <c r="D1264" s="7" t="s">
        <v>2693</v>
      </c>
      <c r="E1264" s="7" t="s">
        <v>2700</v>
      </c>
      <c r="F1264">
        <v>1626</v>
      </c>
      <c r="G1264" s="6">
        <v>17405</v>
      </c>
      <c r="H1264" s="11" t="s">
        <v>2701</v>
      </c>
      <c r="I1264" s="6">
        <v>22</v>
      </c>
      <c r="J1264" s="6">
        <v>38</v>
      </c>
      <c r="K1264" s="6">
        <v>89</v>
      </c>
      <c r="L1264" s="6">
        <v>52</v>
      </c>
      <c r="M1264" s="10">
        <f t="shared" si="57"/>
        <v>171.15384615384616</v>
      </c>
      <c r="N1264" s="10">
        <f t="shared" si="58"/>
        <v>172</v>
      </c>
      <c r="O1264" s="6" t="s">
        <v>69</v>
      </c>
      <c r="P1264" s="6">
        <v>0</v>
      </c>
      <c r="Q1264" s="6">
        <v>3</v>
      </c>
      <c r="R1264" s="6">
        <v>5</v>
      </c>
      <c r="S1264" s="6">
        <v>8</v>
      </c>
      <c r="T1264" s="6" t="str">
        <f t="shared" si="59"/>
        <v>Tercera</v>
      </c>
    </row>
    <row r="1265" spans="1:20">
      <c r="A1265" s="7" t="s">
        <v>2693</v>
      </c>
      <c r="B1265" s="7" t="s">
        <v>781</v>
      </c>
      <c r="C1265" s="8">
        <v>1</v>
      </c>
      <c r="D1265" s="7" t="s">
        <v>2693</v>
      </c>
      <c r="E1265" s="7" t="s">
        <v>2702</v>
      </c>
      <c r="F1265">
        <v>1826</v>
      </c>
      <c r="G1265" s="6">
        <v>8394</v>
      </c>
      <c r="H1265" s="11" t="s">
        <v>2703</v>
      </c>
      <c r="I1265" s="6">
        <v>38</v>
      </c>
      <c r="J1265" s="6">
        <v>51</v>
      </c>
      <c r="K1265" s="6">
        <v>140</v>
      </c>
      <c r="L1265" s="6">
        <v>61</v>
      </c>
      <c r="M1265" s="10">
        <f t="shared" si="57"/>
        <v>229.50819672131146</v>
      </c>
      <c r="N1265" s="10">
        <f t="shared" si="58"/>
        <v>230</v>
      </c>
      <c r="O1265" s="6" t="s">
        <v>321</v>
      </c>
      <c r="P1265" s="6">
        <v>6</v>
      </c>
      <c r="Q1265" s="6">
        <v>3</v>
      </c>
      <c r="R1265" s="6">
        <v>7</v>
      </c>
      <c r="S1265" s="6">
        <v>16</v>
      </c>
      <c r="T1265" s="6" t="str">
        <f t="shared" si="59"/>
        <v>Segunda</v>
      </c>
    </row>
    <row r="1266" spans="1:20">
      <c r="A1266" s="7" t="s">
        <v>2693</v>
      </c>
      <c r="B1266" s="7" t="s">
        <v>483</v>
      </c>
      <c r="C1266" s="8">
        <v>1</v>
      </c>
      <c r="D1266" s="7" t="s">
        <v>2693</v>
      </c>
      <c r="E1266" s="7" t="s">
        <v>2704</v>
      </c>
      <c r="F1266">
        <v>1500</v>
      </c>
      <c r="G1266" s="6">
        <v>1983</v>
      </c>
      <c r="H1266" s="11" t="s">
        <v>2705</v>
      </c>
      <c r="I1266" s="6">
        <v>58</v>
      </c>
      <c r="J1266" s="6">
        <v>20</v>
      </c>
      <c r="K1266" s="6">
        <v>69</v>
      </c>
      <c r="L1266" s="6">
        <v>70</v>
      </c>
      <c r="M1266" s="10">
        <f t="shared" si="57"/>
        <v>98.571428571428569</v>
      </c>
      <c r="N1266" s="10">
        <f t="shared" si="58"/>
        <v>99</v>
      </c>
      <c r="O1266" s="6" t="s">
        <v>322</v>
      </c>
      <c r="P1266" s="6">
        <v>3</v>
      </c>
      <c r="Q1266" s="6">
        <v>1</v>
      </c>
      <c r="R1266" s="6">
        <v>6</v>
      </c>
      <c r="S1266" s="6">
        <v>10</v>
      </c>
      <c r="T1266" s="6" t="str">
        <f t="shared" si="59"/>
        <v>Cuarta</v>
      </c>
    </row>
    <row r="1267" spans="1:20">
      <c r="A1267" s="7" t="s">
        <v>2693</v>
      </c>
      <c r="B1267" s="7" t="s">
        <v>483</v>
      </c>
      <c r="C1267" s="8">
        <v>1</v>
      </c>
      <c r="D1267" s="7" t="s">
        <v>2693</v>
      </c>
      <c r="E1267" s="7" t="s">
        <v>2706</v>
      </c>
      <c r="F1267">
        <v>1725</v>
      </c>
      <c r="G1267" s="6">
        <v>21267</v>
      </c>
      <c r="H1267" s="11" t="s">
        <v>2707</v>
      </c>
      <c r="I1267" s="6">
        <v>22</v>
      </c>
      <c r="J1267" s="6">
        <v>23</v>
      </c>
      <c r="K1267" s="6">
        <v>82</v>
      </c>
      <c r="L1267" s="6">
        <v>72</v>
      </c>
      <c r="M1267" s="10">
        <f t="shared" si="57"/>
        <v>113.88888888888889</v>
      </c>
      <c r="N1267" s="10">
        <f t="shared" si="58"/>
        <v>114</v>
      </c>
      <c r="O1267" s="6" t="s">
        <v>37</v>
      </c>
      <c r="P1267" s="6">
        <v>7</v>
      </c>
      <c r="Q1267" s="6">
        <v>3</v>
      </c>
      <c r="R1267" s="6">
        <v>3</v>
      </c>
      <c r="S1267" s="6">
        <v>13</v>
      </c>
      <c r="T1267" s="6" t="str">
        <f t="shared" si="59"/>
        <v>Tercera</v>
      </c>
    </row>
    <row r="1268" spans="1:20">
      <c r="A1268" s="7" t="s">
        <v>2693</v>
      </c>
      <c r="B1268" s="7" t="s">
        <v>483</v>
      </c>
      <c r="C1268" s="8">
        <v>1</v>
      </c>
      <c r="D1268" s="7" t="s">
        <v>2693</v>
      </c>
      <c r="E1268" s="7" t="s">
        <v>2708</v>
      </c>
      <c r="F1268">
        <v>910</v>
      </c>
      <c r="G1268" s="6">
        <v>1189</v>
      </c>
      <c r="H1268" s="11" t="s">
        <v>2709</v>
      </c>
      <c r="I1268" s="6">
        <v>37</v>
      </c>
      <c r="J1268" s="6">
        <v>4</v>
      </c>
      <c r="K1268" s="6">
        <v>0</v>
      </c>
      <c r="L1268" s="6">
        <v>0</v>
      </c>
      <c r="M1268" s="10">
        <f t="shared" si="57"/>
        <v>0</v>
      </c>
      <c r="N1268" s="10">
        <f t="shared" si="58"/>
        <v>0</v>
      </c>
      <c r="O1268" s="6" t="s">
        <v>323</v>
      </c>
      <c r="P1268" s="6">
        <v>0</v>
      </c>
      <c r="Q1268" s="6">
        <v>0</v>
      </c>
      <c r="R1268" s="6">
        <v>0</v>
      </c>
      <c r="S1268" s="6">
        <v>0</v>
      </c>
      <c r="T1268" s="6" t="str">
        <f t="shared" si="59"/>
        <v>Octava</v>
      </c>
    </row>
    <row r="1269" spans="1:20">
      <c r="A1269" s="7" t="s">
        <v>2693</v>
      </c>
      <c r="B1269" s="7" t="s">
        <v>483</v>
      </c>
      <c r="C1269" s="8">
        <v>1</v>
      </c>
      <c r="D1269" s="7" t="s">
        <v>2693</v>
      </c>
      <c r="E1269" s="7" t="s">
        <v>2710</v>
      </c>
      <c r="F1269">
        <v>1798</v>
      </c>
      <c r="G1269" s="6">
        <v>3868</v>
      </c>
      <c r="H1269" s="11" t="s">
        <v>2711</v>
      </c>
      <c r="I1269" s="6">
        <v>53</v>
      </c>
      <c r="J1269" s="6">
        <v>52</v>
      </c>
      <c r="K1269" s="6">
        <v>125</v>
      </c>
      <c r="L1269" s="6">
        <v>56</v>
      </c>
      <c r="M1269" s="10">
        <f t="shared" si="57"/>
        <v>223.21428571428572</v>
      </c>
      <c r="N1269" s="10">
        <f t="shared" si="58"/>
        <v>224</v>
      </c>
      <c r="O1269" s="6" t="s">
        <v>36</v>
      </c>
      <c r="P1269" s="6">
        <v>6</v>
      </c>
      <c r="Q1269" s="6">
        <v>4</v>
      </c>
      <c r="R1269" s="6">
        <v>5</v>
      </c>
      <c r="S1269" s="6">
        <v>15</v>
      </c>
      <c r="T1269" s="6" t="str">
        <f t="shared" si="59"/>
        <v>Tercera</v>
      </c>
    </row>
    <row r="1270" spans="1:20">
      <c r="A1270" s="7" t="s">
        <v>2693</v>
      </c>
      <c r="B1270" s="7" t="s">
        <v>483</v>
      </c>
      <c r="C1270" s="8">
        <v>1</v>
      </c>
      <c r="D1270" s="7" t="s">
        <v>2693</v>
      </c>
      <c r="E1270" s="7" t="s">
        <v>2712</v>
      </c>
      <c r="F1270">
        <v>1486</v>
      </c>
      <c r="G1270" s="6">
        <v>11540</v>
      </c>
      <c r="H1270" s="11" t="s">
        <v>2713</v>
      </c>
      <c r="I1270" s="6">
        <v>56</v>
      </c>
      <c r="J1270" s="6">
        <v>85</v>
      </c>
      <c r="K1270" s="6">
        <v>212</v>
      </c>
      <c r="L1270" s="6">
        <v>46</v>
      </c>
      <c r="M1270" s="10">
        <f t="shared" si="57"/>
        <v>460.86956521739131</v>
      </c>
      <c r="N1270" s="10">
        <f t="shared" si="58"/>
        <v>461</v>
      </c>
      <c r="O1270" s="6" t="s">
        <v>324</v>
      </c>
      <c r="P1270" s="6">
        <v>3</v>
      </c>
      <c r="Q1270" s="6">
        <v>3</v>
      </c>
      <c r="R1270" s="6">
        <v>7</v>
      </c>
      <c r="S1270" s="6">
        <v>13</v>
      </c>
      <c r="T1270" s="6" t="str">
        <f t="shared" si="59"/>
        <v>Cuarta</v>
      </c>
    </row>
    <row r="1271" spans="1:20">
      <c r="A1271" s="7" t="s">
        <v>2693</v>
      </c>
      <c r="B1271" s="7" t="s">
        <v>483</v>
      </c>
      <c r="C1271" s="8">
        <v>1</v>
      </c>
      <c r="D1271" s="7" t="s">
        <v>2693</v>
      </c>
      <c r="E1271" s="7" t="s">
        <v>2714</v>
      </c>
      <c r="F1271">
        <v>1431</v>
      </c>
      <c r="G1271" s="6">
        <v>24029</v>
      </c>
      <c r="H1271" s="11" t="s">
        <v>2715</v>
      </c>
      <c r="I1271" s="6">
        <v>26</v>
      </c>
      <c r="J1271" s="6">
        <v>52</v>
      </c>
      <c r="K1271" s="6">
        <v>139</v>
      </c>
      <c r="L1271" s="6">
        <v>57</v>
      </c>
      <c r="M1271" s="10">
        <f t="shared" si="57"/>
        <v>243.85964912280701</v>
      </c>
      <c r="N1271" s="10">
        <f t="shared" si="58"/>
        <v>244</v>
      </c>
      <c r="O1271" s="6" t="s">
        <v>9</v>
      </c>
      <c r="P1271" s="6">
        <v>6</v>
      </c>
      <c r="Q1271" s="6">
        <v>2</v>
      </c>
      <c r="R1271" s="6">
        <v>7</v>
      </c>
      <c r="S1271" s="6">
        <v>15</v>
      </c>
      <c r="T1271" s="6" t="str">
        <f t="shared" si="59"/>
        <v>Cuarta</v>
      </c>
    </row>
    <row r="1272" spans="1:20">
      <c r="A1272" s="7" t="s">
        <v>2693</v>
      </c>
      <c r="B1272" s="7" t="s">
        <v>507</v>
      </c>
      <c r="C1272" s="8">
        <v>1</v>
      </c>
      <c r="D1272" s="7" t="s">
        <v>2716</v>
      </c>
      <c r="E1272" s="7" t="s">
        <v>2717</v>
      </c>
      <c r="F1272">
        <v>1248</v>
      </c>
      <c r="G1272" s="6">
        <v>11474</v>
      </c>
      <c r="H1272" s="11" t="s">
        <v>2718</v>
      </c>
      <c r="I1272" s="6">
        <v>41</v>
      </c>
      <c r="J1272" s="6">
        <v>13</v>
      </c>
      <c r="K1272" s="6">
        <v>31</v>
      </c>
      <c r="L1272" s="6">
        <v>55</v>
      </c>
      <c r="M1272" s="10">
        <f t="shared" si="57"/>
        <v>56.363636363636367</v>
      </c>
      <c r="N1272" s="10">
        <f t="shared" si="58"/>
        <v>57</v>
      </c>
      <c r="O1272" s="6" t="s">
        <v>160</v>
      </c>
      <c r="P1272" s="6">
        <v>1</v>
      </c>
      <c r="Q1272" s="6">
        <v>1</v>
      </c>
      <c r="R1272" s="6">
        <v>0</v>
      </c>
      <c r="S1272" s="6">
        <v>2</v>
      </c>
      <c r="T1272" s="6" t="str">
        <f t="shared" si="59"/>
        <v>Quinta</v>
      </c>
    </row>
    <row r="1273" spans="1:20">
      <c r="A1273" s="7" t="s">
        <v>2693</v>
      </c>
      <c r="B1273" s="7" t="s">
        <v>507</v>
      </c>
      <c r="C1273" s="8">
        <v>1</v>
      </c>
      <c r="D1273" s="7" t="s">
        <v>2716</v>
      </c>
      <c r="E1273" s="7" t="s">
        <v>2719</v>
      </c>
      <c r="F1273">
        <v>1404</v>
      </c>
      <c r="G1273" s="6">
        <v>28212</v>
      </c>
      <c r="H1273" s="11" t="s">
        <v>2720</v>
      </c>
      <c r="I1273" s="6">
        <v>15</v>
      </c>
      <c r="J1273" s="6">
        <v>19</v>
      </c>
      <c r="K1273" s="6">
        <v>63</v>
      </c>
      <c r="L1273" s="6">
        <v>61</v>
      </c>
      <c r="M1273" s="10">
        <f t="shared" si="57"/>
        <v>103.27868852459017</v>
      </c>
      <c r="N1273" s="10">
        <f t="shared" si="58"/>
        <v>104</v>
      </c>
      <c r="O1273" s="6" t="s">
        <v>37</v>
      </c>
      <c r="P1273" s="6">
        <v>3</v>
      </c>
      <c r="Q1273" s="6">
        <v>2</v>
      </c>
      <c r="R1273" s="6">
        <v>7</v>
      </c>
      <c r="S1273" s="6">
        <v>12</v>
      </c>
      <c r="T1273" s="6" t="str">
        <f t="shared" si="59"/>
        <v>Cuarta</v>
      </c>
    </row>
    <row r="1274" spans="1:20">
      <c r="A1274" s="7" t="s">
        <v>2693</v>
      </c>
      <c r="B1274" s="7" t="s">
        <v>507</v>
      </c>
      <c r="C1274" s="8">
        <v>1</v>
      </c>
      <c r="D1274" s="7" t="s">
        <v>2716</v>
      </c>
      <c r="E1274" s="7" t="s">
        <v>2721</v>
      </c>
      <c r="F1274">
        <v>1310</v>
      </c>
      <c r="G1274" s="6">
        <v>23464</v>
      </c>
      <c r="H1274" s="11" t="s">
        <v>2722</v>
      </c>
      <c r="I1274" s="6">
        <v>19</v>
      </c>
      <c r="J1274" s="6">
        <v>18</v>
      </c>
      <c r="K1274" s="6">
        <v>51</v>
      </c>
      <c r="L1274" s="6">
        <v>62</v>
      </c>
      <c r="M1274" s="10">
        <f t="shared" si="57"/>
        <v>82.258064516129039</v>
      </c>
      <c r="N1274" s="10">
        <f t="shared" si="58"/>
        <v>83</v>
      </c>
      <c r="O1274" s="6" t="s">
        <v>19</v>
      </c>
      <c r="P1274" s="6">
        <v>4</v>
      </c>
      <c r="Q1274" s="6">
        <v>0</v>
      </c>
      <c r="R1274" s="6">
        <v>1</v>
      </c>
      <c r="S1274" s="6">
        <v>5</v>
      </c>
      <c r="T1274" s="6" t="str">
        <f t="shared" si="59"/>
        <v>Quinta</v>
      </c>
    </row>
    <row r="1275" spans="1:20">
      <c r="A1275" s="7" t="s">
        <v>2693</v>
      </c>
      <c r="B1275" s="7" t="s">
        <v>507</v>
      </c>
      <c r="C1275" s="8">
        <v>1</v>
      </c>
      <c r="D1275" s="7" t="s">
        <v>2716</v>
      </c>
      <c r="E1275" s="7" t="s">
        <v>2723</v>
      </c>
      <c r="F1275">
        <v>1378</v>
      </c>
      <c r="G1275" s="6">
        <v>27711</v>
      </c>
      <c r="H1275" s="11" t="s">
        <v>2724</v>
      </c>
      <c r="I1275" s="6">
        <v>30</v>
      </c>
      <c r="J1275" s="6">
        <v>21</v>
      </c>
      <c r="K1275" s="6">
        <v>65</v>
      </c>
      <c r="L1275" s="6">
        <v>59</v>
      </c>
      <c r="M1275" s="10">
        <f t="shared" si="57"/>
        <v>110.16949152542372</v>
      </c>
      <c r="N1275" s="10">
        <f t="shared" si="58"/>
        <v>111</v>
      </c>
      <c r="O1275" s="6" t="s">
        <v>13</v>
      </c>
      <c r="P1275" s="6">
        <v>4</v>
      </c>
      <c r="Q1275" s="6">
        <v>2</v>
      </c>
      <c r="R1275" s="6">
        <v>2</v>
      </c>
      <c r="S1275" s="6">
        <v>8</v>
      </c>
      <c r="T1275" s="6" t="str">
        <f t="shared" si="59"/>
        <v>Quinta</v>
      </c>
    </row>
    <row r="1276" spans="1:20">
      <c r="A1276" s="7" t="s">
        <v>2693</v>
      </c>
      <c r="B1276" s="7" t="s">
        <v>507</v>
      </c>
      <c r="C1276" s="8">
        <v>1</v>
      </c>
      <c r="D1276" s="7" t="s">
        <v>2716</v>
      </c>
      <c r="E1276" s="7" t="s">
        <v>2725</v>
      </c>
      <c r="F1276">
        <v>1153</v>
      </c>
      <c r="G1276" s="6">
        <v>22598</v>
      </c>
      <c r="H1276" s="11" t="s">
        <v>2726</v>
      </c>
      <c r="I1276" s="6">
        <v>51</v>
      </c>
      <c r="J1276" s="6">
        <v>96</v>
      </c>
      <c r="K1276" s="6">
        <v>193</v>
      </c>
      <c r="L1276" s="6">
        <v>46</v>
      </c>
      <c r="M1276" s="10">
        <f t="shared" si="57"/>
        <v>419.56521739130437</v>
      </c>
      <c r="N1276" s="10">
        <f t="shared" si="58"/>
        <v>420</v>
      </c>
      <c r="O1276" s="6" t="s">
        <v>138</v>
      </c>
      <c r="P1276" s="6">
        <v>6</v>
      </c>
      <c r="Q1276" s="6">
        <v>2</v>
      </c>
      <c r="R1276" s="6">
        <v>18</v>
      </c>
      <c r="S1276" s="6">
        <v>26</v>
      </c>
      <c r="T1276" s="6" t="str">
        <f t="shared" si="59"/>
        <v>Sexta</v>
      </c>
    </row>
    <row r="1277" spans="1:20">
      <c r="A1277" s="7" t="s">
        <v>2693</v>
      </c>
      <c r="B1277" s="7" t="s">
        <v>507</v>
      </c>
      <c r="C1277" s="8">
        <v>2</v>
      </c>
      <c r="D1277" s="7" t="s">
        <v>2727</v>
      </c>
      <c r="E1277" s="7" t="s">
        <v>2728</v>
      </c>
      <c r="F1277">
        <v>1299</v>
      </c>
      <c r="G1277" s="6">
        <v>25901</v>
      </c>
      <c r="H1277" s="11" t="s">
        <v>2729</v>
      </c>
      <c r="I1277" s="6">
        <v>52</v>
      </c>
      <c r="J1277" s="6">
        <v>27</v>
      </c>
      <c r="K1277" s="6">
        <v>77</v>
      </c>
      <c r="L1277" s="6">
        <v>64</v>
      </c>
      <c r="M1277" s="10">
        <f t="shared" si="57"/>
        <v>120.3125</v>
      </c>
      <c r="N1277" s="10">
        <f t="shared" si="58"/>
        <v>121</v>
      </c>
      <c r="O1277" s="6" t="s">
        <v>12</v>
      </c>
      <c r="P1277" s="6">
        <v>3</v>
      </c>
      <c r="Q1277" s="6">
        <v>2</v>
      </c>
      <c r="R1277" s="6">
        <v>6</v>
      </c>
      <c r="S1277" s="6">
        <v>11</v>
      </c>
      <c r="T1277" s="6" t="str">
        <f t="shared" si="59"/>
        <v>Quinta</v>
      </c>
    </row>
    <row r="1278" spans="1:20">
      <c r="A1278" s="7" t="s">
        <v>2693</v>
      </c>
      <c r="B1278" s="7" t="s">
        <v>507</v>
      </c>
      <c r="C1278" s="8">
        <v>2</v>
      </c>
      <c r="D1278" s="7" t="s">
        <v>2727</v>
      </c>
      <c r="E1278" s="7" t="s">
        <v>2730</v>
      </c>
      <c r="F1278">
        <v>1072</v>
      </c>
      <c r="G1278" s="6">
        <v>21917</v>
      </c>
      <c r="H1278" s="11" t="s">
        <v>2731</v>
      </c>
      <c r="I1278" s="6">
        <v>48</v>
      </c>
      <c r="J1278" s="6">
        <v>10</v>
      </c>
      <c r="K1278" s="6">
        <v>15</v>
      </c>
      <c r="L1278" s="6">
        <v>42</v>
      </c>
      <c r="M1278" s="10">
        <f t="shared" si="57"/>
        <v>35.714285714285715</v>
      </c>
      <c r="N1278" s="10">
        <f t="shared" si="58"/>
        <v>36</v>
      </c>
      <c r="O1278" s="6" t="s">
        <v>26</v>
      </c>
      <c r="P1278" s="6">
        <v>0</v>
      </c>
      <c r="Q1278" s="6">
        <v>0</v>
      </c>
      <c r="R1278" s="6">
        <v>0</v>
      </c>
      <c r="S1278" s="6">
        <v>0</v>
      </c>
      <c r="T1278" s="6" t="str">
        <f t="shared" si="59"/>
        <v>Septima</v>
      </c>
    </row>
    <row r="1279" spans="1:20">
      <c r="A1279" s="7" t="s">
        <v>2693</v>
      </c>
      <c r="B1279" s="7" t="s">
        <v>507</v>
      </c>
      <c r="C1279" s="8">
        <v>2</v>
      </c>
      <c r="D1279" s="7" t="s">
        <v>2727</v>
      </c>
      <c r="E1279" s="7" t="s">
        <v>2732</v>
      </c>
      <c r="F1279">
        <v>1085</v>
      </c>
      <c r="G1279" s="6">
        <v>26519</v>
      </c>
      <c r="H1279" s="11" t="s">
        <v>2733</v>
      </c>
      <c r="I1279" s="6">
        <v>52</v>
      </c>
      <c r="J1279" s="6">
        <v>54</v>
      </c>
      <c r="K1279" s="6">
        <v>124</v>
      </c>
      <c r="L1279" s="6">
        <v>46</v>
      </c>
      <c r="M1279" s="10">
        <f t="shared" si="57"/>
        <v>269.56521739130437</v>
      </c>
      <c r="N1279" s="10">
        <f t="shared" si="58"/>
        <v>270</v>
      </c>
      <c r="O1279" s="6" t="s">
        <v>22</v>
      </c>
      <c r="P1279" s="6">
        <v>1</v>
      </c>
      <c r="Q1279" s="6">
        <v>4</v>
      </c>
      <c r="R1279" s="6">
        <v>11</v>
      </c>
      <c r="S1279" s="6">
        <v>16</v>
      </c>
      <c r="T1279" s="6" t="str">
        <f t="shared" si="59"/>
        <v>Sexta</v>
      </c>
    </row>
    <row r="1280" spans="1:20">
      <c r="A1280" s="7" t="s">
        <v>2693</v>
      </c>
      <c r="B1280" s="7" t="s">
        <v>507</v>
      </c>
      <c r="C1280" s="8">
        <v>2</v>
      </c>
      <c r="D1280" s="7" t="s">
        <v>2727</v>
      </c>
      <c r="E1280" s="7" t="s">
        <v>2734</v>
      </c>
      <c r="F1280">
        <v>1129</v>
      </c>
      <c r="G1280" s="6">
        <v>24209</v>
      </c>
      <c r="H1280" s="11" t="s">
        <v>2735</v>
      </c>
      <c r="I1280" s="6">
        <v>49</v>
      </c>
      <c r="J1280" s="6">
        <v>10</v>
      </c>
      <c r="K1280" s="6">
        <v>21</v>
      </c>
      <c r="L1280" s="6">
        <v>49</v>
      </c>
      <c r="M1280" s="10">
        <f t="shared" si="57"/>
        <v>42.857142857142854</v>
      </c>
      <c r="N1280" s="10">
        <f t="shared" si="58"/>
        <v>43</v>
      </c>
      <c r="O1280" s="6" t="s">
        <v>105</v>
      </c>
      <c r="P1280" s="6">
        <v>1</v>
      </c>
      <c r="Q1280" s="6">
        <v>0</v>
      </c>
      <c r="R1280" s="6">
        <v>1</v>
      </c>
      <c r="S1280" s="6">
        <v>2</v>
      </c>
      <c r="T1280" s="6" t="str">
        <f t="shared" si="59"/>
        <v>Sexta</v>
      </c>
    </row>
    <row r="1281" spans="1:20">
      <c r="A1281" s="7" t="s">
        <v>2693</v>
      </c>
      <c r="B1281" s="7" t="s">
        <v>507</v>
      </c>
      <c r="C1281" s="8">
        <v>2</v>
      </c>
      <c r="D1281" s="7" t="s">
        <v>2727</v>
      </c>
      <c r="E1281" s="7" t="s">
        <v>2736</v>
      </c>
      <c r="F1281">
        <v>1082</v>
      </c>
      <c r="G1281" s="6">
        <v>28950</v>
      </c>
      <c r="H1281" s="11" t="s">
        <v>2737</v>
      </c>
      <c r="I1281" s="6">
        <v>28</v>
      </c>
      <c r="J1281" s="6">
        <v>5</v>
      </c>
      <c r="K1281" s="6">
        <v>11</v>
      </c>
      <c r="L1281" s="6">
        <v>58</v>
      </c>
      <c r="M1281" s="10">
        <f t="shared" si="57"/>
        <v>18.96551724137931</v>
      </c>
      <c r="N1281" s="10">
        <f t="shared" si="58"/>
        <v>19</v>
      </c>
      <c r="O1281" s="6" t="s">
        <v>12</v>
      </c>
      <c r="P1281" s="6">
        <v>0</v>
      </c>
      <c r="Q1281" s="6">
        <v>0</v>
      </c>
      <c r="R1281" s="6">
        <v>0</v>
      </c>
      <c r="S1281" s="6">
        <v>0</v>
      </c>
      <c r="T1281" s="6" t="str">
        <f t="shared" si="59"/>
        <v>Sexta</v>
      </c>
    </row>
    <row r="1282" spans="1:20">
      <c r="A1282" s="7" t="s">
        <v>2693</v>
      </c>
      <c r="B1282" s="7" t="s">
        <v>507</v>
      </c>
      <c r="C1282" s="8">
        <v>2</v>
      </c>
      <c r="D1282" s="7" t="s">
        <v>2727</v>
      </c>
      <c r="E1282" s="7" t="s">
        <v>2738</v>
      </c>
      <c r="F1282">
        <v>1026</v>
      </c>
      <c r="G1282" s="6">
        <v>22617</v>
      </c>
      <c r="H1282" s="11" t="s">
        <v>2739</v>
      </c>
      <c r="I1282" s="6">
        <v>57</v>
      </c>
      <c r="J1282" s="6">
        <v>11</v>
      </c>
      <c r="K1282" s="6">
        <v>22</v>
      </c>
      <c r="L1282" s="6">
        <v>48</v>
      </c>
      <c r="M1282" s="10">
        <f t="shared" si="57"/>
        <v>45.833333333333336</v>
      </c>
      <c r="N1282" s="10">
        <f t="shared" si="58"/>
        <v>46</v>
      </c>
      <c r="O1282" s="6" t="s">
        <v>68</v>
      </c>
      <c r="P1282" s="6">
        <v>0</v>
      </c>
      <c r="Q1282" s="6">
        <v>1</v>
      </c>
      <c r="R1282" s="6">
        <v>1</v>
      </c>
      <c r="S1282" s="6">
        <v>2</v>
      </c>
      <c r="T1282" s="6" t="str">
        <f t="shared" si="59"/>
        <v>Septima</v>
      </c>
    </row>
    <row r="1283" spans="1:20">
      <c r="A1283" s="7" t="s">
        <v>2693</v>
      </c>
      <c r="B1283" s="7" t="s">
        <v>507</v>
      </c>
      <c r="C1283" s="8">
        <v>2</v>
      </c>
      <c r="D1283" s="7" t="s">
        <v>2727</v>
      </c>
      <c r="E1283" s="7" t="s">
        <v>2740</v>
      </c>
      <c r="F1283">
        <v>2204</v>
      </c>
      <c r="G1283" s="6">
        <v>19959</v>
      </c>
      <c r="H1283" s="11" t="s">
        <v>689</v>
      </c>
      <c r="I1283" s="6">
        <v>42</v>
      </c>
      <c r="J1283" s="6">
        <v>6</v>
      </c>
      <c r="K1283" s="6">
        <v>12</v>
      </c>
      <c r="L1283" s="6">
        <v>52</v>
      </c>
      <c r="M1283" s="10">
        <f t="shared" ref="M1283:M1346" si="60">IF(K1283+L1283=0,0,(100*K1283/L1283))</f>
        <v>23.076923076923077</v>
      </c>
      <c r="N1283" s="10">
        <f t="shared" ref="N1283:N1346" si="61">ROUNDUP(M1283,0)</f>
        <v>24</v>
      </c>
      <c r="O1283" s="6" t="s">
        <v>63</v>
      </c>
      <c r="P1283" s="6">
        <v>1</v>
      </c>
      <c r="Q1283" s="6">
        <v>0</v>
      </c>
      <c r="R1283" s="6">
        <v>0</v>
      </c>
      <c r="S1283" s="6">
        <v>1</v>
      </c>
      <c r="T1283" s="6" t="str">
        <f t="shared" ref="T1283:T1346" si="62">IF(F1283&gt;2100,"Primera",
IF(F1283&gt;=1800,"Segunda",
IF(F1283&gt;=1600,"Tercera",
IF(F1283&gt;=1400,"Cuarta",
IF(F1283&gt;=1200,"Quinta",
IF(F1283&gt;=1080,"Sexta",
IF(F1283&gt;=980,"Septima",
"Octava")))))))</f>
        <v>Primera</v>
      </c>
    </row>
    <row r="1284" spans="1:20">
      <c r="A1284" s="7" t="s">
        <v>2741</v>
      </c>
      <c r="B1284" s="7" t="s">
        <v>434</v>
      </c>
      <c r="C1284" s="8">
        <v>1</v>
      </c>
      <c r="D1284" s="7" t="s">
        <v>2742</v>
      </c>
      <c r="E1284" s="7" t="s">
        <v>2743</v>
      </c>
      <c r="F1284">
        <v>2284</v>
      </c>
      <c r="G1284" s="6">
        <v>14794</v>
      </c>
      <c r="H1284" s="11" t="s">
        <v>2744</v>
      </c>
      <c r="I1284" s="6">
        <v>25</v>
      </c>
      <c r="J1284" s="6">
        <v>75</v>
      </c>
      <c r="K1284" s="6">
        <v>266</v>
      </c>
      <c r="L1284" s="6">
        <v>61</v>
      </c>
      <c r="M1284" s="10">
        <f t="shared" si="60"/>
        <v>436.06557377049182</v>
      </c>
      <c r="N1284" s="10">
        <f t="shared" si="61"/>
        <v>437</v>
      </c>
      <c r="O1284" s="6" t="s">
        <v>325</v>
      </c>
      <c r="P1284" s="6">
        <v>13</v>
      </c>
      <c r="Q1284" s="6">
        <v>7</v>
      </c>
      <c r="R1284" s="6">
        <v>18</v>
      </c>
      <c r="S1284" s="6">
        <v>38</v>
      </c>
      <c r="T1284" s="6" t="str">
        <f t="shared" si="62"/>
        <v>Primera</v>
      </c>
    </row>
    <row r="1285" spans="1:20">
      <c r="A1285" s="7" t="s">
        <v>2741</v>
      </c>
      <c r="B1285" s="7" t="s">
        <v>434</v>
      </c>
      <c r="C1285" s="8">
        <v>1</v>
      </c>
      <c r="D1285" s="7" t="s">
        <v>2742</v>
      </c>
      <c r="E1285" s="7" t="s">
        <v>2745</v>
      </c>
      <c r="F1285">
        <v>2151</v>
      </c>
      <c r="G1285" s="6">
        <v>21651</v>
      </c>
      <c r="H1285" s="11" t="s">
        <v>2746</v>
      </c>
      <c r="I1285" s="6">
        <v>28</v>
      </c>
      <c r="J1285" s="6">
        <v>33</v>
      </c>
      <c r="K1285" s="6">
        <v>143</v>
      </c>
      <c r="L1285" s="6">
        <v>69</v>
      </c>
      <c r="M1285" s="10">
        <f t="shared" si="60"/>
        <v>207.24637681159419</v>
      </c>
      <c r="N1285" s="10">
        <f t="shared" si="61"/>
        <v>208</v>
      </c>
      <c r="O1285" s="6" t="s">
        <v>27</v>
      </c>
      <c r="P1285" s="6">
        <v>7</v>
      </c>
      <c r="Q1285" s="6">
        <v>5</v>
      </c>
      <c r="R1285" s="6">
        <v>7</v>
      </c>
      <c r="S1285" s="6">
        <v>19</v>
      </c>
      <c r="T1285" s="6" t="str">
        <f t="shared" si="62"/>
        <v>Primera</v>
      </c>
    </row>
    <row r="1286" spans="1:20">
      <c r="A1286" s="7" t="s">
        <v>2741</v>
      </c>
      <c r="B1286" s="7" t="s">
        <v>434</v>
      </c>
      <c r="C1286" s="8">
        <v>1</v>
      </c>
      <c r="D1286" s="7" t="s">
        <v>2742</v>
      </c>
      <c r="E1286" s="7" t="s">
        <v>2747</v>
      </c>
      <c r="F1286">
        <v>2228</v>
      </c>
      <c r="G1286" s="6">
        <v>23275</v>
      </c>
      <c r="H1286" s="11" t="s">
        <v>2748</v>
      </c>
      <c r="I1286" s="6">
        <v>17</v>
      </c>
      <c r="J1286" s="6">
        <v>46</v>
      </c>
      <c r="K1286" s="6">
        <v>186</v>
      </c>
      <c r="L1286" s="6">
        <v>67</v>
      </c>
      <c r="M1286" s="10">
        <f t="shared" si="60"/>
        <v>277.61194029850748</v>
      </c>
      <c r="N1286" s="10">
        <f t="shared" si="61"/>
        <v>278</v>
      </c>
      <c r="O1286" s="6" t="s">
        <v>27</v>
      </c>
      <c r="P1286" s="6">
        <v>9</v>
      </c>
      <c r="Q1286" s="6">
        <v>5</v>
      </c>
      <c r="R1286" s="6">
        <v>15</v>
      </c>
      <c r="S1286" s="6">
        <v>29</v>
      </c>
      <c r="T1286" s="6" t="str">
        <f t="shared" si="62"/>
        <v>Primera</v>
      </c>
    </row>
    <row r="1287" spans="1:20">
      <c r="A1287" s="7" t="s">
        <v>2741</v>
      </c>
      <c r="B1287" s="7" t="s">
        <v>434</v>
      </c>
      <c r="C1287" s="8">
        <v>2</v>
      </c>
      <c r="D1287" s="7" t="s">
        <v>2749</v>
      </c>
      <c r="E1287" s="7" t="s">
        <v>2750</v>
      </c>
      <c r="F1287">
        <v>2238</v>
      </c>
      <c r="G1287" s="6">
        <v>11862</v>
      </c>
      <c r="H1287" s="11" t="s">
        <v>2751</v>
      </c>
      <c r="I1287" s="6">
        <v>27</v>
      </c>
      <c r="J1287" s="6">
        <v>115</v>
      </c>
      <c r="K1287" s="6">
        <v>361</v>
      </c>
      <c r="L1287" s="6">
        <v>66</v>
      </c>
      <c r="M1287" s="10">
        <f t="shared" si="60"/>
        <v>546.969696969697</v>
      </c>
      <c r="N1287" s="10">
        <f t="shared" si="61"/>
        <v>547</v>
      </c>
      <c r="O1287" s="6" t="s">
        <v>326</v>
      </c>
      <c r="P1287" s="6">
        <v>21</v>
      </c>
      <c r="Q1287" s="6">
        <v>12</v>
      </c>
      <c r="R1287" s="6">
        <v>17</v>
      </c>
      <c r="S1287" s="6">
        <v>50</v>
      </c>
      <c r="T1287" s="6" t="str">
        <f t="shared" si="62"/>
        <v>Primera</v>
      </c>
    </row>
    <row r="1288" spans="1:20">
      <c r="A1288" s="7" t="s">
        <v>2741</v>
      </c>
      <c r="B1288" s="7" t="s">
        <v>434</v>
      </c>
      <c r="C1288" s="8">
        <v>2</v>
      </c>
      <c r="D1288" s="7" t="s">
        <v>2749</v>
      </c>
      <c r="E1288" s="7" t="s">
        <v>2752</v>
      </c>
      <c r="F1288">
        <v>2203</v>
      </c>
      <c r="G1288" s="6">
        <v>7903</v>
      </c>
      <c r="H1288" s="11" t="s">
        <v>2753</v>
      </c>
      <c r="I1288" s="6">
        <v>27</v>
      </c>
      <c r="J1288" s="6">
        <v>53</v>
      </c>
      <c r="K1288" s="6">
        <v>164</v>
      </c>
      <c r="L1288" s="6">
        <v>66</v>
      </c>
      <c r="M1288" s="10">
        <f t="shared" si="60"/>
        <v>248.4848484848485</v>
      </c>
      <c r="N1288" s="10">
        <f t="shared" si="61"/>
        <v>249</v>
      </c>
      <c r="O1288" s="6" t="s">
        <v>327</v>
      </c>
      <c r="P1288" s="6">
        <v>6</v>
      </c>
      <c r="Q1288" s="6">
        <v>8</v>
      </c>
      <c r="R1288" s="6">
        <v>5</v>
      </c>
      <c r="S1288" s="6">
        <v>19</v>
      </c>
      <c r="T1288" s="6" t="str">
        <f t="shared" si="62"/>
        <v>Primera</v>
      </c>
    </row>
    <row r="1289" spans="1:20">
      <c r="A1289" s="7" t="s">
        <v>2741</v>
      </c>
      <c r="B1289" s="7" t="s">
        <v>434</v>
      </c>
      <c r="C1289" s="8">
        <v>2</v>
      </c>
      <c r="D1289" s="7" t="s">
        <v>2749</v>
      </c>
      <c r="E1289" s="7" t="s">
        <v>2754</v>
      </c>
      <c r="F1289">
        <v>1939</v>
      </c>
      <c r="G1289" s="6">
        <v>21306</v>
      </c>
      <c r="H1289" s="11" t="s">
        <v>2755</v>
      </c>
      <c r="I1289" s="6">
        <v>27</v>
      </c>
      <c r="J1289" s="6">
        <v>27</v>
      </c>
      <c r="K1289" s="6">
        <v>98</v>
      </c>
      <c r="L1289" s="6">
        <v>60</v>
      </c>
      <c r="M1289" s="10">
        <f t="shared" si="60"/>
        <v>163.33333333333334</v>
      </c>
      <c r="N1289" s="10">
        <f t="shared" si="61"/>
        <v>164</v>
      </c>
      <c r="O1289" s="6" t="s">
        <v>27</v>
      </c>
      <c r="P1289" s="6">
        <v>6</v>
      </c>
      <c r="Q1289" s="6">
        <v>1</v>
      </c>
      <c r="R1289" s="6">
        <v>4</v>
      </c>
      <c r="S1289" s="6">
        <v>11</v>
      </c>
      <c r="T1289" s="6" t="str">
        <f t="shared" si="62"/>
        <v>Segunda</v>
      </c>
    </row>
    <row r="1290" spans="1:20">
      <c r="A1290" s="7" t="s">
        <v>2741</v>
      </c>
      <c r="B1290" s="7" t="s">
        <v>781</v>
      </c>
      <c r="C1290" s="8">
        <v>1</v>
      </c>
      <c r="D1290" s="7" t="s">
        <v>2741</v>
      </c>
      <c r="E1290" s="7" t="s">
        <v>2756</v>
      </c>
      <c r="F1290">
        <v>1811</v>
      </c>
      <c r="G1290" s="6">
        <v>24562</v>
      </c>
      <c r="H1290" s="11" t="s">
        <v>2757</v>
      </c>
      <c r="I1290" s="6">
        <v>16</v>
      </c>
      <c r="J1290" s="6">
        <v>52</v>
      </c>
      <c r="K1290" s="6">
        <v>124</v>
      </c>
      <c r="L1290" s="6">
        <v>49</v>
      </c>
      <c r="M1290" s="10">
        <f t="shared" si="60"/>
        <v>253.0612244897959</v>
      </c>
      <c r="N1290" s="10">
        <f t="shared" si="61"/>
        <v>254</v>
      </c>
      <c r="O1290" s="6" t="s">
        <v>43</v>
      </c>
      <c r="P1290" s="6">
        <v>5</v>
      </c>
      <c r="Q1290" s="6">
        <v>2</v>
      </c>
      <c r="R1290" s="6">
        <v>8</v>
      </c>
      <c r="S1290" s="6">
        <v>15</v>
      </c>
      <c r="T1290" s="6" t="str">
        <f t="shared" si="62"/>
        <v>Segunda</v>
      </c>
    </row>
    <row r="1291" spans="1:20">
      <c r="A1291" s="7" t="s">
        <v>2741</v>
      </c>
      <c r="B1291" s="7" t="s">
        <v>781</v>
      </c>
      <c r="C1291" s="8">
        <v>1</v>
      </c>
      <c r="D1291" s="7" t="s">
        <v>2741</v>
      </c>
      <c r="E1291" s="7" t="s">
        <v>2758</v>
      </c>
      <c r="F1291">
        <v>0</v>
      </c>
      <c r="G1291" s="6">
        <v>26888</v>
      </c>
      <c r="H1291" s="11" t="s">
        <v>2759</v>
      </c>
      <c r="I1291" s="6">
        <v>34</v>
      </c>
      <c r="M1291" s="10">
        <f t="shared" si="60"/>
        <v>0</v>
      </c>
      <c r="N1291" s="10">
        <f t="shared" si="61"/>
        <v>0</v>
      </c>
      <c r="P1291" s="6">
        <v>0</v>
      </c>
      <c r="Q1291" s="6">
        <v>0</v>
      </c>
      <c r="R1291" s="6">
        <v>0</v>
      </c>
      <c r="S1291" s="6">
        <v>0</v>
      </c>
      <c r="T1291" s="6" t="str">
        <f t="shared" si="62"/>
        <v>Octava</v>
      </c>
    </row>
    <row r="1292" spans="1:20">
      <c r="A1292" s="7" t="s">
        <v>2741</v>
      </c>
      <c r="B1292" s="7" t="s">
        <v>781</v>
      </c>
      <c r="C1292" s="8">
        <v>1</v>
      </c>
      <c r="D1292" s="7" t="s">
        <v>2741</v>
      </c>
      <c r="E1292" s="7" t="s">
        <v>2760</v>
      </c>
      <c r="F1292">
        <v>2223</v>
      </c>
      <c r="G1292" s="6">
        <v>4999</v>
      </c>
      <c r="H1292" s="11" t="s">
        <v>2761</v>
      </c>
      <c r="I1292" s="6">
        <v>32</v>
      </c>
      <c r="J1292" s="6">
        <v>2</v>
      </c>
      <c r="K1292" s="6">
        <v>10</v>
      </c>
      <c r="L1292" s="6">
        <v>71</v>
      </c>
      <c r="M1292" s="10">
        <f t="shared" si="60"/>
        <v>14.084507042253522</v>
      </c>
      <c r="N1292" s="10">
        <f t="shared" si="61"/>
        <v>15</v>
      </c>
      <c r="O1292" s="6" t="s">
        <v>328</v>
      </c>
      <c r="P1292" s="6">
        <v>1</v>
      </c>
      <c r="Q1292" s="6">
        <v>0</v>
      </c>
      <c r="R1292" s="6">
        <v>1</v>
      </c>
      <c r="S1292" s="6">
        <v>2</v>
      </c>
      <c r="T1292" s="6" t="str">
        <f t="shared" si="62"/>
        <v>Primera</v>
      </c>
    </row>
    <row r="1293" spans="1:20">
      <c r="A1293" s="7" t="s">
        <v>2741</v>
      </c>
      <c r="B1293" s="7" t="s">
        <v>781</v>
      </c>
      <c r="C1293" s="8">
        <v>1</v>
      </c>
      <c r="D1293" s="7" t="s">
        <v>2741</v>
      </c>
      <c r="E1293" s="7" t="s">
        <v>2762</v>
      </c>
      <c r="F1293">
        <v>1786</v>
      </c>
      <c r="G1293" s="6">
        <v>18160</v>
      </c>
      <c r="H1293" s="11" t="s">
        <v>2763</v>
      </c>
      <c r="I1293" s="6">
        <v>23</v>
      </c>
      <c r="J1293" s="6">
        <v>69</v>
      </c>
      <c r="K1293" s="6">
        <v>185</v>
      </c>
      <c r="L1293" s="6">
        <v>62</v>
      </c>
      <c r="M1293" s="10">
        <f t="shared" si="60"/>
        <v>298.38709677419354</v>
      </c>
      <c r="N1293" s="10">
        <f t="shared" si="61"/>
        <v>299</v>
      </c>
      <c r="O1293" s="6" t="s">
        <v>27</v>
      </c>
      <c r="P1293" s="6">
        <v>8</v>
      </c>
      <c r="Q1293" s="6">
        <v>10</v>
      </c>
      <c r="R1293" s="6">
        <v>7</v>
      </c>
      <c r="S1293" s="6">
        <v>25</v>
      </c>
      <c r="T1293" s="6" t="str">
        <f t="shared" si="62"/>
        <v>Tercera</v>
      </c>
    </row>
    <row r="1294" spans="1:20">
      <c r="A1294" s="7" t="s">
        <v>2741</v>
      </c>
      <c r="B1294" s="7" t="s">
        <v>781</v>
      </c>
      <c r="C1294" s="8">
        <v>1</v>
      </c>
      <c r="D1294" s="7" t="s">
        <v>2741</v>
      </c>
      <c r="E1294" s="7" t="s">
        <v>2764</v>
      </c>
      <c r="F1294">
        <v>1632</v>
      </c>
      <c r="G1294" s="6">
        <v>9039</v>
      </c>
      <c r="H1294" s="11" t="s">
        <v>2765</v>
      </c>
      <c r="I1294" s="6">
        <v>40</v>
      </c>
      <c r="J1294" s="6">
        <v>43</v>
      </c>
      <c r="K1294" s="6">
        <v>125</v>
      </c>
      <c r="L1294" s="6">
        <v>55</v>
      </c>
      <c r="M1294" s="10">
        <f t="shared" si="60"/>
        <v>227.27272727272728</v>
      </c>
      <c r="N1294" s="10">
        <f t="shared" si="61"/>
        <v>228</v>
      </c>
      <c r="O1294" s="6" t="s">
        <v>329</v>
      </c>
      <c r="P1294" s="6">
        <v>3</v>
      </c>
      <c r="Q1294" s="6">
        <v>3</v>
      </c>
      <c r="R1294" s="6">
        <v>7</v>
      </c>
      <c r="S1294" s="6">
        <v>13</v>
      </c>
      <c r="T1294" s="6" t="str">
        <f t="shared" si="62"/>
        <v>Tercera</v>
      </c>
    </row>
    <row r="1295" spans="1:20">
      <c r="A1295" s="7" t="s">
        <v>2741</v>
      </c>
      <c r="B1295" s="7" t="s">
        <v>781</v>
      </c>
      <c r="C1295" s="8">
        <v>1</v>
      </c>
      <c r="D1295" s="7" t="s">
        <v>2741</v>
      </c>
      <c r="E1295" s="7" t="s">
        <v>2766</v>
      </c>
      <c r="F1295">
        <v>1596</v>
      </c>
      <c r="G1295" s="6">
        <v>23210</v>
      </c>
      <c r="H1295" s="11" t="s">
        <v>2767</v>
      </c>
      <c r="I1295" s="6">
        <v>52</v>
      </c>
      <c r="J1295" s="6">
        <v>16</v>
      </c>
      <c r="K1295" s="6">
        <v>61</v>
      </c>
      <c r="L1295" s="6">
        <v>61</v>
      </c>
      <c r="M1295" s="10">
        <f t="shared" si="60"/>
        <v>100</v>
      </c>
      <c r="N1295" s="10">
        <f t="shared" si="61"/>
        <v>100</v>
      </c>
      <c r="O1295" s="6" t="s">
        <v>83</v>
      </c>
      <c r="P1295" s="6">
        <v>3</v>
      </c>
      <c r="Q1295" s="6">
        <v>2</v>
      </c>
      <c r="R1295" s="6">
        <v>2</v>
      </c>
      <c r="S1295" s="6">
        <v>7</v>
      </c>
      <c r="T1295" s="6" t="str">
        <f t="shared" si="62"/>
        <v>Cuarta</v>
      </c>
    </row>
    <row r="1296" spans="1:20">
      <c r="A1296" s="7" t="s">
        <v>2741</v>
      </c>
      <c r="B1296" s="7" t="s">
        <v>496</v>
      </c>
      <c r="C1296" s="8">
        <v>1</v>
      </c>
      <c r="D1296" s="7" t="s">
        <v>2741</v>
      </c>
      <c r="E1296" s="7" t="s">
        <v>2768</v>
      </c>
      <c r="F1296">
        <v>1404</v>
      </c>
      <c r="G1296" s="6">
        <v>25531</v>
      </c>
      <c r="H1296" s="11" t="s">
        <v>2769</v>
      </c>
      <c r="I1296" s="6">
        <v>14</v>
      </c>
      <c r="J1296" s="6">
        <v>29</v>
      </c>
      <c r="K1296" s="6">
        <v>86</v>
      </c>
      <c r="L1296" s="6">
        <v>45</v>
      </c>
      <c r="M1296" s="10">
        <f t="shared" si="60"/>
        <v>191.11111111111111</v>
      </c>
      <c r="N1296" s="10">
        <f t="shared" si="61"/>
        <v>192</v>
      </c>
      <c r="O1296" s="6" t="s">
        <v>82</v>
      </c>
      <c r="P1296" s="6">
        <v>5</v>
      </c>
      <c r="Q1296" s="6">
        <v>0</v>
      </c>
      <c r="R1296" s="6">
        <v>4</v>
      </c>
      <c r="S1296" s="6">
        <v>9</v>
      </c>
      <c r="T1296" s="6" t="str">
        <f t="shared" si="62"/>
        <v>Cuarta</v>
      </c>
    </row>
    <row r="1297" spans="1:20">
      <c r="A1297" s="7" t="s">
        <v>2741</v>
      </c>
      <c r="B1297" s="7" t="s">
        <v>496</v>
      </c>
      <c r="C1297" s="8">
        <v>1</v>
      </c>
      <c r="D1297" s="7" t="s">
        <v>2741</v>
      </c>
      <c r="E1297" s="7" t="s">
        <v>2770</v>
      </c>
      <c r="F1297">
        <v>1431</v>
      </c>
      <c r="G1297" s="6">
        <v>15610</v>
      </c>
      <c r="H1297" s="11" t="s">
        <v>2771</v>
      </c>
      <c r="I1297" s="6">
        <v>25</v>
      </c>
      <c r="J1297" s="6">
        <v>22</v>
      </c>
      <c r="K1297" s="6">
        <v>84</v>
      </c>
      <c r="L1297" s="6">
        <v>55</v>
      </c>
      <c r="M1297" s="10">
        <f t="shared" si="60"/>
        <v>152.72727272727272</v>
      </c>
      <c r="N1297" s="10">
        <f t="shared" si="61"/>
        <v>153</v>
      </c>
      <c r="O1297" s="6" t="s">
        <v>27</v>
      </c>
      <c r="P1297" s="6">
        <v>2</v>
      </c>
      <c r="Q1297" s="6">
        <v>3</v>
      </c>
      <c r="R1297" s="6">
        <v>3</v>
      </c>
      <c r="S1297" s="6">
        <v>8</v>
      </c>
      <c r="T1297" s="6" t="str">
        <f t="shared" si="62"/>
        <v>Cuarta</v>
      </c>
    </row>
    <row r="1298" spans="1:20">
      <c r="A1298" s="7" t="s">
        <v>2741</v>
      </c>
      <c r="B1298" s="7" t="s">
        <v>496</v>
      </c>
      <c r="C1298" s="8">
        <v>1</v>
      </c>
      <c r="D1298" s="7" t="s">
        <v>2741</v>
      </c>
      <c r="E1298" s="7" t="s">
        <v>2772</v>
      </c>
      <c r="F1298">
        <v>1519</v>
      </c>
      <c r="G1298" s="6">
        <v>15109</v>
      </c>
      <c r="H1298" s="11" t="s">
        <v>2773</v>
      </c>
      <c r="I1298" s="6">
        <v>51</v>
      </c>
      <c r="J1298" s="6">
        <v>4</v>
      </c>
      <c r="K1298" s="6">
        <v>24</v>
      </c>
      <c r="L1298" s="6">
        <v>86</v>
      </c>
      <c r="M1298" s="10">
        <f t="shared" si="60"/>
        <v>27.906976744186046</v>
      </c>
      <c r="N1298" s="10">
        <f t="shared" si="61"/>
        <v>28</v>
      </c>
      <c r="O1298" s="6" t="s">
        <v>330</v>
      </c>
      <c r="P1298" s="6">
        <v>4</v>
      </c>
      <c r="Q1298" s="6">
        <v>0</v>
      </c>
      <c r="R1298" s="6">
        <v>0</v>
      </c>
      <c r="S1298" s="6">
        <v>4</v>
      </c>
      <c r="T1298" s="6" t="str">
        <f t="shared" si="62"/>
        <v>Cuarta</v>
      </c>
    </row>
    <row r="1299" spans="1:20">
      <c r="A1299" s="7" t="s">
        <v>2741</v>
      </c>
      <c r="B1299" s="7" t="s">
        <v>496</v>
      </c>
      <c r="C1299" s="8">
        <v>1</v>
      </c>
      <c r="D1299" s="7" t="s">
        <v>2741</v>
      </c>
      <c r="E1299" s="7" t="s">
        <v>2774</v>
      </c>
      <c r="F1299">
        <v>1000</v>
      </c>
      <c r="G1299" s="6">
        <v>5108</v>
      </c>
      <c r="H1299" s="11" t="s">
        <v>2775</v>
      </c>
      <c r="I1299" s="6">
        <v>53</v>
      </c>
      <c r="J1299" s="6">
        <v>0</v>
      </c>
      <c r="K1299" s="6">
        <v>0</v>
      </c>
      <c r="L1299" s="6">
        <v>0</v>
      </c>
      <c r="M1299" s="10">
        <f t="shared" si="60"/>
        <v>0</v>
      </c>
      <c r="N1299" s="10">
        <f t="shared" si="61"/>
        <v>0</v>
      </c>
      <c r="P1299" s="6">
        <v>0</v>
      </c>
      <c r="Q1299" s="6">
        <v>0</v>
      </c>
      <c r="R1299" s="6">
        <v>0</v>
      </c>
      <c r="S1299" s="6">
        <v>0</v>
      </c>
      <c r="T1299" s="6" t="str">
        <f t="shared" si="62"/>
        <v>Septima</v>
      </c>
    </row>
    <row r="1300" spans="1:20">
      <c r="A1300" s="7" t="s">
        <v>2741</v>
      </c>
      <c r="B1300" s="7" t="s">
        <v>496</v>
      </c>
      <c r="C1300" s="8">
        <v>1</v>
      </c>
      <c r="D1300" s="7" t="s">
        <v>2741</v>
      </c>
      <c r="E1300" s="7" t="s">
        <v>2776</v>
      </c>
      <c r="F1300">
        <v>1232</v>
      </c>
      <c r="G1300" s="6">
        <v>25643</v>
      </c>
      <c r="H1300" s="11" t="s">
        <v>2777</v>
      </c>
      <c r="I1300" s="6">
        <v>67</v>
      </c>
      <c r="J1300" s="6">
        <v>3</v>
      </c>
      <c r="K1300" s="6">
        <v>5</v>
      </c>
      <c r="L1300" s="6">
        <v>42</v>
      </c>
      <c r="M1300" s="10">
        <f t="shared" si="60"/>
        <v>11.904761904761905</v>
      </c>
      <c r="N1300" s="10">
        <f t="shared" si="61"/>
        <v>12</v>
      </c>
      <c r="O1300" s="6" t="s">
        <v>27</v>
      </c>
      <c r="P1300" s="6">
        <v>0</v>
      </c>
      <c r="Q1300" s="6">
        <v>1</v>
      </c>
      <c r="R1300" s="6">
        <v>0</v>
      </c>
      <c r="S1300" s="6">
        <v>1</v>
      </c>
      <c r="T1300" s="6" t="str">
        <f t="shared" si="62"/>
        <v>Quinta</v>
      </c>
    </row>
    <row r="1301" spans="1:20" ht="24">
      <c r="A1301" s="7" t="s">
        <v>2741</v>
      </c>
      <c r="B1301" s="7" t="s">
        <v>496</v>
      </c>
      <c r="C1301" s="8">
        <v>1</v>
      </c>
      <c r="D1301" s="7" t="s">
        <v>2741</v>
      </c>
      <c r="E1301" s="7" t="s">
        <v>2778</v>
      </c>
      <c r="F1301">
        <v>1162</v>
      </c>
      <c r="G1301" s="6">
        <v>29507</v>
      </c>
      <c r="H1301" s="11" t="s">
        <v>2779</v>
      </c>
      <c r="I1301" s="6">
        <v>12</v>
      </c>
      <c r="J1301" s="6">
        <v>2</v>
      </c>
      <c r="K1301" s="6">
        <v>10</v>
      </c>
      <c r="L1301" s="6">
        <v>67</v>
      </c>
      <c r="M1301" s="10">
        <f t="shared" si="60"/>
        <v>14.925373134328359</v>
      </c>
      <c r="N1301" s="10">
        <f t="shared" si="61"/>
        <v>15</v>
      </c>
      <c r="O1301" s="6" t="s">
        <v>27</v>
      </c>
      <c r="P1301" s="6">
        <v>1</v>
      </c>
      <c r="Q1301" s="6">
        <v>0</v>
      </c>
      <c r="R1301" s="6">
        <v>0</v>
      </c>
      <c r="S1301" s="6">
        <v>1</v>
      </c>
      <c r="T1301" s="6" t="str">
        <f t="shared" si="62"/>
        <v>Sexta</v>
      </c>
    </row>
    <row r="1302" spans="1:20" ht="24">
      <c r="A1302" s="7" t="s">
        <v>2741</v>
      </c>
      <c r="B1302" s="7" t="s">
        <v>526</v>
      </c>
      <c r="C1302" s="8">
        <v>1</v>
      </c>
      <c r="D1302" s="7" t="s">
        <v>2741</v>
      </c>
      <c r="E1302" s="7" t="s">
        <v>2778</v>
      </c>
      <c r="F1302">
        <v>1162</v>
      </c>
      <c r="G1302" s="6">
        <v>29507</v>
      </c>
      <c r="H1302" s="11" t="s">
        <v>2779</v>
      </c>
      <c r="I1302" s="6">
        <v>12</v>
      </c>
      <c r="J1302" s="6">
        <v>2</v>
      </c>
      <c r="K1302" s="6">
        <v>10</v>
      </c>
      <c r="L1302" s="6">
        <v>67</v>
      </c>
      <c r="M1302" s="10">
        <f t="shared" si="60"/>
        <v>14.925373134328359</v>
      </c>
      <c r="N1302" s="10">
        <f t="shared" si="61"/>
        <v>15</v>
      </c>
      <c r="O1302" s="6" t="s">
        <v>27</v>
      </c>
      <c r="P1302" s="6">
        <v>1</v>
      </c>
      <c r="Q1302" s="6">
        <v>0</v>
      </c>
      <c r="R1302" s="6">
        <v>0</v>
      </c>
      <c r="S1302" s="6">
        <v>1</v>
      </c>
      <c r="T1302" s="6" t="str">
        <f t="shared" si="62"/>
        <v>Sexta</v>
      </c>
    </row>
    <row r="1303" spans="1:20">
      <c r="A1303" s="7" t="s">
        <v>2741</v>
      </c>
      <c r="B1303" s="7" t="s">
        <v>526</v>
      </c>
      <c r="C1303" s="8">
        <v>1</v>
      </c>
      <c r="D1303" s="7" t="s">
        <v>2741</v>
      </c>
      <c r="E1303" s="7" t="s">
        <v>2780</v>
      </c>
      <c r="F1303">
        <v>2203</v>
      </c>
      <c r="G1303" s="6">
        <v>17</v>
      </c>
      <c r="H1303" s="11" t="s">
        <v>2781</v>
      </c>
      <c r="I1303" s="6">
        <v>48</v>
      </c>
      <c r="J1303" s="6">
        <v>10</v>
      </c>
      <c r="K1303" s="6">
        <v>19</v>
      </c>
      <c r="L1303" s="6">
        <v>42</v>
      </c>
      <c r="M1303" s="10">
        <f t="shared" si="60"/>
        <v>45.238095238095241</v>
      </c>
      <c r="N1303" s="10">
        <f t="shared" si="61"/>
        <v>46</v>
      </c>
      <c r="O1303" s="6" t="s">
        <v>331</v>
      </c>
      <c r="P1303" s="6">
        <v>0</v>
      </c>
      <c r="Q1303" s="6">
        <v>0</v>
      </c>
      <c r="R1303" s="6">
        <v>3</v>
      </c>
      <c r="S1303" s="6">
        <v>3</v>
      </c>
      <c r="T1303" s="6" t="str">
        <f t="shared" si="62"/>
        <v>Primera</v>
      </c>
    </row>
    <row r="1304" spans="1:20">
      <c r="A1304" s="7" t="s">
        <v>2741</v>
      </c>
      <c r="B1304" s="7" t="s">
        <v>526</v>
      </c>
      <c r="C1304" s="8">
        <v>1</v>
      </c>
      <c r="D1304" s="7" t="s">
        <v>2741</v>
      </c>
      <c r="E1304" s="7" t="s">
        <v>2782</v>
      </c>
      <c r="F1304">
        <v>1248</v>
      </c>
      <c r="G1304" s="6">
        <v>28345</v>
      </c>
      <c r="H1304" s="11" t="s">
        <v>2783</v>
      </c>
      <c r="I1304" s="6">
        <v>9</v>
      </c>
      <c r="J1304" s="6">
        <v>11</v>
      </c>
      <c r="K1304" s="6">
        <v>30</v>
      </c>
      <c r="L1304" s="6">
        <v>58</v>
      </c>
      <c r="M1304" s="10">
        <f t="shared" si="60"/>
        <v>51.724137931034484</v>
      </c>
      <c r="N1304" s="10">
        <f t="shared" si="61"/>
        <v>52</v>
      </c>
      <c r="O1304" s="6" t="s">
        <v>27</v>
      </c>
      <c r="P1304" s="6">
        <v>1</v>
      </c>
      <c r="Q1304" s="6">
        <v>0</v>
      </c>
      <c r="R1304" s="6">
        <v>6</v>
      </c>
      <c r="S1304" s="6">
        <v>7</v>
      </c>
      <c r="T1304" s="6" t="str">
        <f t="shared" si="62"/>
        <v>Quinta</v>
      </c>
    </row>
    <row r="1305" spans="1:20">
      <c r="A1305" s="7" t="s">
        <v>2741</v>
      </c>
      <c r="B1305" s="7" t="s">
        <v>526</v>
      </c>
      <c r="C1305" s="8">
        <v>1</v>
      </c>
      <c r="D1305" s="7" t="s">
        <v>2741</v>
      </c>
      <c r="E1305" s="7" t="s">
        <v>2784</v>
      </c>
      <c r="F1305">
        <v>957</v>
      </c>
      <c r="G1305" s="6">
        <v>29229</v>
      </c>
      <c r="H1305" s="11" t="s">
        <v>2785</v>
      </c>
      <c r="I1305" s="6">
        <v>15</v>
      </c>
      <c r="J1305" s="6">
        <v>3</v>
      </c>
      <c r="K1305" s="6">
        <v>6</v>
      </c>
      <c r="L1305" s="6">
        <v>38</v>
      </c>
      <c r="M1305" s="10">
        <f t="shared" si="60"/>
        <v>15.789473684210526</v>
      </c>
      <c r="N1305" s="10">
        <f t="shared" si="61"/>
        <v>16</v>
      </c>
      <c r="O1305" s="6" t="s">
        <v>26</v>
      </c>
      <c r="P1305" s="6">
        <v>0</v>
      </c>
      <c r="Q1305" s="6">
        <v>0</v>
      </c>
      <c r="R1305" s="6">
        <v>1</v>
      </c>
      <c r="S1305" s="6">
        <v>1</v>
      </c>
      <c r="T1305" s="6" t="str">
        <f t="shared" si="62"/>
        <v>Octava</v>
      </c>
    </row>
    <row r="1306" spans="1:20">
      <c r="A1306" s="7" t="s">
        <v>2741</v>
      </c>
      <c r="B1306" s="7" t="s">
        <v>526</v>
      </c>
      <c r="C1306" s="8">
        <v>1</v>
      </c>
      <c r="D1306" s="7" t="s">
        <v>2741</v>
      </c>
      <c r="E1306" s="7" t="s">
        <v>2786</v>
      </c>
      <c r="F1306">
        <v>1271</v>
      </c>
      <c r="G1306" s="6">
        <v>5669</v>
      </c>
      <c r="H1306" s="11" t="s">
        <v>2787</v>
      </c>
      <c r="I1306" s="6">
        <v>39</v>
      </c>
      <c r="J1306" s="6">
        <v>1</v>
      </c>
      <c r="K1306" s="6">
        <v>0</v>
      </c>
      <c r="L1306" s="6">
        <v>0</v>
      </c>
      <c r="M1306" s="10">
        <f t="shared" si="60"/>
        <v>0</v>
      </c>
      <c r="N1306" s="10">
        <f t="shared" si="61"/>
        <v>0</v>
      </c>
      <c r="O1306" s="6" t="s">
        <v>332</v>
      </c>
      <c r="P1306" s="6">
        <v>0</v>
      </c>
      <c r="Q1306" s="6">
        <v>0</v>
      </c>
      <c r="R1306" s="6">
        <v>0</v>
      </c>
      <c r="S1306" s="6">
        <v>0</v>
      </c>
      <c r="T1306" s="6" t="str">
        <f t="shared" si="62"/>
        <v>Quinta</v>
      </c>
    </row>
    <row r="1307" spans="1:20">
      <c r="A1307" s="7" t="s">
        <v>2741</v>
      </c>
      <c r="B1307" s="7" t="s">
        <v>526</v>
      </c>
      <c r="C1307" s="8">
        <v>1</v>
      </c>
      <c r="D1307" s="7" t="s">
        <v>2741</v>
      </c>
      <c r="E1307" s="7" t="s">
        <v>2788</v>
      </c>
      <c r="F1307">
        <v>1379</v>
      </c>
      <c r="G1307" s="6">
        <v>3382</v>
      </c>
      <c r="H1307" s="11" t="s">
        <v>2789</v>
      </c>
      <c r="I1307" s="6">
        <v>29</v>
      </c>
      <c r="J1307" s="6">
        <v>1</v>
      </c>
      <c r="K1307" s="6">
        <v>0</v>
      </c>
      <c r="L1307" s="6">
        <v>0</v>
      </c>
      <c r="M1307" s="10">
        <f t="shared" si="60"/>
        <v>0</v>
      </c>
      <c r="N1307" s="10">
        <f t="shared" si="61"/>
        <v>0</v>
      </c>
      <c r="O1307" s="6" t="s">
        <v>333</v>
      </c>
      <c r="P1307" s="6">
        <v>0</v>
      </c>
      <c r="Q1307" s="6">
        <v>0</v>
      </c>
      <c r="R1307" s="6">
        <v>0</v>
      </c>
      <c r="S1307" s="6">
        <v>0</v>
      </c>
      <c r="T1307" s="6" t="str">
        <f t="shared" si="62"/>
        <v>Quinta</v>
      </c>
    </row>
    <row r="1308" spans="1:20">
      <c r="A1308" s="7" t="s">
        <v>2790</v>
      </c>
      <c r="B1308" s="7" t="s">
        <v>421</v>
      </c>
      <c r="C1308" s="8">
        <v>1</v>
      </c>
      <c r="D1308" s="7" t="s">
        <v>2790</v>
      </c>
      <c r="E1308" s="7" t="s">
        <v>2791</v>
      </c>
      <c r="F1308">
        <v>2682</v>
      </c>
      <c r="G1308" s="6">
        <v>2813</v>
      </c>
      <c r="H1308" s="11" t="s">
        <v>2792</v>
      </c>
      <c r="I1308" s="6">
        <v>25</v>
      </c>
      <c r="J1308" s="6">
        <v>102</v>
      </c>
      <c r="K1308" s="6">
        <v>371</v>
      </c>
      <c r="L1308" s="6">
        <v>69</v>
      </c>
      <c r="M1308" s="10">
        <f t="shared" si="60"/>
        <v>537.68115942028987</v>
      </c>
      <c r="N1308" s="10">
        <f t="shared" si="61"/>
        <v>538</v>
      </c>
      <c r="O1308" s="6" t="s">
        <v>210</v>
      </c>
      <c r="P1308" s="6">
        <v>19</v>
      </c>
      <c r="Q1308" s="6">
        <v>20</v>
      </c>
      <c r="R1308" s="6">
        <v>20</v>
      </c>
      <c r="S1308" s="6">
        <v>59</v>
      </c>
      <c r="T1308" s="6" t="str">
        <f t="shared" si="62"/>
        <v>Primera</v>
      </c>
    </row>
    <row r="1309" spans="1:20">
      <c r="A1309" s="7" t="s">
        <v>2790</v>
      </c>
      <c r="B1309" s="7" t="s">
        <v>421</v>
      </c>
      <c r="C1309" s="8">
        <v>1</v>
      </c>
      <c r="D1309" s="7" t="s">
        <v>2790</v>
      </c>
      <c r="E1309" s="7" t="s">
        <v>2793</v>
      </c>
      <c r="F1309">
        <v>1118</v>
      </c>
      <c r="G1309" s="6">
        <v>17564</v>
      </c>
      <c r="H1309" s="11" t="s">
        <v>2794</v>
      </c>
      <c r="I1309" s="6">
        <v>51</v>
      </c>
      <c r="J1309" s="6">
        <v>8</v>
      </c>
      <c r="K1309" s="6">
        <v>4</v>
      </c>
      <c r="L1309" s="6">
        <v>15</v>
      </c>
      <c r="M1309" s="10">
        <f t="shared" si="60"/>
        <v>26.666666666666668</v>
      </c>
      <c r="N1309" s="10">
        <f t="shared" si="61"/>
        <v>27</v>
      </c>
      <c r="O1309" s="6" t="s">
        <v>334</v>
      </c>
      <c r="P1309" s="6">
        <v>0</v>
      </c>
      <c r="Q1309" s="6">
        <v>0</v>
      </c>
      <c r="R1309" s="6">
        <v>0</v>
      </c>
      <c r="S1309" s="6">
        <v>0</v>
      </c>
      <c r="T1309" s="6" t="str">
        <f t="shared" si="62"/>
        <v>Sexta</v>
      </c>
    </row>
    <row r="1310" spans="1:20">
      <c r="A1310" s="7" t="s">
        <v>2790</v>
      </c>
      <c r="B1310" s="7" t="s">
        <v>421</v>
      </c>
      <c r="C1310" s="8">
        <v>1</v>
      </c>
      <c r="D1310" s="7" t="s">
        <v>2790</v>
      </c>
      <c r="E1310" s="7" t="s">
        <v>2795</v>
      </c>
      <c r="F1310">
        <v>2220</v>
      </c>
      <c r="G1310" s="6">
        <v>19133</v>
      </c>
      <c r="H1310" s="11" t="s">
        <v>2796</v>
      </c>
      <c r="I1310" s="6">
        <v>16</v>
      </c>
      <c r="J1310" s="6">
        <v>11</v>
      </c>
      <c r="K1310" s="6">
        <v>56</v>
      </c>
      <c r="L1310" s="6">
        <v>76</v>
      </c>
      <c r="M1310" s="10">
        <f t="shared" si="60"/>
        <v>73.684210526315795</v>
      </c>
      <c r="N1310" s="10">
        <f t="shared" si="61"/>
        <v>74</v>
      </c>
      <c r="O1310" s="6" t="s">
        <v>335</v>
      </c>
      <c r="P1310" s="6">
        <v>3</v>
      </c>
      <c r="Q1310" s="6">
        <v>4</v>
      </c>
      <c r="R1310" s="6">
        <v>0</v>
      </c>
      <c r="S1310" s="6">
        <v>7</v>
      </c>
      <c r="T1310" s="6" t="str">
        <f t="shared" si="62"/>
        <v>Primera</v>
      </c>
    </row>
    <row r="1311" spans="1:20">
      <c r="A1311" s="7" t="s">
        <v>2790</v>
      </c>
      <c r="B1311" s="7" t="s">
        <v>421</v>
      </c>
      <c r="C1311" s="8">
        <v>1</v>
      </c>
      <c r="D1311" s="7" t="s">
        <v>2790</v>
      </c>
      <c r="E1311" s="7" t="s">
        <v>2797</v>
      </c>
      <c r="F1311">
        <v>2455</v>
      </c>
      <c r="G1311" s="6">
        <v>19980</v>
      </c>
      <c r="H1311" s="11" t="s">
        <v>2798</v>
      </c>
      <c r="I1311" s="6">
        <v>35</v>
      </c>
      <c r="J1311" s="6">
        <v>1</v>
      </c>
      <c r="K1311" s="6">
        <v>5</v>
      </c>
      <c r="L1311" s="6">
        <v>100</v>
      </c>
      <c r="M1311" s="10">
        <f t="shared" si="60"/>
        <v>5</v>
      </c>
      <c r="N1311" s="10">
        <f t="shared" si="61"/>
        <v>5</v>
      </c>
      <c r="O1311" s="6" t="s">
        <v>336</v>
      </c>
      <c r="P1311" s="6">
        <v>1</v>
      </c>
      <c r="Q1311" s="6">
        <v>0</v>
      </c>
      <c r="R1311" s="6">
        <v>0</v>
      </c>
      <c r="S1311" s="6">
        <v>1</v>
      </c>
      <c r="T1311" s="6" t="str">
        <f t="shared" si="62"/>
        <v>Primera</v>
      </c>
    </row>
    <row r="1312" spans="1:20">
      <c r="A1312" s="7" t="s">
        <v>2790</v>
      </c>
      <c r="B1312" s="7" t="s">
        <v>421</v>
      </c>
      <c r="C1312" s="8">
        <v>1</v>
      </c>
      <c r="D1312" s="7" t="s">
        <v>2790</v>
      </c>
      <c r="E1312" s="7" t="s">
        <v>2799</v>
      </c>
      <c r="F1312">
        <v>2252</v>
      </c>
      <c r="G1312" s="6">
        <v>24409</v>
      </c>
      <c r="H1312" s="11" t="s">
        <v>2800</v>
      </c>
      <c r="I1312" s="6">
        <v>16</v>
      </c>
      <c r="J1312" s="6">
        <v>2</v>
      </c>
      <c r="K1312" s="6">
        <v>7</v>
      </c>
      <c r="L1312" s="6">
        <v>78</v>
      </c>
      <c r="M1312" s="10">
        <f t="shared" si="60"/>
        <v>8.9743589743589745</v>
      </c>
      <c r="N1312" s="10">
        <f t="shared" si="61"/>
        <v>9</v>
      </c>
      <c r="O1312" s="6" t="s">
        <v>337</v>
      </c>
      <c r="P1312" s="6">
        <v>0</v>
      </c>
      <c r="Q1312" s="6">
        <v>0</v>
      </c>
      <c r="R1312" s="6">
        <v>0</v>
      </c>
      <c r="S1312" s="6">
        <v>0</v>
      </c>
      <c r="T1312" s="6" t="str">
        <f t="shared" si="62"/>
        <v>Primera</v>
      </c>
    </row>
    <row r="1313" spans="1:20">
      <c r="A1313" s="7" t="s">
        <v>2790</v>
      </c>
      <c r="B1313" s="7" t="s">
        <v>421</v>
      </c>
      <c r="C1313" s="8">
        <v>1</v>
      </c>
      <c r="D1313" s="7" t="s">
        <v>2790</v>
      </c>
      <c r="E1313" s="7" t="s">
        <v>2801</v>
      </c>
      <c r="F1313">
        <v>2327</v>
      </c>
      <c r="G1313" s="6">
        <v>23595</v>
      </c>
      <c r="H1313" s="11" t="s">
        <v>2802</v>
      </c>
      <c r="I1313" s="6">
        <v>17</v>
      </c>
      <c r="J1313" s="6">
        <v>4</v>
      </c>
      <c r="K1313" s="6">
        <v>10</v>
      </c>
      <c r="L1313" s="6">
        <v>63</v>
      </c>
      <c r="M1313" s="10">
        <f t="shared" si="60"/>
        <v>15.873015873015873</v>
      </c>
      <c r="N1313" s="10">
        <f t="shared" si="61"/>
        <v>16</v>
      </c>
      <c r="O1313" s="6" t="s">
        <v>338</v>
      </c>
      <c r="P1313" s="6">
        <v>0</v>
      </c>
      <c r="Q1313" s="6">
        <v>0</v>
      </c>
      <c r="R1313" s="6">
        <v>1</v>
      </c>
      <c r="S1313" s="6">
        <v>1</v>
      </c>
      <c r="T1313" s="6" t="str">
        <f t="shared" si="62"/>
        <v>Primera</v>
      </c>
    </row>
    <row r="1314" spans="1:20">
      <c r="A1314" s="7" t="s">
        <v>2790</v>
      </c>
      <c r="B1314" s="7" t="s">
        <v>434</v>
      </c>
      <c r="C1314" s="8">
        <v>1</v>
      </c>
      <c r="D1314" s="7" t="s">
        <v>2790</v>
      </c>
      <c r="E1314" s="7" t="s">
        <v>2803</v>
      </c>
      <c r="F1314">
        <v>2259</v>
      </c>
      <c r="G1314" s="6">
        <v>5137</v>
      </c>
      <c r="H1314" s="11" t="s">
        <v>2804</v>
      </c>
      <c r="I1314" s="6">
        <v>42</v>
      </c>
      <c r="J1314" s="6">
        <v>56</v>
      </c>
      <c r="K1314" s="6">
        <v>175</v>
      </c>
      <c r="L1314" s="6">
        <v>68</v>
      </c>
      <c r="M1314" s="10">
        <f t="shared" si="60"/>
        <v>257.35294117647061</v>
      </c>
      <c r="N1314" s="10">
        <f t="shared" si="61"/>
        <v>258</v>
      </c>
      <c r="O1314" s="6" t="s">
        <v>339</v>
      </c>
      <c r="P1314" s="6">
        <v>4</v>
      </c>
      <c r="Q1314" s="6">
        <v>6</v>
      </c>
      <c r="R1314" s="6">
        <v>14</v>
      </c>
      <c r="S1314" s="6">
        <v>24</v>
      </c>
      <c r="T1314" s="6" t="str">
        <f t="shared" si="62"/>
        <v>Primera</v>
      </c>
    </row>
    <row r="1315" spans="1:20">
      <c r="A1315" s="7" t="s">
        <v>2790</v>
      </c>
      <c r="B1315" s="7" t="s">
        <v>434</v>
      </c>
      <c r="C1315" s="8">
        <v>1</v>
      </c>
      <c r="D1315" s="7" t="s">
        <v>2790</v>
      </c>
      <c r="E1315" s="7" t="s">
        <v>2805</v>
      </c>
      <c r="F1315">
        <v>2367</v>
      </c>
      <c r="G1315" s="6">
        <v>3941</v>
      </c>
      <c r="H1315" s="11" t="s">
        <v>2806</v>
      </c>
      <c r="I1315" s="6">
        <v>52</v>
      </c>
      <c r="J1315" s="6">
        <v>15</v>
      </c>
      <c r="K1315" s="6">
        <v>48</v>
      </c>
      <c r="L1315" s="6">
        <v>73</v>
      </c>
      <c r="M1315" s="10">
        <f t="shared" si="60"/>
        <v>65.753424657534254</v>
      </c>
      <c r="N1315" s="10">
        <f t="shared" si="61"/>
        <v>66</v>
      </c>
      <c r="O1315" s="6" t="s">
        <v>262</v>
      </c>
      <c r="P1315" s="6">
        <v>2</v>
      </c>
      <c r="Q1315" s="6">
        <v>0</v>
      </c>
      <c r="R1315" s="6">
        <v>2</v>
      </c>
      <c r="S1315" s="6">
        <v>4</v>
      </c>
      <c r="T1315" s="6" t="str">
        <f t="shared" si="62"/>
        <v>Primera</v>
      </c>
    </row>
    <row r="1316" spans="1:20">
      <c r="A1316" s="7" t="s">
        <v>2790</v>
      </c>
      <c r="B1316" s="7" t="s">
        <v>434</v>
      </c>
      <c r="C1316" s="8">
        <v>1</v>
      </c>
      <c r="D1316" s="7" t="s">
        <v>2790</v>
      </c>
      <c r="E1316" s="7" t="s">
        <v>2807</v>
      </c>
      <c r="F1316">
        <v>2074</v>
      </c>
      <c r="G1316" s="6">
        <v>25060</v>
      </c>
      <c r="H1316" s="11" t="s">
        <v>2808</v>
      </c>
      <c r="I1316" s="6">
        <v>15</v>
      </c>
      <c r="J1316" s="6">
        <v>37</v>
      </c>
      <c r="K1316" s="6">
        <v>150</v>
      </c>
      <c r="L1316" s="6">
        <v>68</v>
      </c>
      <c r="M1316" s="10">
        <f t="shared" si="60"/>
        <v>220.58823529411765</v>
      </c>
      <c r="N1316" s="10">
        <f t="shared" si="61"/>
        <v>221</v>
      </c>
      <c r="O1316" s="6" t="s">
        <v>20</v>
      </c>
      <c r="P1316" s="6">
        <v>10</v>
      </c>
      <c r="Q1316" s="6">
        <v>3</v>
      </c>
      <c r="R1316" s="6">
        <v>2</v>
      </c>
      <c r="S1316" s="6">
        <v>15</v>
      </c>
      <c r="T1316" s="6" t="str">
        <f t="shared" si="62"/>
        <v>Segunda</v>
      </c>
    </row>
    <row r="1317" spans="1:20">
      <c r="A1317" s="7" t="s">
        <v>2790</v>
      </c>
      <c r="B1317" s="7" t="s">
        <v>434</v>
      </c>
      <c r="C1317" s="8">
        <v>1</v>
      </c>
      <c r="D1317" s="7" t="s">
        <v>2790</v>
      </c>
      <c r="E1317" s="7" t="s">
        <v>2809</v>
      </c>
      <c r="F1317">
        <v>2047</v>
      </c>
      <c r="G1317" s="6">
        <v>19552</v>
      </c>
      <c r="H1317" s="11" t="s">
        <v>2810</v>
      </c>
      <c r="I1317" s="6">
        <v>26</v>
      </c>
      <c r="J1317" s="6">
        <v>38</v>
      </c>
      <c r="K1317" s="6">
        <v>115</v>
      </c>
      <c r="L1317" s="6">
        <v>63</v>
      </c>
      <c r="M1317" s="10">
        <f t="shared" si="60"/>
        <v>182.53968253968253</v>
      </c>
      <c r="N1317" s="10">
        <f t="shared" si="61"/>
        <v>183</v>
      </c>
      <c r="O1317" s="6" t="s">
        <v>19</v>
      </c>
      <c r="P1317" s="6">
        <v>4</v>
      </c>
      <c r="Q1317" s="6">
        <v>3</v>
      </c>
      <c r="R1317" s="6">
        <v>8</v>
      </c>
      <c r="S1317" s="6">
        <v>15</v>
      </c>
      <c r="T1317" s="6" t="str">
        <f t="shared" si="62"/>
        <v>Segunda</v>
      </c>
    </row>
    <row r="1318" spans="1:20">
      <c r="A1318" s="7" t="s">
        <v>2790</v>
      </c>
      <c r="B1318" s="7" t="s">
        <v>434</v>
      </c>
      <c r="C1318" s="8">
        <v>1</v>
      </c>
      <c r="D1318" s="7" t="s">
        <v>2790</v>
      </c>
      <c r="E1318" s="7" t="s">
        <v>2811</v>
      </c>
      <c r="F1318">
        <v>1752</v>
      </c>
      <c r="G1318" s="6">
        <v>2831</v>
      </c>
      <c r="H1318" s="11" t="s">
        <v>2812</v>
      </c>
      <c r="I1318" s="6">
        <v>44</v>
      </c>
      <c r="J1318" s="6">
        <v>151</v>
      </c>
      <c r="K1318" s="6">
        <v>331</v>
      </c>
      <c r="L1318" s="6">
        <v>52</v>
      </c>
      <c r="M1318" s="10">
        <f t="shared" si="60"/>
        <v>636.53846153846155</v>
      </c>
      <c r="N1318" s="10">
        <f t="shared" si="61"/>
        <v>637</v>
      </c>
      <c r="O1318" s="6" t="s">
        <v>157</v>
      </c>
      <c r="P1318" s="6">
        <v>5</v>
      </c>
      <c r="Q1318" s="6">
        <v>9</v>
      </c>
      <c r="R1318" s="6">
        <v>27</v>
      </c>
      <c r="S1318" s="6">
        <v>41</v>
      </c>
      <c r="T1318" s="6" t="str">
        <f t="shared" si="62"/>
        <v>Tercera</v>
      </c>
    </row>
    <row r="1319" spans="1:20">
      <c r="A1319" s="7" t="s">
        <v>2790</v>
      </c>
      <c r="B1319" s="7" t="s">
        <v>434</v>
      </c>
      <c r="C1319" s="8">
        <v>1</v>
      </c>
      <c r="D1319" s="7" t="s">
        <v>2790</v>
      </c>
      <c r="E1319" s="7" t="s">
        <v>2813</v>
      </c>
      <c r="F1319">
        <v>1732</v>
      </c>
      <c r="G1319" s="6">
        <v>26532</v>
      </c>
      <c r="H1319" s="11" t="s">
        <v>2814</v>
      </c>
      <c r="I1319" s="6">
        <v>12</v>
      </c>
      <c r="J1319" s="6">
        <v>20</v>
      </c>
      <c r="K1319" s="6">
        <v>49</v>
      </c>
      <c r="L1319" s="6">
        <v>53</v>
      </c>
      <c r="M1319" s="10">
        <f t="shared" si="60"/>
        <v>92.452830188679243</v>
      </c>
      <c r="N1319" s="10">
        <f t="shared" si="61"/>
        <v>93</v>
      </c>
      <c r="O1319" s="6" t="s">
        <v>18</v>
      </c>
      <c r="P1319" s="6">
        <v>2</v>
      </c>
      <c r="Q1319" s="6">
        <v>2</v>
      </c>
      <c r="R1319" s="6">
        <v>4</v>
      </c>
      <c r="S1319" s="6">
        <v>8</v>
      </c>
      <c r="T1319" s="6" t="str">
        <f t="shared" si="62"/>
        <v>Tercera</v>
      </c>
    </row>
    <row r="1320" spans="1:20">
      <c r="A1320" s="7" t="s">
        <v>2790</v>
      </c>
      <c r="B1320" s="7" t="s">
        <v>451</v>
      </c>
      <c r="C1320" s="8">
        <v>1</v>
      </c>
      <c r="D1320" s="7" t="s">
        <v>2790</v>
      </c>
      <c r="E1320" s="7" t="s">
        <v>2809</v>
      </c>
      <c r="F1320">
        <v>2047</v>
      </c>
      <c r="G1320" s="6">
        <v>19552</v>
      </c>
      <c r="H1320" s="11" t="s">
        <v>2810</v>
      </c>
      <c r="I1320" s="6">
        <v>26</v>
      </c>
      <c r="J1320" s="6">
        <v>38</v>
      </c>
      <c r="K1320" s="6">
        <v>115</v>
      </c>
      <c r="L1320" s="6">
        <v>63</v>
      </c>
      <c r="M1320" s="10">
        <f t="shared" si="60"/>
        <v>182.53968253968253</v>
      </c>
      <c r="N1320" s="10">
        <f t="shared" si="61"/>
        <v>183</v>
      </c>
      <c r="O1320" s="6" t="s">
        <v>19</v>
      </c>
      <c r="P1320" s="6">
        <v>4</v>
      </c>
      <c r="Q1320" s="6">
        <v>3</v>
      </c>
      <c r="R1320" s="6">
        <v>8</v>
      </c>
      <c r="S1320" s="6">
        <v>15</v>
      </c>
      <c r="T1320" s="6" t="str">
        <f t="shared" si="62"/>
        <v>Segunda</v>
      </c>
    </row>
    <row r="1321" spans="1:20">
      <c r="A1321" s="7" t="s">
        <v>2790</v>
      </c>
      <c r="B1321" s="7" t="s">
        <v>451</v>
      </c>
      <c r="C1321" s="8">
        <v>1</v>
      </c>
      <c r="D1321" s="7" t="s">
        <v>2790</v>
      </c>
      <c r="E1321" s="7" t="s">
        <v>2815</v>
      </c>
      <c r="F1321">
        <v>1912</v>
      </c>
      <c r="G1321" s="6">
        <v>23224</v>
      </c>
      <c r="H1321" s="11" t="s">
        <v>2816</v>
      </c>
      <c r="I1321" s="6">
        <v>16</v>
      </c>
      <c r="J1321" s="6">
        <v>43</v>
      </c>
      <c r="K1321" s="6">
        <v>142</v>
      </c>
      <c r="L1321" s="6">
        <v>60</v>
      </c>
      <c r="M1321" s="10">
        <f t="shared" si="60"/>
        <v>236.66666666666666</v>
      </c>
      <c r="N1321" s="10">
        <f t="shared" si="61"/>
        <v>237</v>
      </c>
      <c r="O1321" s="6" t="s">
        <v>18</v>
      </c>
      <c r="P1321" s="6">
        <v>6</v>
      </c>
      <c r="Q1321" s="6">
        <v>2</v>
      </c>
      <c r="R1321" s="6">
        <v>10</v>
      </c>
      <c r="S1321" s="6">
        <v>18</v>
      </c>
      <c r="T1321" s="6" t="str">
        <f t="shared" si="62"/>
        <v>Segunda</v>
      </c>
    </row>
    <row r="1322" spans="1:20">
      <c r="A1322" s="7" t="s">
        <v>2790</v>
      </c>
      <c r="B1322" s="7" t="s">
        <v>451</v>
      </c>
      <c r="C1322" s="8">
        <v>1</v>
      </c>
      <c r="D1322" s="7" t="s">
        <v>2790</v>
      </c>
      <c r="E1322" s="7" t="s">
        <v>2817</v>
      </c>
      <c r="F1322">
        <v>1529</v>
      </c>
      <c r="G1322" s="6">
        <v>3133</v>
      </c>
      <c r="H1322" s="11" t="s">
        <v>2818</v>
      </c>
      <c r="I1322" s="6">
        <v>37</v>
      </c>
      <c r="J1322" s="6">
        <v>1</v>
      </c>
      <c r="K1322" s="6">
        <v>0</v>
      </c>
      <c r="L1322" s="6">
        <v>0</v>
      </c>
      <c r="M1322" s="10">
        <f t="shared" si="60"/>
        <v>0</v>
      </c>
      <c r="N1322" s="10">
        <f t="shared" si="61"/>
        <v>0</v>
      </c>
      <c r="O1322" s="6" t="s">
        <v>340</v>
      </c>
      <c r="P1322" s="6">
        <v>0</v>
      </c>
      <c r="Q1322" s="6">
        <v>0</v>
      </c>
      <c r="R1322" s="6">
        <v>0</v>
      </c>
      <c r="S1322" s="6">
        <v>0</v>
      </c>
      <c r="T1322" s="6" t="str">
        <f t="shared" si="62"/>
        <v>Cuarta</v>
      </c>
    </row>
    <row r="1323" spans="1:20">
      <c r="A1323" s="7" t="s">
        <v>2790</v>
      </c>
      <c r="B1323" s="7" t="s">
        <v>451</v>
      </c>
      <c r="C1323" s="8">
        <v>1</v>
      </c>
      <c r="D1323" s="7" t="s">
        <v>2790</v>
      </c>
      <c r="E1323" s="7" t="s">
        <v>2811</v>
      </c>
      <c r="F1323">
        <v>1752</v>
      </c>
      <c r="G1323" s="6">
        <v>2831</v>
      </c>
      <c r="H1323" s="11" t="s">
        <v>2812</v>
      </c>
      <c r="I1323" s="6">
        <v>44</v>
      </c>
      <c r="J1323" s="6">
        <v>151</v>
      </c>
      <c r="K1323" s="6">
        <v>331</v>
      </c>
      <c r="L1323" s="6">
        <v>52</v>
      </c>
      <c r="M1323" s="10">
        <f t="shared" si="60"/>
        <v>636.53846153846155</v>
      </c>
      <c r="N1323" s="10">
        <f t="shared" si="61"/>
        <v>637</v>
      </c>
      <c r="O1323" s="6" t="s">
        <v>157</v>
      </c>
      <c r="P1323" s="6">
        <v>5</v>
      </c>
      <c r="Q1323" s="6">
        <v>9</v>
      </c>
      <c r="R1323" s="6">
        <v>27</v>
      </c>
      <c r="S1323" s="6">
        <v>41</v>
      </c>
      <c r="T1323" s="6" t="str">
        <f t="shared" si="62"/>
        <v>Tercera</v>
      </c>
    </row>
    <row r="1324" spans="1:20">
      <c r="A1324" s="7" t="s">
        <v>2790</v>
      </c>
      <c r="B1324" s="7" t="s">
        <v>451</v>
      </c>
      <c r="C1324" s="8">
        <v>1</v>
      </c>
      <c r="D1324" s="7" t="s">
        <v>2790</v>
      </c>
      <c r="E1324" s="7" t="s">
        <v>2819</v>
      </c>
      <c r="F1324">
        <v>1993</v>
      </c>
      <c r="G1324" s="6">
        <v>25969</v>
      </c>
      <c r="H1324" s="11" t="s">
        <v>2820</v>
      </c>
      <c r="I1324" s="6">
        <v>44</v>
      </c>
      <c r="J1324" s="6">
        <v>9</v>
      </c>
      <c r="K1324" s="6">
        <v>34</v>
      </c>
      <c r="L1324" s="6">
        <v>76</v>
      </c>
      <c r="M1324" s="10">
        <f t="shared" si="60"/>
        <v>44.736842105263158</v>
      </c>
      <c r="N1324" s="10">
        <f t="shared" si="61"/>
        <v>45</v>
      </c>
      <c r="O1324" s="6" t="s">
        <v>20</v>
      </c>
      <c r="P1324" s="6">
        <v>4</v>
      </c>
      <c r="Q1324" s="6">
        <v>1</v>
      </c>
      <c r="R1324" s="6">
        <v>1</v>
      </c>
      <c r="S1324" s="6">
        <v>6</v>
      </c>
      <c r="T1324" s="6" t="str">
        <f t="shared" si="62"/>
        <v>Segunda</v>
      </c>
    </row>
    <row r="1325" spans="1:20">
      <c r="A1325" s="7" t="s">
        <v>2790</v>
      </c>
      <c r="B1325" s="7" t="s">
        <v>451</v>
      </c>
      <c r="C1325" s="8">
        <v>1</v>
      </c>
      <c r="D1325" s="7" t="s">
        <v>2790</v>
      </c>
      <c r="E1325" s="7" t="s">
        <v>2821</v>
      </c>
      <c r="F1325">
        <v>0</v>
      </c>
      <c r="G1325" s="6">
        <v>27900</v>
      </c>
      <c r="H1325" s="11" t="s">
        <v>2822</v>
      </c>
      <c r="I1325" s="6">
        <v>14</v>
      </c>
      <c r="M1325" s="10">
        <f t="shared" si="60"/>
        <v>0</v>
      </c>
      <c r="N1325" s="10">
        <f t="shared" si="61"/>
        <v>0</v>
      </c>
      <c r="P1325" s="6">
        <v>0</v>
      </c>
      <c r="Q1325" s="6">
        <v>0</v>
      </c>
      <c r="R1325" s="6">
        <v>0</v>
      </c>
      <c r="S1325" s="6">
        <v>0</v>
      </c>
      <c r="T1325" s="6" t="str">
        <f t="shared" si="62"/>
        <v>Octava</v>
      </c>
    </row>
    <row r="1326" spans="1:20">
      <c r="A1326" s="7" t="s">
        <v>2790</v>
      </c>
      <c r="B1326" s="7" t="s">
        <v>451</v>
      </c>
      <c r="C1326" s="8">
        <v>1</v>
      </c>
      <c r="D1326" s="7" t="s">
        <v>2790</v>
      </c>
      <c r="E1326" s="7" t="s">
        <v>2823</v>
      </c>
      <c r="F1326">
        <v>1833</v>
      </c>
      <c r="G1326" s="6">
        <v>16932</v>
      </c>
      <c r="H1326" s="11" t="s">
        <v>2824</v>
      </c>
      <c r="I1326" s="6">
        <v>59</v>
      </c>
      <c r="J1326" s="6">
        <v>72</v>
      </c>
      <c r="K1326" s="6">
        <v>179</v>
      </c>
      <c r="L1326" s="6">
        <v>57</v>
      </c>
      <c r="M1326" s="10">
        <f t="shared" si="60"/>
        <v>314.03508771929825</v>
      </c>
      <c r="N1326" s="10">
        <f t="shared" si="61"/>
        <v>315</v>
      </c>
      <c r="O1326" s="6" t="s">
        <v>122</v>
      </c>
      <c r="P1326" s="6">
        <v>4</v>
      </c>
      <c r="Q1326" s="6">
        <v>3</v>
      </c>
      <c r="R1326" s="6">
        <v>10</v>
      </c>
      <c r="S1326" s="6">
        <v>17</v>
      </c>
      <c r="T1326" s="6" t="str">
        <f t="shared" si="62"/>
        <v>Segunda</v>
      </c>
    </row>
    <row r="1327" spans="1:20">
      <c r="A1327" s="7" t="s">
        <v>2790</v>
      </c>
      <c r="B1327" s="7" t="s">
        <v>781</v>
      </c>
      <c r="C1327" s="8">
        <v>1</v>
      </c>
      <c r="D1327" s="7" t="s">
        <v>2790</v>
      </c>
      <c r="E1327" s="7" t="s">
        <v>2811</v>
      </c>
      <c r="F1327">
        <v>1752</v>
      </c>
      <c r="G1327" s="6">
        <v>2831</v>
      </c>
      <c r="H1327" s="11" t="s">
        <v>2812</v>
      </c>
      <c r="I1327" s="6">
        <v>44</v>
      </c>
      <c r="J1327" s="6">
        <v>151</v>
      </c>
      <c r="K1327" s="6">
        <v>331</v>
      </c>
      <c r="L1327" s="6">
        <v>52</v>
      </c>
      <c r="M1327" s="10">
        <f t="shared" si="60"/>
        <v>636.53846153846155</v>
      </c>
      <c r="N1327" s="10">
        <f t="shared" si="61"/>
        <v>637</v>
      </c>
      <c r="O1327" s="6" t="s">
        <v>157</v>
      </c>
      <c r="P1327" s="6">
        <v>5</v>
      </c>
      <c r="Q1327" s="6">
        <v>9</v>
      </c>
      <c r="R1327" s="6">
        <v>27</v>
      </c>
      <c r="S1327" s="6">
        <v>41</v>
      </c>
      <c r="T1327" s="6" t="str">
        <f t="shared" si="62"/>
        <v>Tercera</v>
      </c>
    </row>
    <row r="1328" spans="1:20">
      <c r="A1328" s="7" t="s">
        <v>2790</v>
      </c>
      <c r="B1328" s="7" t="s">
        <v>781</v>
      </c>
      <c r="C1328" s="8">
        <v>1</v>
      </c>
      <c r="D1328" s="7" t="s">
        <v>2790</v>
      </c>
      <c r="E1328" s="7" t="s">
        <v>2819</v>
      </c>
      <c r="F1328">
        <v>1993</v>
      </c>
      <c r="G1328" s="6">
        <v>25969</v>
      </c>
      <c r="H1328" s="11" t="s">
        <v>2820</v>
      </c>
      <c r="I1328" s="6">
        <v>44</v>
      </c>
      <c r="J1328" s="6">
        <v>9</v>
      </c>
      <c r="K1328" s="6">
        <v>34</v>
      </c>
      <c r="L1328" s="6">
        <v>76</v>
      </c>
      <c r="M1328" s="10">
        <f t="shared" si="60"/>
        <v>44.736842105263158</v>
      </c>
      <c r="N1328" s="10">
        <f t="shared" si="61"/>
        <v>45</v>
      </c>
      <c r="O1328" s="6" t="s">
        <v>20</v>
      </c>
      <c r="P1328" s="6">
        <v>4</v>
      </c>
      <c r="Q1328" s="6">
        <v>1</v>
      </c>
      <c r="R1328" s="6">
        <v>1</v>
      </c>
      <c r="S1328" s="6">
        <v>6</v>
      </c>
      <c r="T1328" s="6" t="str">
        <f t="shared" si="62"/>
        <v>Segunda</v>
      </c>
    </row>
    <row r="1329" spans="1:20">
      <c r="A1329" s="7" t="s">
        <v>2790</v>
      </c>
      <c r="B1329" s="7" t="s">
        <v>781</v>
      </c>
      <c r="C1329" s="8">
        <v>1</v>
      </c>
      <c r="D1329" s="7" t="s">
        <v>2790</v>
      </c>
      <c r="E1329" s="7" t="s">
        <v>2823</v>
      </c>
      <c r="F1329">
        <v>1833</v>
      </c>
      <c r="G1329" s="6">
        <v>16932</v>
      </c>
      <c r="H1329" s="11" t="s">
        <v>2824</v>
      </c>
      <c r="I1329" s="6">
        <v>59</v>
      </c>
      <c r="J1329" s="6">
        <v>72</v>
      </c>
      <c r="K1329" s="6">
        <v>179</v>
      </c>
      <c r="L1329" s="6">
        <v>57</v>
      </c>
      <c r="M1329" s="10">
        <f t="shared" si="60"/>
        <v>314.03508771929825</v>
      </c>
      <c r="N1329" s="10">
        <f t="shared" si="61"/>
        <v>315</v>
      </c>
      <c r="O1329" s="6" t="s">
        <v>122</v>
      </c>
      <c r="P1329" s="6">
        <v>4</v>
      </c>
      <c r="Q1329" s="6">
        <v>3</v>
      </c>
      <c r="R1329" s="6">
        <v>10</v>
      </c>
      <c r="S1329" s="6">
        <v>17</v>
      </c>
      <c r="T1329" s="6" t="str">
        <f t="shared" si="62"/>
        <v>Segunda</v>
      </c>
    </row>
    <row r="1330" spans="1:20">
      <c r="A1330" s="7" t="s">
        <v>2790</v>
      </c>
      <c r="B1330" s="7" t="s">
        <v>781</v>
      </c>
      <c r="C1330" s="8">
        <v>1</v>
      </c>
      <c r="D1330" s="7" t="s">
        <v>2790</v>
      </c>
      <c r="E1330" s="7" t="s">
        <v>2825</v>
      </c>
      <c r="F1330">
        <v>1688</v>
      </c>
      <c r="G1330" s="6">
        <v>17626</v>
      </c>
      <c r="H1330" s="11" t="s">
        <v>2826</v>
      </c>
      <c r="I1330" s="6">
        <v>17</v>
      </c>
      <c r="J1330" s="6">
        <v>39</v>
      </c>
      <c r="K1330" s="6">
        <v>153</v>
      </c>
      <c r="L1330" s="6">
        <v>59</v>
      </c>
      <c r="M1330" s="10">
        <f t="shared" si="60"/>
        <v>259.32203389830511</v>
      </c>
      <c r="N1330" s="10">
        <f t="shared" si="61"/>
        <v>260</v>
      </c>
      <c r="O1330" s="6" t="s">
        <v>341</v>
      </c>
      <c r="P1330" s="6">
        <v>4</v>
      </c>
      <c r="Q1330" s="6">
        <v>5</v>
      </c>
      <c r="R1330" s="6">
        <v>14</v>
      </c>
      <c r="S1330" s="6">
        <v>23</v>
      </c>
      <c r="T1330" s="6" t="str">
        <f t="shared" si="62"/>
        <v>Tercera</v>
      </c>
    </row>
    <row r="1331" spans="1:20">
      <c r="A1331" s="7" t="s">
        <v>2790</v>
      </c>
      <c r="B1331" s="7" t="s">
        <v>781</v>
      </c>
      <c r="C1331" s="8">
        <v>1</v>
      </c>
      <c r="D1331" s="7" t="s">
        <v>2790</v>
      </c>
      <c r="E1331" s="7" t="s">
        <v>2827</v>
      </c>
      <c r="F1331">
        <v>1853</v>
      </c>
      <c r="G1331" s="6">
        <v>24748</v>
      </c>
      <c r="H1331" s="11" t="s">
        <v>2828</v>
      </c>
      <c r="I1331" s="6">
        <v>13</v>
      </c>
      <c r="J1331" s="6">
        <v>41</v>
      </c>
      <c r="K1331" s="6">
        <v>133</v>
      </c>
      <c r="L1331" s="6">
        <v>60</v>
      </c>
      <c r="M1331" s="10">
        <f t="shared" si="60"/>
        <v>221.66666666666666</v>
      </c>
      <c r="N1331" s="10">
        <f t="shared" si="61"/>
        <v>222</v>
      </c>
      <c r="O1331" s="6" t="s">
        <v>19</v>
      </c>
      <c r="P1331" s="6">
        <v>7</v>
      </c>
      <c r="Q1331" s="6">
        <v>5</v>
      </c>
      <c r="R1331" s="6">
        <v>10</v>
      </c>
      <c r="S1331" s="6">
        <v>22</v>
      </c>
      <c r="T1331" s="6" t="str">
        <f t="shared" si="62"/>
        <v>Segunda</v>
      </c>
    </row>
    <row r="1332" spans="1:20">
      <c r="A1332" s="7" t="s">
        <v>2790</v>
      </c>
      <c r="B1332" s="7" t="s">
        <v>781</v>
      </c>
      <c r="C1332" s="8">
        <v>1</v>
      </c>
      <c r="D1332" s="7" t="s">
        <v>2790</v>
      </c>
      <c r="E1332" s="7" t="s">
        <v>2813</v>
      </c>
      <c r="F1332">
        <v>1732</v>
      </c>
      <c r="G1332" s="6">
        <v>26532</v>
      </c>
      <c r="H1332" s="11" t="s">
        <v>2814</v>
      </c>
      <c r="I1332" s="6">
        <v>12</v>
      </c>
      <c r="J1332" s="6">
        <v>20</v>
      </c>
      <c r="K1332" s="6">
        <v>49</v>
      </c>
      <c r="L1332" s="6">
        <v>53</v>
      </c>
      <c r="M1332" s="10">
        <f t="shared" si="60"/>
        <v>92.452830188679243</v>
      </c>
      <c r="N1332" s="10">
        <f t="shared" si="61"/>
        <v>93</v>
      </c>
      <c r="O1332" s="6" t="s">
        <v>18</v>
      </c>
      <c r="P1332" s="6">
        <v>2</v>
      </c>
      <c r="Q1332" s="6">
        <v>2</v>
      </c>
      <c r="R1332" s="6">
        <v>4</v>
      </c>
      <c r="S1332" s="6">
        <v>8</v>
      </c>
      <c r="T1332" s="6" t="str">
        <f t="shared" si="62"/>
        <v>Tercera</v>
      </c>
    </row>
    <row r="1333" spans="1:20">
      <c r="A1333" s="7" t="s">
        <v>2790</v>
      </c>
      <c r="B1333" s="7" t="s">
        <v>781</v>
      </c>
      <c r="C1333" s="8">
        <v>1</v>
      </c>
      <c r="D1333" s="7" t="s">
        <v>2790</v>
      </c>
      <c r="E1333" s="7" t="s">
        <v>2829</v>
      </c>
      <c r="F1333">
        <v>1548</v>
      </c>
      <c r="G1333" s="6">
        <v>1087</v>
      </c>
      <c r="H1333" s="11" t="s">
        <v>2830</v>
      </c>
      <c r="I1333" s="6">
        <v>60</v>
      </c>
      <c r="J1333" s="6">
        <v>105</v>
      </c>
      <c r="K1333" s="6">
        <v>173</v>
      </c>
      <c r="L1333" s="6">
        <v>37</v>
      </c>
      <c r="M1333" s="10">
        <f t="shared" si="60"/>
        <v>467.56756756756755</v>
      </c>
      <c r="N1333" s="10">
        <f t="shared" si="61"/>
        <v>468</v>
      </c>
      <c r="O1333" s="6" t="s">
        <v>135</v>
      </c>
      <c r="P1333" s="6">
        <v>5</v>
      </c>
      <c r="Q1333" s="6">
        <v>5</v>
      </c>
      <c r="R1333" s="6">
        <v>10</v>
      </c>
      <c r="S1333" s="6">
        <v>20</v>
      </c>
      <c r="T1333" s="6" t="str">
        <f t="shared" si="62"/>
        <v>Cuarta</v>
      </c>
    </row>
    <row r="1334" spans="1:20">
      <c r="A1334" s="7" t="s">
        <v>2790</v>
      </c>
      <c r="B1334" s="7" t="s">
        <v>468</v>
      </c>
      <c r="C1334" s="8">
        <v>1</v>
      </c>
      <c r="D1334" s="7" t="s">
        <v>2790</v>
      </c>
      <c r="E1334" s="7" t="s">
        <v>2831</v>
      </c>
      <c r="F1334">
        <v>1753</v>
      </c>
      <c r="G1334" s="6">
        <v>8201</v>
      </c>
      <c r="H1334" s="11" t="s">
        <v>2832</v>
      </c>
      <c r="I1334" s="6">
        <v>60</v>
      </c>
      <c r="J1334" s="6">
        <v>9</v>
      </c>
      <c r="K1334" s="6">
        <v>36</v>
      </c>
      <c r="L1334" s="6">
        <v>55</v>
      </c>
      <c r="M1334" s="10">
        <f t="shared" si="60"/>
        <v>65.454545454545453</v>
      </c>
      <c r="N1334" s="10">
        <f t="shared" si="61"/>
        <v>66</v>
      </c>
      <c r="O1334" s="6" t="s">
        <v>342</v>
      </c>
      <c r="P1334" s="6">
        <v>2</v>
      </c>
      <c r="Q1334" s="6">
        <v>1</v>
      </c>
      <c r="R1334" s="6">
        <v>2</v>
      </c>
      <c r="S1334" s="6">
        <v>5</v>
      </c>
      <c r="T1334" s="6" t="str">
        <f t="shared" si="62"/>
        <v>Tercera</v>
      </c>
    </row>
    <row r="1335" spans="1:20">
      <c r="A1335" s="7" t="s">
        <v>2790</v>
      </c>
      <c r="B1335" s="7" t="s">
        <v>468</v>
      </c>
      <c r="C1335" s="8">
        <v>1</v>
      </c>
      <c r="D1335" s="7" t="s">
        <v>2790</v>
      </c>
      <c r="E1335" s="7" t="s">
        <v>2833</v>
      </c>
      <c r="F1335">
        <v>1601</v>
      </c>
      <c r="G1335" s="6">
        <v>6207</v>
      </c>
      <c r="H1335" s="11" t="s">
        <v>2834</v>
      </c>
      <c r="I1335" s="6">
        <v>66</v>
      </c>
      <c r="J1335" s="6">
        <v>38</v>
      </c>
      <c r="K1335" s="6">
        <v>72</v>
      </c>
      <c r="L1335" s="6">
        <v>44</v>
      </c>
      <c r="M1335" s="10">
        <f t="shared" si="60"/>
        <v>163.63636363636363</v>
      </c>
      <c r="N1335" s="10">
        <f t="shared" si="61"/>
        <v>164</v>
      </c>
      <c r="O1335" s="6" t="s">
        <v>343</v>
      </c>
      <c r="P1335" s="6">
        <v>1</v>
      </c>
      <c r="Q1335" s="6">
        <v>2</v>
      </c>
      <c r="R1335" s="6">
        <v>3</v>
      </c>
      <c r="S1335" s="6">
        <v>6</v>
      </c>
      <c r="T1335" s="6" t="str">
        <f t="shared" si="62"/>
        <v>Tercera</v>
      </c>
    </row>
    <row r="1336" spans="1:20">
      <c r="A1336" s="7" t="s">
        <v>2790</v>
      </c>
      <c r="B1336" s="7" t="s">
        <v>468</v>
      </c>
      <c r="C1336" s="8">
        <v>1</v>
      </c>
      <c r="D1336" s="7" t="s">
        <v>2790</v>
      </c>
      <c r="E1336" s="7" t="s">
        <v>2829</v>
      </c>
      <c r="F1336">
        <v>1548</v>
      </c>
      <c r="G1336" s="6">
        <v>1087</v>
      </c>
      <c r="H1336" s="11" t="s">
        <v>2830</v>
      </c>
      <c r="I1336" s="6">
        <v>60</v>
      </c>
      <c r="J1336" s="6">
        <v>105</v>
      </c>
      <c r="K1336" s="6">
        <v>173</v>
      </c>
      <c r="L1336" s="6">
        <v>37</v>
      </c>
      <c r="M1336" s="10">
        <f t="shared" si="60"/>
        <v>467.56756756756755</v>
      </c>
      <c r="N1336" s="10">
        <f t="shared" si="61"/>
        <v>468</v>
      </c>
      <c r="O1336" s="6" t="s">
        <v>135</v>
      </c>
      <c r="P1336" s="6">
        <v>5</v>
      </c>
      <c r="Q1336" s="6">
        <v>5</v>
      </c>
      <c r="R1336" s="6">
        <v>10</v>
      </c>
      <c r="S1336" s="6">
        <v>20</v>
      </c>
      <c r="T1336" s="6" t="str">
        <f t="shared" si="62"/>
        <v>Cuarta</v>
      </c>
    </row>
    <row r="1337" spans="1:20">
      <c r="A1337" s="7" t="s">
        <v>2790</v>
      </c>
      <c r="B1337" s="7" t="s">
        <v>468</v>
      </c>
      <c r="C1337" s="8">
        <v>1</v>
      </c>
      <c r="D1337" s="7" t="s">
        <v>2790</v>
      </c>
      <c r="E1337" s="7" t="s">
        <v>2835</v>
      </c>
      <c r="F1337">
        <v>1564</v>
      </c>
      <c r="G1337" s="6">
        <v>5361</v>
      </c>
      <c r="H1337" s="11" t="s">
        <v>2836</v>
      </c>
      <c r="I1337" s="6">
        <v>58</v>
      </c>
      <c r="J1337" s="6">
        <v>213</v>
      </c>
      <c r="K1337" s="6">
        <v>474</v>
      </c>
      <c r="L1337" s="6">
        <v>54</v>
      </c>
      <c r="M1337" s="10">
        <f t="shared" si="60"/>
        <v>877.77777777777783</v>
      </c>
      <c r="N1337" s="10">
        <f t="shared" si="61"/>
        <v>878</v>
      </c>
      <c r="O1337" s="6" t="s">
        <v>22</v>
      </c>
      <c r="P1337" s="6">
        <v>6</v>
      </c>
      <c r="Q1337" s="6">
        <v>15</v>
      </c>
      <c r="R1337" s="6">
        <v>25</v>
      </c>
      <c r="S1337" s="6">
        <v>46</v>
      </c>
      <c r="T1337" s="6" t="str">
        <f t="shared" si="62"/>
        <v>Cuarta</v>
      </c>
    </row>
    <row r="1338" spans="1:20">
      <c r="A1338" s="7" t="s">
        <v>2790</v>
      </c>
      <c r="B1338" s="7" t="s">
        <v>468</v>
      </c>
      <c r="C1338" s="8">
        <v>1</v>
      </c>
      <c r="D1338" s="7" t="s">
        <v>2790</v>
      </c>
      <c r="E1338" s="7" t="s">
        <v>2837</v>
      </c>
      <c r="F1338">
        <v>1325</v>
      </c>
      <c r="G1338" s="6">
        <v>12178</v>
      </c>
      <c r="H1338" s="11" t="s">
        <v>2838</v>
      </c>
      <c r="I1338" s="6">
        <v>25</v>
      </c>
      <c r="J1338" s="6">
        <v>3</v>
      </c>
      <c r="K1338" s="6">
        <v>8</v>
      </c>
      <c r="L1338" s="6">
        <v>67</v>
      </c>
      <c r="M1338" s="10">
        <f t="shared" si="60"/>
        <v>11.940298507462687</v>
      </c>
      <c r="N1338" s="10">
        <f t="shared" si="61"/>
        <v>12</v>
      </c>
      <c r="O1338" s="6" t="s">
        <v>344</v>
      </c>
      <c r="P1338" s="6">
        <v>1</v>
      </c>
      <c r="Q1338" s="6">
        <v>0</v>
      </c>
      <c r="R1338" s="6">
        <v>1</v>
      </c>
      <c r="S1338" s="6">
        <v>2</v>
      </c>
      <c r="T1338" s="6" t="str">
        <f t="shared" si="62"/>
        <v>Quinta</v>
      </c>
    </row>
    <row r="1339" spans="1:20">
      <c r="A1339" s="7" t="s">
        <v>2790</v>
      </c>
      <c r="B1339" s="7" t="s">
        <v>468</v>
      </c>
      <c r="C1339" s="8">
        <v>1</v>
      </c>
      <c r="D1339" s="7" t="s">
        <v>2790</v>
      </c>
      <c r="E1339" s="7" t="s">
        <v>2839</v>
      </c>
      <c r="F1339">
        <v>1413</v>
      </c>
      <c r="G1339" s="6">
        <v>6844</v>
      </c>
      <c r="H1339" s="11" t="s">
        <v>2840</v>
      </c>
      <c r="I1339" s="6">
        <v>49</v>
      </c>
      <c r="J1339" s="6">
        <v>2</v>
      </c>
      <c r="K1339" s="6">
        <v>5</v>
      </c>
      <c r="L1339" s="6">
        <v>56</v>
      </c>
      <c r="M1339" s="10">
        <f t="shared" si="60"/>
        <v>8.9285714285714288</v>
      </c>
      <c r="N1339" s="10">
        <f t="shared" si="61"/>
        <v>9</v>
      </c>
      <c r="O1339" s="6" t="s">
        <v>345</v>
      </c>
      <c r="P1339" s="6">
        <v>0</v>
      </c>
      <c r="Q1339" s="6">
        <v>0</v>
      </c>
      <c r="R1339" s="6">
        <v>0</v>
      </c>
      <c r="S1339" s="6">
        <v>0</v>
      </c>
      <c r="T1339" s="6" t="str">
        <f t="shared" si="62"/>
        <v>Cuarta</v>
      </c>
    </row>
    <row r="1340" spans="1:20">
      <c r="A1340" s="7" t="s">
        <v>2790</v>
      </c>
      <c r="B1340" s="7" t="s">
        <v>468</v>
      </c>
      <c r="C1340" s="8">
        <v>1</v>
      </c>
      <c r="D1340" s="7" t="s">
        <v>2790</v>
      </c>
      <c r="E1340" s="7" t="s">
        <v>2841</v>
      </c>
      <c r="F1340">
        <v>1360</v>
      </c>
      <c r="G1340" s="6">
        <v>25181</v>
      </c>
      <c r="H1340" s="11" t="s">
        <v>2842</v>
      </c>
      <c r="I1340" s="6">
        <v>27</v>
      </c>
      <c r="J1340" s="6">
        <v>57</v>
      </c>
      <c r="K1340" s="6">
        <v>156</v>
      </c>
      <c r="L1340" s="6">
        <v>54</v>
      </c>
      <c r="M1340" s="10">
        <f t="shared" si="60"/>
        <v>288.88888888888891</v>
      </c>
      <c r="N1340" s="10">
        <f t="shared" si="61"/>
        <v>289</v>
      </c>
      <c r="O1340" s="6" t="s">
        <v>37</v>
      </c>
      <c r="P1340" s="6">
        <v>4</v>
      </c>
      <c r="Q1340" s="6">
        <v>2</v>
      </c>
      <c r="R1340" s="6">
        <v>13</v>
      </c>
      <c r="S1340" s="6">
        <v>19</v>
      </c>
      <c r="T1340" s="6" t="str">
        <f t="shared" si="62"/>
        <v>Quinta</v>
      </c>
    </row>
    <row r="1341" spans="1:20">
      <c r="A1341" s="7" t="s">
        <v>2790</v>
      </c>
      <c r="B1341" s="7" t="s">
        <v>507</v>
      </c>
      <c r="C1341" s="8">
        <v>1</v>
      </c>
      <c r="D1341" s="7" t="s">
        <v>2790</v>
      </c>
      <c r="E1341" s="7" t="s">
        <v>2837</v>
      </c>
      <c r="F1341">
        <v>1325</v>
      </c>
      <c r="G1341" s="6">
        <v>12178</v>
      </c>
      <c r="H1341" s="11" t="s">
        <v>2838</v>
      </c>
      <c r="I1341" s="6">
        <v>25</v>
      </c>
      <c r="J1341" s="6">
        <v>3</v>
      </c>
      <c r="K1341" s="6">
        <v>8</v>
      </c>
      <c r="L1341" s="6">
        <v>67</v>
      </c>
      <c r="M1341" s="10">
        <f t="shared" si="60"/>
        <v>11.940298507462687</v>
      </c>
      <c r="N1341" s="10">
        <f t="shared" si="61"/>
        <v>12</v>
      </c>
      <c r="O1341" s="6" t="s">
        <v>344</v>
      </c>
      <c r="P1341" s="6">
        <v>1</v>
      </c>
      <c r="Q1341" s="6">
        <v>0</v>
      </c>
      <c r="R1341" s="6">
        <v>1</v>
      </c>
      <c r="S1341" s="6">
        <v>2</v>
      </c>
      <c r="T1341" s="6" t="str">
        <f t="shared" si="62"/>
        <v>Quinta</v>
      </c>
    </row>
    <row r="1342" spans="1:20">
      <c r="A1342" s="7" t="s">
        <v>2790</v>
      </c>
      <c r="B1342" s="7" t="s">
        <v>507</v>
      </c>
      <c r="C1342" s="8">
        <v>1</v>
      </c>
      <c r="D1342" s="7" t="s">
        <v>2790</v>
      </c>
      <c r="E1342" s="7" t="s">
        <v>2843</v>
      </c>
      <c r="F1342">
        <v>547</v>
      </c>
      <c r="G1342" s="6">
        <v>24688</v>
      </c>
      <c r="H1342" s="11" t="s">
        <v>2844</v>
      </c>
      <c r="I1342" s="6">
        <v>60</v>
      </c>
      <c r="J1342" s="6">
        <v>46</v>
      </c>
      <c r="K1342" s="6">
        <v>9</v>
      </c>
      <c r="L1342" s="6">
        <v>6</v>
      </c>
      <c r="M1342" s="10">
        <f t="shared" si="60"/>
        <v>150</v>
      </c>
      <c r="N1342" s="10">
        <f t="shared" si="61"/>
        <v>150</v>
      </c>
      <c r="O1342" s="6" t="s">
        <v>93</v>
      </c>
      <c r="P1342" s="6">
        <v>0</v>
      </c>
      <c r="Q1342" s="6">
        <v>0</v>
      </c>
      <c r="R1342" s="6">
        <v>0</v>
      </c>
      <c r="S1342" s="6">
        <v>0</v>
      </c>
      <c r="T1342" s="6" t="str">
        <f t="shared" si="62"/>
        <v>Octava</v>
      </c>
    </row>
    <row r="1343" spans="1:20">
      <c r="A1343" s="7" t="s">
        <v>2790</v>
      </c>
      <c r="B1343" s="7" t="s">
        <v>507</v>
      </c>
      <c r="C1343" s="8">
        <v>1</v>
      </c>
      <c r="D1343" s="7" t="s">
        <v>2790</v>
      </c>
      <c r="E1343" s="7" t="s">
        <v>2839</v>
      </c>
      <c r="F1343">
        <v>1413</v>
      </c>
      <c r="G1343" s="6">
        <v>6844</v>
      </c>
      <c r="H1343" s="11" t="s">
        <v>2840</v>
      </c>
      <c r="I1343" s="6">
        <v>49</v>
      </c>
      <c r="J1343" s="6">
        <v>2</v>
      </c>
      <c r="K1343" s="6">
        <v>5</v>
      </c>
      <c r="L1343" s="6">
        <v>56</v>
      </c>
      <c r="M1343" s="10">
        <f t="shared" si="60"/>
        <v>8.9285714285714288</v>
      </c>
      <c r="N1343" s="10">
        <f t="shared" si="61"/>
        <v>9</v>
      </c>
      <c r="O1343" s="6" t="s">
        <v>345</v>
      </c>
      <c r="P1343" s="6">
        <v>0</v>
      </c>
      <c r="Q1343" s="6">
        <v>0</v>
      </c>
      <c r="R1343" s="6">
        <v>0</v>
      </c>
      <c r="S1343" s="6">
        <v>0</v>
      </c>
      <c r="T1343" s="6" t="str">
        <f t="shared" si="62"/>
        <v>Cuarta</v>
      </c>
    </row>
    <row r="1344" spans="1:20">
      <c r="A1344" s="7" t="s">
        <v>2790</v>
      </c>
      <c r="B1344" s="7" t="s">
        <v>507</v>
      </c>
      <c r="C1344" s="8">
        <v>1</v>
      </c>
      <c r="D1344" s="7" t="s">
        <v>2790</v>
      </c>
      <c r="E1344" s="7" t="s">
        <v>2841</v>
      </c>
      <c r="F1344">
        <v>1360</v>
      </c>
      <c r="G1344" s="6">
        <v>25181</v>
      </c>
      <c r="H1344" s="11" t="s">
        <v>2842</v>
      </c>
      <c r="I1344" s="6">
        <v>27</v>
      </c>
      <c r="J1344" s="6">
        <v>57</v>
      </c>
      <c r="K1344" s="6">
        <v>156</v>
      </c>
      <c r="L1344" s="6">
        <v>54</v>
      </c>
      <c r="M1344" s="10">
        <f t="shared" si="60"/>
        <v>288.88888888888891</v>
      </c>
      <c r="N1344" s="10">
        <f t="shared" si="61"/>
        <v>289</v>
      </c>
      <c r="O1344" s="6" t="s">
        <v>37</v>
      </c>
      <c r="P1344" s="6">
        <v>4</v>
      </c>
      <c r="Q1344" s="6">
        <v>2</v>
      </c>
      <c r="R1344" s="6">
        <v>13</v>
      </c>
      <c r="S1344" s="6">
        <v>19</v>
      </c>
      <c r="T1344" s="6" t="str">
        <f t="shared" si="62"/>
        <v>Quinta</v>
      </c>
    </row>
    <row r="1345" spans="1:20">
      <c r="A1345" s="7" t="s">
        <v>2790</v>
      </c>
      <c r="B1345" s="7" t="s">
        <v>507</v>
      </c>
      <c r="C1345" s="8">
        <v>1</v>
      </c>
      <c r="D1345" s="7" t="s">
        <v>2790</v>
      </c>
      <c r="E1345" s="7" t="s">
        <v>2845</v>
      </c>
      <c r="F1345">
        <v>1199</v>
      </c>
      <c r="G1345" s="6">
        <v>17724</v>
      </c>
      <c r="H1345" s="11" t="s">
        <v>2846</v>
      </c>
      <c r="I1345" s="6">
        <v>38</v>
      </c>
      <c r="J1345" s="6">
        <v>19</v>
      </c>
      <c r="K1345" s="6">
        <v>29</v>
      </c>
      <c r="L1345" s="6">
        <v>37</v>
      </c>
      <c r="M1345" s="10">
        <f t="shared" si="60"/>
        <v>78.378378378378372</v>
      </c>
      <c r="N1345" s="10">
        <f t="shared" si="61"/>
        <v>79</v>
      </c>
      <c r="O1345" s="6" t="s">
        <v>104</v>
      </c>
      <c r="P1345" s="6">
        <v>0</v>
      </c>
      <c r="Q1345" s="6">
        <v>1</v>
      </c>
      <c r="R1345" s="6">
        <v>2</v>
      </c>
      <c r="S1345" s="6">
        <v>3</v>
      </c>
      <c r="T1345" s="6" t="str">
        <f t="shared" si="62"/>
        <v>Sexta</v>
      </c>
    </row>
    <row r="1346" spans="1:20">
      <c r="A1346" s="7" t="s">
        <v>2790</v>
      </c>
      <c r="B1346" s="7" t="s">
        <v>507</v>
      </c>
      <c r="C1346" s="8">
        <v>1</v>
      </c>
      <c r="D1346" s="7" t="s">
        <v>2790</v>
      </c>
      <c r="E1346" s="7" t="s">
        <v>2847</v>
      </c>
      <c r="F1346">
        <v>1143</v>
      </c>
      <c r="G1346" s="6">
        <v>4506</v>
      </c>
      <c r="H1346" s="11" t="s">
        <v>2848</v>
      </c>
      <c r="I1346" s="6">
        <v>45</v>
      </c>
      <c r="J1346" s="6">
        <v>118</v>
      </c>
      <c r="K1346" s="6">
        <v>276</v>
      </c>
      <c r="L1346" s="6">
        <v>48</v>
      </c>
      <c r="M1346" s="10">
        <f t="shared" si="60"/>
        <v>575</v>
      </c>
      <c r="N1346" s="10">
        <f t="shared" si="61"/>
        <v>575</v>
      </c>
      <c r="O1346" s="6" t="s">
        <v>127</v>
      </c>
      <c r="P1346" s="6">
        <v>10</v>
      </c>
      <c r="Q1346" s="6">
        <v>8</v>
      </c>
      <c r="R1346" s="6">
        <v>25</v>
      </c>
      <c r="S1346" s="6">
        <v>43</v>
      </c>
      <c r="T1346" s="6" t="str">
        <f t="shared" si="62"/>
        <v>Sexta</v>
      </c>
    </row>
    <row r="1347" spans="1:20">
      <c r="A1347" s="7" t="s">
        <v>2790</v>
      </c>
      <c r="B1347" s="7" t="s">
        <v>507</v>
      </c>
      <c r="C1347" s="8">
        <v>1</v>
      </c>
      <c r="D1347" s="7" t="s">
        <v>2790</v>
      </c>
      <c r="E1347" s="7" t="s">
        <v>2849</v>
      </c>
      <c r="F1347">
        <v>2088</v>
      </c>
      <c r="G1347" s="6">
        <v>510</v>
      </c>
      <c r="H1347" s="11" t="s">
        <v>2850</v>
      </c>
      <c r="I1347" s="6">
        <v>63</v>
      </c>
      <c r="J1347" s="6">
        <v>1</v>
      </c>
      <c r="K1347" s="6">
        <v>2</v>
      </c>
      <c r="L1347" s="6">
        <v>50</v>
      </c>
      <c r="M1347" s="10">
        <f t="shared" ref="M1347:M1410" si="63">IF(K1347+L1347=0,0,(100*K1347/L1347))</f>
        <v>4</v>
      </c>
      <c r="N1347" s="10">
        <f t="shared" ref="N1347:N1410" si="64">ROUNDUP(M1347,0)</f>
        <v>4</v>
      </c>
      <c r="O1347" s="6" t="s">
        <v>346</v>
      </c>
      <c r="P1347" s="6">
        <v>0</v>
      </c>
      <c r="Q1347" s="6">
        <v>0</v>
      </c>
      <c r="R1347" s="6">
        <v>0</v>
      </c>
      <c r="S1347" s="6">
        <v>0</v>
      </c>
      <c r="T1347" s="6" t="str">
        <f t="shared" ref="T1347:T1410" si="65">IF(F1347&gt;2100,"Primera",
IF(F1347&gt;=1800,"Segunda",
IF(F1347&gt;=1600,"Tercera",
IF(F1347&gt;=1400,"Cuarta",
IF(F1347&gt;=1200,"Quinta",
IF(F1347&gt;=1080,"Sexta",
IF(F1347&gt;=980,"Septima",
"Octava")))))))</f>
        <v>Segunda</v>
      </c>
    </row>
    <row r="1348" spans="1:20">
      <c r="A1348" s="7" t="s">
        <v>2790</v>
      </c>
      <c r="B1348" s="7" t="s">
        <v>507</v>
      </c>
      <c r="C1348" s="8">
        <v>1</v>
      </c>
      <c r="D1348" s="7" t="s">
        <v>2790</v>
      </c>
      <c r="E1348" s="7" t="s">
        <v>2851</v>
      </c>
      <c r="F1348">
        <v>1166</v>
      </c>
      <c r="G1348" s="6">
        <v>24965</v>
      </c>
      <c r="H1348" s="11" t="s">
        <v>2852</v>
      </c>
      <c r="I1348" s="6">
        <v>65</v>
      </c>
      <c r="J1348" s="6">
        <v>4</v>
      </c>
      <c r="K1348" s="6">
        <v>16</v>
      </c>
      <c r="L1348" s="6">
        <v>76</v>
      </c>
      <c r="M1348" s="10">
        <f t="shared" si="63"/>
        <v>21.05263157894737</v>
      </c>
      <c r="N1348" s="10">
        <f t="shared" si="64"/>
        <v>22</v>
      </c>
      <c r="O1348" s="6" t="s">
        <v>135</v>
      </c>
      <c r="P1348" s="6">
        <v>1</v>
      </c>
      <c r="Q1348" s="6">
        <v>0</v>
      </c>
      <c r="R1348" s="6">
        <v>1</v>
      </c>
      <c r="S1348" s="6">
        <v>2</v>
      </c>
      <c r="T1348" s="6" t="str">
        <f t="shared" si="65"/>
        <v>Sexta</v>
      </c>
    </row>
    <row r="1349" spans="1:20">
      <c r="A1349" s="7" t="s">
        <v>2790</v>
      </c>
      <c r="B1349" s="7" t="s">
        <v>526</v>
      </c>
      <c r="C1349" s="8">
        <v>1</v>
      </c>
      <c r="D1349" s="7" t="s">
        <v>2790</v>
      </c>
      <c r="E1349" s="7" t="s">
        <v>2845</v>
      </c>
      <c r="F1349">
        <v>1199</v>
      </c>
      <c r="G1349" s="6">
        <v>17724</v>
      </c>
      <c r="H1349" s="11" t="s">
        <v>2846</v>
      </c>
      <c r="I1349" s="6">
        <v>38</v>
      </c>
      <c r="J1349" s="6">
        <v>19</v>
      </c>
      <c r="K1349" s="6">
        <v>29</v>
      </c>
      <c r="L1349" s="6">
        <v>37</v>
      </c>
      <c r="M1349" s="10">
        <f t="shared" si="63"/>
        <v>78.378378378378372</v>
      </c>
      <c r="N1349" s="10">
        <f t="shared" si="64"/>
        <v>79</v>
      </c>
      <c r="O1349" s="6" t="s">
        <v>104</v>
      </c>
      <c r="P1349" s="6">
        <v>0</v>
      </c>
      <c r="Q1349" s="6">
        <v>1</v>
      </c>
      <c r="R1349" s="6">
        <v>2</v>
      </c>
      <c r="S1349" s="6">
        <v>3</v>
      </c>
      <c r="T1349" s="6" t="str">
        <f t="shared" si="65"/>
        <v>Sexta</v>
      </c>
    </row>
    <row r="1350" spans="1:20">
      <c r="A1350" s="7" t="s">
        <v>2790</v>
      </c>
      <c r="B1350" s="7" t="s">
        <v>526</v>
      </c>
      <c r="C1350" s="8">
        <v>1</v>
      </c>
      <c r="D1350" s="7" t="s">
        <v>2790</v>
      </c>
      <c r="E1350" s="7" t="s">
        <v>2847</v>
      </c>
      <c r="F1350">
        <v>1143</v>
      </c>
      <c r="G1350" s="6">
        <v>4506</v>
      </c>
      <c r="H1350" s="11" t="s">
        <v>2848</v>
      </c>
      <c r="I1350" s="6">
        <v>45</v>
      </c>
      <c r="J1350" s="6">
        <v>118</v>
      </c>
      <c r="K1350" s="6">
        <v>276</v>
      </c>
      <c r="L1350" s="6">
        <v>48</v>
      </c>
      <c r="M1350" s="10">
        <f t="shared" si="63"/>
        <v>575</v>
      </c>
      <c r="N1350" s="10">
        <f t="shared" si="64"/>
        <v>575</v>
      </c>
      <c r="O1350" s="6" t="s">
        <v>127</v>
      </c>
      <c r="P1350" s="6">
        <v>10</v>
      </c>
      <c r="Q1350" s="6">
        <v>8</v>
      </c>
      <c r="R1350" s="6">
        <v>25</v>
      </c>
      <c r="S1350" s="6">
        <v>43</v>
      </c>
      <c r="T1350" s="6" t="str">
        <f t="shared" si="65"/>
        <v>Sexta</v>
      </c>
    </row>
    <row r="1351" spans="1:20">
      <c r="A1351" s="7" t="s">
        <v>2790</v>
      </c>
      <c r="B1351" s="7" t="s">
        <v>526</v>
      </c>
      <c r="C1351" s="8">
        <v>1</v>
      </c>
      <c r="D1351" s="7" t="s">
        <v>2790</v>
      </c>
      <c r="E1351" s="7" t="s">
        <v>2853</v>
      </c>
      <c r="F1351">
        <v>1013</v>
      </c>
      <c r="G1351" s="6">
        <v>29388</v>
      </c>
      <c r="H1351" s="11" t="s">
        <v>2854</v>
      </c>
      <c r="I1351" s="6">
        <v>32</v>
      </c>
      <c r="J1351" s="6">
        <v>3</v>
      </c>
      <c r="K1351" s="6">
        <v>5</v>
      </c>
      <c r="L1351" s="6">
        <v>42</v>
      </c>
      <c r="M1351" s="10">
        <f t="shared" si="63"/>
        <v>11.904761904761905</v>
      </c>
      <c r="N1351" s="10">
        <f t="shared" si="64"/>
        <v>12</v>
      </c>
      <c r="O1351" s="6" t="s">
        <v>70</v>
      </c>
      <c r="P1351" s="6">
        <v>0</v>
      </c>
      <c r="Q1351" s="6">
        <v>0</v>
      </c>
      <c r="R1351" s="6">
        <v>0</v>
      </c>
      <c r="S1351" s="6">
        <v>0</v>
      </c>
      <c r="T1351" s="6" t="str">
        <f t="shared" si="65"/>
        <v>Septima</v>
      </c>
    </row>
    <row r="1352" spans="1:20">
      <c r="A1352" s="7" t="s">
        <v>2790</v>
      </c>
      <c r="B1352" s="7" t="s">
        <v>526</v>
      </c>
      <c r="C1352" s="8">
        <v>1</v>
      </c>
      <c r="D1352" s="7" t="s">
        <v>2790</v>
      </c>
      <c r="E1352" s="7" t="s">
        <v>2855</v>
      </c>
      <c r="F1352">
        <v>993</v>
      </c>
      <c r="G1352" s="6">
        <v>29244</v>
      </c>
      <c r="H1352" s="11" t="s">
        <v>2856</v>
      </c>
      <c r="I1352" s="6">
        <v>58</v>
      </c>
      <c r="J1352" s="6">
        <v>4</v>
      </c>
      <c r="K1352" s="6">
        <v>7</v>
      </c>
      <c r="L1352" s="6">
        <v>39</v>
      </c>
      <c r="M1352" s="10">
        <f t="shared" si="63"/>
        <v>17.948717948717949</v>
      </c>
      <c r="N1352" s="10">
        <f t="shared" si="64"/>
        <v>18</v>
      </c>
      <c r="O1352" s="6" t="s">
        <v>37</v>
      </c>
      <c r="P1352" s="6">
        <v>0</v>
      </c>
      <c r="Q1352" s="6">
        <v>0</v>
      </c>
      <c r="R1352" s="6">
        <v>0</v>
      </c>
      <c r="S1352" s="6">
        <v>0</v>
      </c>
      <c r="T1352" s="6" t="str">
        <f t="shared" si="65"/>
        <v>Septima</v>
      </c>
    </row>
    <row r="1353" spans="1:20">
      <c r="A1353" s="7" t="s">
        <v>2790</v>
      </c>
      <c r="B1353" s="7" t="s">
        <v>526</v>
      </c>
      <c r="C1353" s="8">
        <v>1</v>
      </c>
      <c r="D1353" s="7" t="s">
        <v>2790</v>
      </c>
      <c r="E1353" s="7" t="s">
        <v>2857</v>
      </c>
      <c r="F1353">
        <v>1507</v>
      </c>
      <c r="G1353" s="6">
        <v>27353</v>
      </c>
      <c r="H1353" s="11" t="s">
        <v>951</v>
      </c>
      <c r="I1353" s="6">
        <v>33</v>
      </c>
      <c r="J1353" s="6">
        <v>23</v>
      </c>
      <c r="K1353" s="6">
        <v>78</v>
      </c>
      <c r="L1353" s="6">
        <v>72</v>
      </c>
      <c r="M1353" s="10">
        <f t="shared" si="63"/>
        <v>108.33333333333333</v>
      </c>
      <c r="N1353" s="10">
        <f t="shared" si="64"/>
        <v>109</v>
      </c>
      <c r="O1353" s="6" t="s">
        <v>12</v>
      </c>
      <c r="P1353" s="6">
        <v>6</v>
      </c>
      <c r="Q1353" s="6">
        <v>0</v>
      </c>
      <c r="R1353" s="6">
        <v>3</v>
      </c>
      <c r="S1353" s="6">
        <v>9</v>
      </c>
      <c r="T1353" s="6" t="str">
        <f t="shared" si="65"/>
        <v>Cuarta</v>
      </c>
    </row>
    <row r="1354" spans="1:20">
      <c r="A1354" s="7" t="s">
        <v>2790</v>
      </c>
      <c r="B1354" s="7" t="s">
        <v>526</v>
      </c>
      <c r="C1354" s="8">
        <v>1</v>
      </c>
      <c r="D1354" s="7" t="s">
        <v>2790</v>
      </c>
      <c r="E1354" s="7" t="s">
        <v>2849</v>
      </c>
      <c r="F1354">
        <v>2088</v>
      </c>
      <c r="G1354" s="6">
        <v>510</v>
      </c>
      <c r="H1354" s="11" t="s">
        <v>2850</v>
      </c>
      <c r="I1354" s="6">
        <v>63</v>
      </c>
      <c r="J1354" s="6">
        <v>1</v>
      </c>
      <c r="K1354" s="6">
        <v>2</v>
      </c>
      <c r="L1354" s="6">
        <v>50</v>
      </c>
      <c r="M1354" s="10">
        <f t="shared" si="63"/>
        <v>4</v>
      </c>
      <c r="N1354" s="10">
        <f t="shared" si="64"/>
        <v>4</v>
      </c>
      <c r="O1354" s="6" t="s">
        <v>346</v>
      </c>
      <c r="P1354" s="6">
        <v>0</v>
      </c>
      <c r="Q1354" s="6">
        <v>0</v>
      </c>
      <c r="R1354" s="6">
        <v>0</v>
      </c>
      <c r="S1354" s="6">
        <v>0</v>
      </c>
      <c r="T1354" s="6" t="str">
        <f t="shared" si="65"/>
        <v>Segunda</v>
      </c>
    </row>
    <row r="1355" spans="1:20">
      <c r="A1355" s="7" t="s">
        <v>2790</v>
      </c>
      <c r="B1355" s="7" t="s">
        <v>526</v>
      </c>
      <c r="C1355" s="8">
        <v>1</v>
      </c>
      <c r="D1355" s="7" t="s">
        <v>2790</v>
      </c>
      <c r="E1355" s="7" t="s">
        <v>2858</v>
      </c>
      <c r="F1355">
        <v>1662</v>
      </c>
      <c r="G1355" s="6">
        <v>411</v>
      </c>
      <c r="H1355" s="11" t="s">
        <v>2859</v>
      </c>
      <c r="I1355" s="6">
        <v>40</v>
      </c>
      <c r="J1355" s="6">
        <v>1</v>
      </c>
      <c r="K1355" s="6">
        <v>0</v>
      </c>
      <c r="L1355" s="6">
        <v>0</v>
      </c>
      <c r="M1355" s="10">
        <f t="shared" si="63"/>
        <v>0</v>
      </c>
      <c r="N1355" s="10">
        <f t="shared" si="64"/>
        <v>0</v>
      </c>
      <c r="O1355" s="6" t="s">
        <v>347</v>
      </c>
      <c r="P1355" s="6">
        <v>0</v>
      </c>
      <c r="Q1355" s="6">
        <v>0</v>
      </c>
      <c r="R1355" s="6">
        <v>0</v>
      </c>
      <c r="S1355" s="6">
        <v>0</v>
      </c>
      <c r="T1355" s="6" t="str">
        <f t="shared" si="65"/>
        <v>Tercera</v>
      </c>
    </row>
    <row r="1356" spans="1:20">
      <c r="A1356" s="7" t="s">
        <v>2790</v>
      </c>
      <c r="B1356" s="7" t="s">
        <v>526</v>
      </c>
      <c r="C1356" s="8">
        <v>1</v>
      </c>
      <c r="D1356" s="7" t="s">
        <v>2790</v>
      </c>
      <c r="E1356" s="7" t="s">
        <v>2851</v>
      </c>
      <c r="F1356">
        <v>1166</v>
      </c>
      <c r="G1356" s="6">
        <v>24965</v>
      </c>
      <c r="H1356" s="11" t="s">
        <v>2852</v>
      </c>
      <c r="I1356" s="6">
        <v>65</v>
      </c>
      <c r="J1356" s="6">
        <v>4</v>
      </c>
      <c r="K1356" s="6">
        <v>16</v>
      </c>
      <c r="L1356" s="6">
        <v>76</v>
      </c>
      <c r="M1356" s="10">
        <f t="shared" si="63"/>
        <v>21.05263157894737</v>
      </c>
      <c r="N1356" s="10">
        <f t="shared" si="64"/>
        <v>22</v>
      </c>
      <c r="O1356" s="6" t="s">
        <v>135</v>
      </c>
      <c r="P1356" s="6">
        <v>1</v>
      </c>
      <c r="Q1356" s="6">
        <v>0</v>
      </c>
      <c r="R1356" s="6">
        <v>1</v>
      </c>
      <c r="S1356" s="6">
        <v>2</v>
      </c>
      <c r="T1356" s="6" t="str">
        <f t="shared" si="65"/>
        <v>Sexta</v>
      </c>
    </row>
    <row r="1357" spans="1:20">
      <c r="A1357" s="7" t="s">
        <v>2860</v>
      </c>
      <c r="B1357" s="7" t="s">
        <v>434</v>
      </c>
      <c r="C1357" s="8">
        <v>1</v>
      </c>
      <c r="D1357" s="7" t="s">
        <v>2861</v>
      </c>
      <c r="E1357" s="7" t="s">
        <v>2862</v>
      </c>
      <c r="F1357">
        <v>2070</v>
      </c>
      <c r="G1357" s="6">
        <v>5163</v>
      </c>
      <c r="H1357" s="11" t="s">
        <v>2863</v>
      </c>
      <c r="I1357" s="6">
        <v>28</v>
      </c>
      <c r="J1357" s="6">
        <v>71</v>
      </c>
      <c r="K1357" s="6">
        <v>169</v>
      </c>
      <c r="L1357" s="6">
        <v>51</v>
      </c>
      <c r="M1357" s="10">
        <f t="shared" si="63"/>
        <v>331.37254901960785</v>
      </c>
      <c r="N1357" s="10">
        <f t="shared" si="64"/>
        <v>332</v>
      </c>
      <c r="O1357" s="6" t="s">
        <v>89</v>
      </c>
      <c r="P1357" s="6">
        <v>6</v>
      </c>
      <c r="Q1357" s="6">
        <v>5</v>
      </c>
      <c r="R1357" s="6">
        <v>5</v>
      </c>
      <c r="S1357" s="6">
        <v>16</v>
      </c>
      <c r="T1357" s="6" t="str">
        <f t="shared" si="65"/>
        <v>Segunda</v>
      </c>
    </row>
    <row r="1358" spans="1:20">
      <c r="A1358" s="7" t="s">
        <v>2860</v>
      </c>
      <c r="B1358" s="7" t="s">
        <v>434</v>
      </c>
      <c r="C1358" s="8">
        <v>1</v>
      </c>
      <c r="D1358" s="7" t="s">
        <v>2861</v>
      </c>
      <c r="E1358" s="7" t="s">
        <v>2864</v>
      </c>
      <c r="F1358">
        <v>2153</v>
      </c>
      <c r="G1358" s="6">
        <v>13475</v>
      </c>
      <c r="H1358" s="11" t="s">
        <v>2865</v>
      </c>
      <c r="I1358" s="6">
        <v>26</v>
      </c>
      <c r="J1358" s="6">
        <v>119</v>
      </c>
      <c r="K1358" s="6">
        <v>327</v>
      </c>
      <c r="L1358" s="6">
        <v>62</v>
      </c>
      <c r="M1358" s="10">
        <f t="shared" si="63"/>
        <v>527.41935483870964</v>
      </c>
      <c r="N1358" s="10">
        <f t="shared" si="64"/>
        <v>528</v>
      </c>
      <c r="O1358" s="6" t="s">
        <v>36</v>
      </c>
      <c r="P1358" s="6">
        <v>13</v>
      </c>
      <c r="Q1358" s="6">
        <v>12</v>
      </c>
      <c r="R1358" s="6">
        <v>11</v>
      </c>
      <c r="S1358" s="6">
        <v>36</v>
      </c>
      <c r="T1358" s="6" t="str">
        <f t="shared" si="65"/>
        <v>Primera</v>
      </c>
    </row>
    <row r="1359" spans="1:20">
      <c r="A1359" s="7" t="s">
        <v>2860</v>
      </c>
      <c r="B1359" s="7" t="s">
        <v>434</v>
      </c>
      <c r="C1359" s="8">
        <v>1</v>
      </c>
      <c r="D1359" s="7" t="s">
        <v>2861</v>
      </c>
      <c r="E1359" s="7" t="s">
        <v>2866</v>
      </c>
      <c r="F1359">
        <v>2160</v>
      </c>
      <c r="G1359" s="6">
        <v>9649</v>
      </c>
      <c r="H1359" s="11" t="s">
        <v>2867</v>
      </c>
      <c r="I1359" s="6">
        <v>27</v>
      </c>
      <c r="J1359" s="6">
        <v>139</v>
      </c>
      <c r="K1359" s="6">
        <v>487</v>
      </c>
      <c r="L1359" s="6">
        <v>59</v>
      </c>
      <c r="M1359" s="10">
        <f t="shared" si="63"/>
        <v>825.42372881355936</v>
      </c>
      <c r="N1359" s="10">
        <f t="shared" si="64"/>
        <v>826</v>
      </c>
      <c r="O1359" s="6" t="s">
        <v>27</v>
      </c>
      <c r="P1359" s="6">
        <v>21</v>
      </c>
      <c r="Q1359" s="6">
        <v>17</v>
      </c>
      <c r="R1359" s="6">
        <v>29</v>
      </c>
      <c r="S1359" s="6">
        <v>67</v>
      </c>
      <c r="T1359" s="6" t="str">
        <f t="shared" si="65"/>
        <v>Primera</v>
      </c>
    </row>
    <row r="1360" spans="1:20">
      <c r="A1360" s="7" t="s">
        <v>2860</v>
      </c>
      <c r="B1360" s="7" t="s">
        <v>434</v>
      </c>
      <c r="C1360" s="8">
        <v>2</v>
      </c>
      <c r="D1360" s="7" t="s">
        <v>2868</v>
      </c>
      <c r="E1360" s="7" t="s">
        <v>2869</v>
      </c>
      <c r="F1360">
        <v>1872</v>
      </c>
      <c r="G1360" s="6">
        <v>18029</v>
      </c>
      <c r="H1360" s="11" t="s">
        <v>2870</v>
      </c>
      <c r="I1360" s="6">
        <v>30</v>
      </c>
      <c r="J1360" s="6">
        <v>106</v>
      </c>
      <c r="K1360" s="6">
        <v>298</v>
      </c>
      <c r="L1360" s="6">
        <v>54</v>
      </c>
      <c r="M1360" s="10">
        <f t="shared" si="63"/>
        <v>551.85185185185185</v>
      </c>
      <c r="N1360" s="10">
        <f t="shared" si="64"/>
        <v>552</v>
      </c>
      <c r="O1360" s="6" t="s">
        <v>19</v>
      </c>
      <c r="P1360" s="6">
        <v>11</v>
      </c>
      <c r="Q1360" s="6">
        <v>13</v>
      </c>
      <c r="R1360" s="6">
        <v>15</v>
      </c>
      <c r="S1360" s="6">
        <v>39</v>
      </c>
      <c r="T1360" s="6" t="str">
        <f t="shared" si="65"/>
        <v>Segunda</v>
      </c>
    </row>
    <row r="1361" spans="1:20">
      <c r="A1361" s="7" t="s">
        <v>2860</v>
      </c>
      <c r="B1361" s="7" t="s">
        <v>434</v>
      </c>
      <c r="C1361" s="8">
        <v>2</v>
      </c>
      <c r="D1361" s="7" t="s">
        <v>2868</v>
      </c>
      <c r="E1361" s="7" t="s">
        <v>2871</v>
      </c>
      <c r="F1361">
        <v>1314</v>
      </c>
      <c r="G1361" s="6">
        <v>18030</v>
      </c>
      <c r="H1361" s="11" t="s">
        <v>2872</v>
      </c>
      <c r="I1361" s="6">
        <v>30</v>
      </c>
      <c r="J1361" s="6">
        <v>90</v>
      </c>
      <c r="K1361" s="6">
        <v>157</v>
      </c>
      <c r="L1361" s="6">
        <v>37</v>
      </c>
      <c r="M1361" s="10">
        <f t="shared" si="63"/>
        <v>424.32432432432432</v>
      </c>
      <c r="N1361" s="10">
        <f t="shared" si="64"/>
        <v>425</v>
      </c>
      <c r="O1361" s="6" t="s">
        <v>207</v>
      </c>
      <c r="P1361" s="6">
        <v>1</v>
      </c>
      <c r="Q1361" s="6">
        <v>4</v>
      </c>
      <c r="R1361" s="6">
        <v>9</v>
      </c>
      <c r="S1361" s="6">
        <v>14</v>
      </c>
      <c r="T1361" s="6" t="str">
        <f t="shared" si="65"/>
        <v>Quinta</v>
      </c>
    </row>
    <row r="1362" spans="1:20">
      <c r="A1362" s="7" t="s">
        <v>2860</v>
      </c>
      <c r="B1362" s="7" t="s">
        <v>781</v>
      </c>
      <c r="C1362" s="8">
        <v>1</v>
      </c>
      <c r="D1362" s="7" t="s">
        <v>2860</v>
      </c>
      <c r="E1362" s="7" t="s">
        <v>2873</v>
      </c>
      <c r="F1362">
        <v>1845</v>
      </c>
      <c r="G1362" s="6">
        <v>9145</v>
      </c>
      <c r="H1362" s="11" t="s">
        <v>2874</v>
      </c>
      <c r="I1362" s="6">
        <v>29</v>
      </c>
      <c r="J1362" s="6">
        <v>68</v>
      </c>
      <c r="K1362" s="6">
        <v>176</v>
      </c>
      <c r="L1362" s="6">
        <v>51</v>
      </c>
      <c r="M1362" s="10">
        <f t="shared" si="63"/>
        <v>345.0980392156863</v>
      </c>
      <c r="N1362" s="10">
        <f t="shared" si="64"/>
        <v>346</v>
      </c>
      <c r="O1362" s="6" t="s">
        <v>348</v>
      </c>
      <c r="P1362" s="6">
        <v>6</v>
      </c>
      <c r="Q1362" s="6">
        <v>5</v>
      </c>
      <c r="R1362" s="6">
        <v>10</v>
      </c>
      <c r="S1362" s="6">
        <v>21</v>
      </c>
      <c r="T1362" s="6" t="str">
        <f t="shared" si="65"/>
        <v>Segunda</v>
      </c>
    </row>
    <row r="1363" spans="1:20">
      <c r="A1363" s="7" t="s">
        <v>2860</v>
      </c>
      <c r="B1363" s="7" t="s">
        <v>781</v>
      </c>
      <c r="C1363" s="8">
        <v>1</v>
      </c>
      <c r="D1363" s="7" t="s">
        <v>2860</v>
      </c>
      <c r="E1363" s="7" t="s">
        <v>2875</v>
      </c>
      <c r="F1363">
        <v>1847</v>
      </c>
      <c r="G1363" s="6">
        <v>8986</v>
      </c>
      <c r="H1363" s="11" t="s">
        <v>2876</v>
      </c>
      <c r="I1363" s="6">
        <v>28</v>
      </c>
      <c r="J1363" s="6">
        <v>69</v>
      </c>
      <c r="K1363" s="6">
        <v>179</v>
      </c>
      <c r="L1363" s="6">
        <v>51</v>
      </c>
      <c r="M1363" s="10">
        <f t="shared" si="63"/>
        <v>350.98039215686276</v>
      </c>
      <c r="N1363" s="10">
        <f t="shared" si="64"/>
        <v>351</v>
      </c>
      <c r="O1363" s="6" t="s">
        <v>14</v>
      </c>
      <c r="P1363" s="6">
        <v>6</v>
      </c>
      <c r="Q1363" s="6">
        <v>7</v>
      </c>
      <c r="R1363" s="6">
        <v>7</v>
      </c>
      <c r="S1363" s="6">
        <v>20</v>
      </c>
      <c r="T1363" s="6" t="str">
        <f t="shared" si="65"/>
        <v>Segunda</v>
      </c>
    </row>
    <row r="1364" spans="1:20">
      <c r="A1364" s="7" t="s">
        <v>2860</v>
      </c>
      <c r="B1364" s="7" t="s">
        <v>781</v>
      </c>
      <c r="C1364" s="8">
        <v>1</v>
      </c>
      <c r="D1364" s="7" t="s">
        <v>2860</v>
      </c>
      <c r="E1364" s="7" t="s">
        <v>2877</v>
      </c>
      <c r="F1364">
        <v>1761</v>
      </c>
      <c r="G1364" s="6">
        <v>16959</v>
      </c>
      <c r="H1364" s="11" t="s">
        <v>2878</v>
      </c>
      <c r="I1364" s="6">
        <v>21</v>
      </c>
      <c r="J1364" s="6">
        <v>51</v>
      </c>
      <c r="K1364" s="6">
        <v>164</v>
      </c>
      <c r="L1364" s="6">
        <v>62</v>
      </c>
      <c r="M1364" s="10">
        <f t="shared" si="63"/>
        <v>264.51612903225805</v>
      </c>
      <c r="N1364" s="10">
        <f t="shared" si="64"/>
        <v>265</v>
      </c>
      <c r="O1364" s="6" t="s">
        <v>20</v>
      </c>
      <c r="P1364" s="6">
        <v>5</v>
      </c>
      <c r="Q1364" s="6">
        <v>10</v>
      </c>
      <c r="R1364" s="6">
        <v>13</v>
      </c>
      <c r="S1364" s="6">
        <v>28</v>
      </c>
      <c r="T1364" s="6" t="str">
        <f t="shared" si="65"/>
        <v>Tercera</v>
      </c>
    </row>
    <row r="1365" spans="1:20">
      <c r="A1365" s="7" t="s">
        <v>2860</v>
      </c>
      <c r="B1365" s="7" t="s">
        <v>781</v>
      </c>
      <c r="C1365" s="8">
        <v>1</v>
      </c>
      <c r="D1365" s="7" t="s">
        <v>2860</v>
      </c>
      <c r="E1365" s="7" t="s">
        <v>2879</v>
      </c>
      <c r="F1365">
        <v>1461</v>
      </c>
      <c r="G1365" s="6">
        <v>17158</v>
      </c>
      <c r="H1365" s="11" t="s">
        <v>2880</v>
      </c>
      <c r="I1365" s="6">
        <v>28</v>
      </c>
      <c r="J1365" s="6">
        <v>248</v>
      </c>
      <c r="K1365" s="6">
        <v>437</v>
      </c>
      <c r="L1365" s="6">
        <v>41</v>
      </c>
      <c r="M1365" s="10">
        <f t="shared" si="63"/>
        <v>1065.8536585365853</v>
      </c>
      <c r="N1365" s="10">
        <f t="shared" si="64"/>
        <v>1066</v>
      </c>
      <c r="O1365" s="6" t="s">
        <v>90</v>
      </c>
      <c r="P1365" s="6">
        <v>1</v>
      </c>
      <c r="Q1365" s="6">
        <v>14</v>
      </c>
      <c r="R1365" s="6">
        <v>28</v>
      </c>
      <c r="S1365" s="6">
        <v>43</v>
      </c>
      <c r="T1365" s="6" t="str">
        <f t="shared" si="65"/>
        <v>Cuarta</v>
      </c>
    </row>
    <row r="1366" spans="1:20">
      <c r="A1366" s="7" t="s">
        <v>2860</v>
      </c>
      <c r="B1366" s="7" t="s">
        <v>781</v>
      </c>
      <c r="C1366" s="8">
        <v>1</v>
      </c>
      <c r="D1366" s="7" t="s">
        <v>2860</v>
      </c>
      <c r="E1366" s="7" t="s">
        <v>2881</v>
      </c>
      <c r="F1366">
        <v>1392</v>
      </c>
      <c r="G1366" s="6">
        <v>12461</v>
      </c>
      <c r="H1366" s="11" t="s">
        <v>2882</v>
      </c>
      <c r="I1366" s="6">
        <v>20</v>
      </c>
      <c r="J1366" s="6">
        <v>14</v>
      </c>
      <c r="K1366" s="6">
        <v>28</v>
      </c>
      <c r="L1366" s="6">
        <v>49</v>
      </c>
      <c r="M1366" s="10">
        <f t="shared" si="63"/>
        <v>57.142857142857146</v>
      </c>
      <c r="N1366" s="10">
        <f t="shared" si="64"/>
        <v>58</v>
      </c>
      <c r="O1366" s="6" t="s">
        <v>349</v>
      </c>
      <c r="P1366" s="6">
        <v>1</v>
      </c>
      <c r="Q1366" s="6">
        <v>0</v>
      </c>
      <c r="R1366" s="6">
        <v>0</v>
      </c>
      <c r="S1366" s="6">
        <v>1</v>
      </c>
      <c r="T1366" s="6" t="str">
        <f t="shared" si="65"/>
        <v>Quinta</v>
      </c>
    </row>
    <row r="1367" spans="1:20">
      <c r="A1367" s="7" t="s">
        <v>2860</v>
      </c>
      <c r="B1367" s="7" t="s">
        <v>483</v>
      </c>
      <c r="C1367" s="8">
        <v>1</v>
      </c>
      <c r="D1367" s="7" t="s">
        <v>2860</v>
      </c>
      <c r="E1367" s="7" t="s">
        <v>2883</v>
      </c>
      <c r="F1367">
        <v>940</v>
      </c>
      <c r="G1367" s="6">
        <v>26528</v>
      </c>
      <c r="H1367" s="11" t="s">
        <v>2884</v>
      </c>
      <c r="I1367" s="6">
        <v>45</v>
      </c>
      <c r="J1367" s="6">
        <v>4</v>
      </c>
      <c r="K1367" s="6">
        <v>3</v>
      </c>
      <c r="L1367" s="6">
        <v>23</v>
      </c>
      <c r="M1367" s="10">
        <f t="shared" si="63"/>
        <v>13.043478260869565</v>
      </c>
      <c r="N1367" s="10">
        <f t="shared" si="64"/>
        <v>14</v>
      </c>
      <c r="O1367" s="6" t="s">
        <v>350</v>
      </c>
      <c r="P1367" s="6">
        <v>0</v>
      </c>
      <c r="Q1367" s="6">
        <v>0</v>
      </c>
      <c r="R1367" s="6">
        <v>0</v>
      </c>
      <c r="S1367" s="6">
        <v>0</v>
      </c>
      <c r="T1367" s="6" t="str">
        <f t="shared" si="65"/>
        <v>Octava</v>
      </c>
    </row>
    <row r="1368" spans="1:20">
      <c r="A1368" s="7" t="s">
        <v>2860</v>
      </c>
      <c r="B1368" s="7" t="s">
        <v>483</v>
      </c>
      <c r="C1368" s="8">
        <v>1</v>
      </c>
      <c r="D1368" s="7" t="s">
        <v>2860</v>
      </c>
      <c r="E1368" s="7" t="s">
        <v>2885</v>
      </c>
      <c r="F1368">
        <v>1615</v>
      </c>
      <c r="G1368" s="6">
        <v>21203</v>
      </c>
      <c r="H1368" s="11" t="s">
        <v>2886</v>
      </c>
      <c r="I1368" s="6">
        <v>27</v>
      </c>
      <c r="J1368" s="6">
        <v>58</v>
      </c>
      <c r="K1368" s="6">
        <v>145</v>
      </c>
      <c r="L1368" s="6">
        <v>47</v>
      </c>
      <c r="M1368" s="10">
        <f t="shared" si="63"/>
        <v>308.51063829787233</v>
      </c>
      <c r="N1368" s="10">
        <f t="shared" si="64"/>
        <v>309</v>
      </c>
      <c r="O1368" s="6" t="s">
        <v>43</v>
      </c>
      <c r="P1368" s="6">
        <v>3</v>
      </c>
      <c r="Q1368" s="6">
        <v>2</v>
      </c>
      <c r="R1368" s="6">
        <v>7</v>
      </c>
      <c r="S1368" s="6">
        <v>12</v>
      </c>
      <c r="T1368" s="6" t="str">
        <f t="shared" si="65"/>
        <v>Tercera</v>
      </c>
    </row>
    <row r="1369" spans="1:20">
      <c r="A1369" s="7" t="s">
        <v>2860</v>
      </c>
      <c r="B1369" s="7" t="s">
        <v>483</v>
      </c>
      <c r="C1369" s="8">
        <v>1</v>
      </c>
      <c r="D1369" s="7" t="s">
        <v>2860</v>
      </c>
      <c r="E1369" s="7" t="s">
        <v>2887</v>
      </c>
      <c r="F1369">
        <v>1650</v>
      </c>
      <c r="G1369" s="6">
        <v>23891</v>
      </c>
      <c r="H1369" s="11" t="s">
        <v>2888</v>
      </c>
      <c r="I1369" s="6">
        <v>36</v>
      </c>
      <c r="J1369" s="6">
        <v>38</v>
      </c>
      <c r="K1369" s="6">
        <v>120</v>
      </c>
      <c r="L1369" s="6">
        <v>67</v>
      </c>
      <c r="M1369" s="10">
        <f t="shared" si="63"/>
        <v>179.1044776119403</v>
      </c>
      <c r="N1369" s="10">
        <f t="shared" si="64"/>
        <v>180</v>
      </c>
      <c r="O1369" s="6" t="s">
        <v>18</v>
      </c>
      <c r="P1369" s="6">
        <v>8</v>
      </c>
      <c r="Q1369" s="6">
        <v>3</v>
      </c>
      <c r="R1369" s="6">
        <v>4</v>
      </c>
      <c r="S1369" s="6">
        <v>15</v>
      </c>
      <c r="T1369" s="6" t="str">
        <f t="shared" si="65"/>
        <v>Tercera</v>
      </c>
    </row>
    <row r="1370" spans="1:20">
      <c r="A1370" s="7" t="s">
        <v>2860</v>
      </c>
      <c r="B1370" s="7" t="s">
        <v>483</v>
      </c>
      <c r="C1370" s="8">
        <v>1</v>
      </c>
      <c r="D1370" s="7" t="s">
        <v>2860</v>
      </c>
      <c r="E1370" s="7" t="s">
        <v>2889</v>
      </c>
      <c r="F1370">
        <v>1543</v>
      </c>
      <c r="G1370" s="6">
        <v>22098</v>
      </c>
      <c r="H1370" s="11" t="s">
        <v>2890</v>
      </c>
      <c r="I1370" s="6">
        <v>34</v>
      </c>
      <c r="J1370" s="6">
        <v>31</v>
      </c>
      <c r="K1370" s="6">
        <v>66</v>
      </c>
      <c r="L1370" s="6">
        <v>47</v>
      </c>
      <c r="M1370" s="10">
        <f t="shared" si="63"/>
        <v>140.42553191489361</v>
      </c>
      <c r="N1370" s="10">
        <f t="shared" si="64"/>
        <v>141</v>
      </c>
      <c r="O1370" s="6" t="s">
        <v>19</v>
      </c>
      <c r="P1370" s="6">
        <v>3</v>
      </c>
      <c r="Q1370" s="6">
        <v>0</v>
      </c>
      <c r="R1370" s="6">
        <v>1</v>
      </c>
      <c r="S1370" s="6">
        <v>4</v>
      </c>
      <c r="T1370" s="6" t="str">
        <f t="shared" si="65"/>
        <v>Cuarta</v>
      </c>
    </row>
    <row r="1371" spans="1:20">
      <c r="A1371" s="7" t="s">
        <v>2860</v>
      </c>
      <c r="B1371" s="7" t="s">
        <v>483</v>
      </c>
      <c r="C1371" s="8">
        <v>1</v>
      </c>
      <c r="D1371" s="7" t="s">
        <v>2860</v>
      </c>
      <c r="E1371" s="7" t="s">
        <v>2879</v>
      </c>
      <c r="F1371">
        <v>1461</v>
      </c>
      <c r="G1371" s="6">
        <v>17158</v>
      </c>
      <c r="H1371" s="11" t="s">
        <v>2880</v>
      </c>
      <c r="I1371" s="6">
        <v>28</v>
      </c>
      <c r="J1371" s="6">
        <v>248</v>
      </c>
      <c r="K1371" s="6">
        <v>437</v>
      </c>
      <c r="L1371" s="6">
        <v>41</v>
      </c>
      <c r="M1371" s="10">
        <f t="shared" si="63"/>
        <v>1065.8536585365853</v>
      </c>
      <c r="N1371" s="10">
        <f t="shared" si="64"/>
        <v>1066</v>
      </c>
      <c r="O1371" s="6" t="s">
        <v>90</v>
      </c>
      <c r="P1371" s="6">
        <v>1</v>
      </c>
      <c r="Q1371" s="6">
        <v>14</v>
      </c>
      <c r="R1371" s="6">
        <v>28</v>
      </c>
      <c r="S1371" s="6">
        <v>43</v>
      </c>
      <c r="T1371" s="6" t="str">
        <f t="shared" si="65"/>
        <v>Cuarta</v>
      </c>
    </row>
    <row r="1372" spans="1:20">
      <c r="A1372" s="7" t="s">
        <v>2860</v>
      </c>
      <c r="B1372" s="7" t="s">
        <v>483</v>
      </c>
      <c r="C1372" s="8">
        <v>1</v>
      </c>
      <c r="D1372" s="7" t="s">
        <v>2860</v>
      </c>
      <c r="E1372" s="7" t="s">
        <v>2891</v>
      </c>
      <c r="F1372">
        <v>1000</v>
      </c>
      <c r="G1372" s="6">
        <v>12920</v>
      </c>
      <c r="H1372" s="11" t="s">
        <v>2892</v>
      </c>
      <c r="I1372" s="6">
        <v>39</v>
      </c>
      <c r="J1372" s="6">
        <v>0</v>
      </c>
      <c r="K1372" s="6">
        <v>0</v>
      </c>
      <c r="L1372" s="6">
        <v>0</v>
      </c>
      <c r="M1372" s="10">
        <f t="shared" si="63"/>
        <v>0</v>
      </c>
      <c r="N1372" s="10">
        <f t="shared" si="64"/>
        <v>0</v>
      </c>
      <c r="P1372" s="6">
        <v>0</v>
      </c>
      <c r="Q1372" s="6">
        <v>0</v>
      </c>
      <c r="R1372" s="6">
        <v>0</v>
      </c>
      <c r="S1372" s="6">
        <v>0</v>
      </c>
      <c r="T1372" s="6" t="str">
        <f t="shared" si="65"/>
        <v>Septima</v>
      </c>
    </row>
    <row r="1373" spans="1:20">
      <c r="A1373" s="7" t="s">
        <v>2860</v>
      </c>
      <c r="B1373" s="7" t="s">
        <v>483</v>
      </c>
      <c r="C1373" s="8">
        <v>1</v>
      </c>
      <c r="D1373" s="7" t="s">
        <v>2860</v>
      </c>
      <c r="E1373" s="7" t="s">
        <v>2893</v>
      </c>
      <c r="F1373">
        <v>1384</v>
      </c>
      <c r="G1373" s="6">
        <v>14688</v>
      </c>
      <c r="H1373" s="11" t="s">
        <v>2894</v>
      </c>
      <c r="I1373" s="6">
        <v>27</v>
      </c>
      <c r="J1373" s="6">
        <v>64</v>
      </c>
      <c r="K1373" s="6">
        <v>157</v>
      </c>
      <c r="L1373" s="6">
        <v>54</v>
      </c>
      <c r="M1373" s="10">
        <f t="shared" si="63"/>
        <v>290.74074074074076</v>
      </c>
      <c r="N1373" s="10">
        <f t="shared" si="64"/>
        <v>291</v>
      </c>
      <c r="O1373" s="6" t="s">
        <v>89</v>
      </c>
      <c r="P1373" s="6">
        <v>6</v>
      </c>
      <c r="Q1373" s="6">
        <v>7</v>
      </c>
      <c r="R1373" s="6">
        <v>7</v>
      </c>
      <c r="S1373" s="6">
        <v>20</v>
      </c>
      <c r="T1373" s="6" t="str">
        <f t="shared" si="65"/>
        <v>Quinta</v>
      </c>
    </row>
    <row r="1374" spans="1:20">
      <c r="A1374" s="7" t="s">
        <v>2860</v>
      </c>
      <c r="B1374" s="7" t="s">
        <v>496</v>
      </c>
      <c r="C1374" s="8">
        <v>1</v>
      </c>
      <c r="D1374" s="7" t="s">
        <v>2860</v>
      </c>
      <c r="E1374" s="7" t="s">
        <v>2879</v>
      </c>
      <c r="F1374">
        <v>1461</v>
      </c>
      <c r="G1374" s="6">
        <v>17158</v>
      </c>
      <c r="H1374" s="11" t="s">
        <v>2880</v>
      </c>
      <c r="I1374" s="6">
        <v>28</v>
      </c>
      <c r="J1374" s="6">
        <v>248</v>
      </c>
      <c r="K1374" s="6">
        <v>437</v>
      </c>
      <c r="L1374" s="6">
        <v>41</v>
      </c>
      <c r="M1374" s="10">
        <f t="shared" si="63"/>
        <v>1065.8536585365853</v>
      </c>
      <c r="N1374" s="10">
        <f t="shared" si="64"/>
        <v>1066</v>
      </c>
      <c r="O1374" s="6" t="s">
        <v>90</v>
      </c>
      <c r="P1374" s="6">
        <v>1</v>
      </c>
      <c r="Q1374" s="6">
        <v>14</v>
      </c>
      <c r="R1374" s="6">
        <v>28</v>
      </c>
      <c r="S1374" s="6">
        <v>43</v>
      </c>
      <c r="T1374" s="6" t="str">
        <f t="shared" si="65"/>
        <v>Cuarta</v>
      </c>
    </row>
    <row r="1375" spans="1:20">
      <c r="A1375" s="7" t="s">
        <v>2860</v>
      </c>
      <c r="B1375" s="7" t="s">
        <v>496</v>
      </c>
      <c r="C1375" s="8">
        <v>1</v>
      </c>
      <c r="D1375" s="7" t="s">
        <v>2860</v>
      </c>
      <c r="E1375" s="7" t="s">
        <v>2891</v>
      </c>
      <c r="F1375">
        <v>1000</v>
      </c>
      <c r="G1375" s="6">
        <v>12920</v>
      </c>
      <c r="H1375" s="11" t="s">
        <v>2892</v>
      </c>
      <c r="I1375" s="6">
        <v>39</v>
      </c>
      <c r="J1375" s="6">
        <v>0</v>
      </c>
      <c r="K1375" s="6">
        <v>0</v>
      </c>
      <c r="L1375" s="6">
        <v>0</v>
      </c>
      <c r="M1375" s="10">
        <f t="shared" si="63"/>
        <v>0</v>
      </c>
      <c r="N1375" s="10">
        <f t="shared" si="64"/>
        <v>0</v>
      </c>
      <c r="P1375" s="6">
        <v>0</v>
      </c>
      <c r="Q1375" s="6">
        <v>0</v>
      </c>
      <c r="R1375" s="6">
        <v>0</v>
      </c>
      <c r="S1375" s="6">
        <v>0</v>
      </c>
      <c r="T1375" s="6" t="str">
        <f t="shared" si="65"/>
        <v>Septima</v>
      </c>
    </row>
    <row r="1376" spans="1:20">
      <c r="A1376" s="7" t="s">
        <v>2860</v>
      </c>
      <c r="B1376" s="7" t="s">
        <v>496</v>
      </c>
      <c r="C1376" s="8">
        <v>1</v>
      </c>
      <c r="D1376" s="7" t="s">
        <v>2860</v>
      </c>
      <c r="E1376" s="7" t="s">
        <v>2895</v>
      </c>
      <c r="F1376">
        <v>1422</v>
      </c>
      <c r="G1376" s="6">
        <v>13606</v>
      </c>
      <c r="H1376" s="11" t="s">
        <v>2896</v>
      </c>
      <c r="I1376" s="6">
        <v>34</v>
      </c>
      <c r="J1376" s="6">
        <v>25</v>
      </c>
      <c r="K1376" s="6">
        <v>59</v>
      </c>
      <c r="L1376" s="6">
        <v>59</v>
      </c>
      <c r="M1376" s="10">
        <f t="shared" si="63"/>
        <v>100</v>
      </c>
      <c r="N1376" s="10">
        <f t="shared" si="64"/>
        <v>100</v>
      </c>
      <c r="O1376" s="6" t="s">
        <v>145</v>
      </c>
      <c r="P1376" s="6">
        <v>3</v>
      </c>
      <c r="Q1376" s="6">
        <v>1</v>
      </c>
      <c r="R1376" s="6">
        <v>2</v>
      </c>
      <c r="S1376" s="6">
        <v>6</v>
      </c>
      <c r="T1376" s="6" t="str">
        <f t="shared" si="65"/>
        <v>Cuarta</v>
      </c>
    </row>
    <row r="1377" spans="1:20">
      <c r="A1377" s="7" t="s">
        <v>2860</v>
      </c>
      <c r="B1377" s="7" t="s">
        <v>496</v>
      </c>
      <c r="C1377" s="8">
        <v>1</v>
      </c>
      <c r="D1377" s="7" t="s">
        <v>2860</v>
      </c>
      <c r="E1377" s="7" t="s">
        <v>2893</v>
      </c>
      <c r="F1377">
        <v>1384</v>
      </c>
      <c r="G1377" s="6">
        <v>14688</v>
      </c>
      <c r="H1377" s="11" t="s">
        <v>2894</v>
      </c>
      <c r="I1377" s="6">
        <v>27</v>
      </c>
      <c r="J1377" s="6">
        <v>64</v>
      </c>
      <c r="K1377" s="6">
        <v>157</v>
      </c>
      <c r="L1377" s="6">
        <v>54</v>
      </c>
      <c r="M1377" s="10">
        <f t="shared" si="63"/>
        <v>290.74074074074076</v>
      </c>
      <c r="N1377" s="10">
        <f t="shared" si="64"/>
        <v>291</v>
      </c>
      <c r="O1377" s="6" t="s">
        <v>89</v>
      </c>
      <c r="P1377" s="6">
        <v>6</v>
      </c>
      <c r="Q1377" s="6">
        <v>7</v>
      </c>
      <c r="R1377" s="6">
        <v>7</v>
      </c>
      <c r="S1377" s="6">
        <v>20</v>
      </c>
      <c r="T1377" s="6" t="str">
        <f t="shared" si="65"/>
        <v>Quinta</v>
      </c>
    </row>
    <row r="1378" spans="1:20">
      <c r="A1378" s="7" t="s">
        <v>2860</v>
      </c>
      <c r="B1378" s="7" t="s">
        <v>496</v>
      </c>
      <c r="C1378" s="8">
        <v>1</v>
      </c>
      <c r="D1378" s="7" t="s">
        <v>2860</v>
      </c>
      <c r="E1378" s="7" t="s">
        <v>2897</v>
      </c>
      <c r="F1378">
        <v>1260</v>
      </c>
      <c r="G1378" s="6">
        <v>20835</v>
      </c>
      <c r="H1378" s="11" t="s">
        <v>2898</v>
      </c>
      <c r="I1378" s="6">
        <v>24</v>
      </c>
      <c r="J1378" s="6">
        <v>2</v>
      </c>
      <c r="K1378" s="6">
        <v>0</v>
      </c>
      <c r="L1378" s="6">
        <v>0</v>
      </c>
      <c r="M1378" s="10">
        <f t="shared" si="63"/>
        <v>0</v>
      </c>
      <c r="N1378" s="10">
        <f t="shared" si="64"/>
        <v>0</v>
      </c>
      <c r="O1378" s="6" t="s">
        <v>122</v>
      </c>
      <c r="P1378" s="6">
        <v>0</v>
      </c>
      <c r="Q1378" s="6">
        <v>0</v>
      </c>
      <c r="R1378" s="6">
        <v>0</v>
      </c>
      <c r="S1378" s="6">
        <v>0</v>
      </c>
      <c r="T1378" s="6" t="str">
        <f t="shared" si="65"/>
        <v>Quinta</v>
      </c>
    </row>
    <row r="1379" spans="1:20">
      <c r="A1379" s="7" t="s">
        <v>2860</v>
      </c>
      <c r="B1379" s="7" t="s">
        <v>496</v>
      </c>
      <c r="C1379" s="8">
        <v>1</v>
      </c>
      <c r="D1379" s="7" t="s">
        <v>2860</v>
      </c>
      <c r="E1379" s="7" t="s">
        <v>2899</v>
      </c>
      <c r="F1379">
        <v>1191</v>
      </c>
      <c r="G1379" s="6">
        <v>28266</v>
      </c>
      <c r="H1379" s="11" t="s">
        <v>2900</v>
      </c>
      <c r="I1379" s="6">
        <v>25</v>
      </c>
      <c r="J1379" s="6">
        <v>15</v>
      </c>
      <c r="K1379" s="6">
        <v>35</v>
      </c>
      <c r="L1379" s="6">
        <v>53</v>
      </c>
      <c r="M1379" s="10">
        <f t="shared" si="63"/>
        <v>66.037735849056602</v>
      </c>
      <c r="N1379" s="10">
        <f t="shared" si="64"/>
        <v>67</v>
      </c>
      <c r="O1379" s="6" t="s">
        <v>37</v>
      </c>
      <c r="P1379" s="6">
        <v>1</v>
      </c>
      <c r="Q1379" s="6">
        <v>1</v>
      </c>
      <c r="R1379" s="6">
        <v>2</v>
      </c>
      <c r="S1379" s="6">
        <v>4</v>
      </c>
      <c r="T1379" s="6" t="str">
        <f t="shared" si="65"/>
        <v>Sexta</v>
      </c>
    </row>
    <row r="1380" spans="1:20">
      <c r="A1380" s="7" t="s">
        <v>2860</v>
      </c>
      <c r="B1380" s="7" t="s">
        <v>496</v>
      </c>
      <c r="C1380" s="8">
        <v>1</v>
      </c>
      <c r="D1380" s="7" t="s">
        <v>2860</v>
      </c>
      <c r="E1380" s="7" t="s">
        <v>2901</v>
      </c>
      <c r="F1380">
        <v>1401</v>
      </c>
      <c r="G1380" s="6">
        <v>22242</v>
      </c>
      <c r="H1380" s="11" t="s">
        <v>2902</v>
      </c>
      <c r="I1380" s="6">
        <v>19</v>
      </c>
      <c r="J1380" s="6">
        <v>127</v>
      </c>
      <c r="K1380" s="6">
        <v>204</v>
      </c>
      <c r="L1380" s="6">
        <v>40</v>
      </c>
      <c r="M1380" s="10">
        <f t="shared" si="63"/>
        <v>510</v>
      </c>
      <c r="N1380" s="10">
        <f t="shared" si="64"/>
        <v>510</v>
      </c>
      <c r="O1380" s="6" t="s">
        <v>226</v>
      </c>
      <c r="P1380" s="6">
        <v>5</v>
      </c>
      <c r="Q1380" s="6">
        <v>10</v>
      </c>
      <c r="R1380" s="6">
        <v>16</v>
      </c>
      <c r="S1380" s="6">
        <v>31</v>
      </c>
      <c r="T1380" s="6" t="str">
        <f t="shared" si="65"/>
        <v>Cuarta</v>
      </c>
    </row>
    <row r="1381" spans="1:20">
      <c r="A1381" s="7" t="s">
        <v>2860</v>
      </c>
      <c r="B1381" s="7" t="s">
        <v>507</v>
      </c>
      <c r="C1381" s="8">
        <v>1</v>
      </c>
      <c r="D1381" s="7" t="s">
        <v>2861</v>
      </c>
      <c r="E1381" s="7" t="s">
        <v>2881</v>
      </c>
      <c r="F1381">
        <v>1392</v>
      </c>
      <c r="G1381" s="6">
        <v>12461</v>
      </c>
      <c r="H1381" s="11" t="s">
        <v>2882</v>
      </c>
      <c r="I1381" s="6">
        <v>20</v>
      </c>
      <c r="J1381" s="6">
        <v>14</v>
      </c>
      <c r="K1381" s="6">
        <v>28</v>
      </c>
      <c r="L1381" s="6">
        <v>49</v>
      </c>
      <c r="M1381" s="10">
        <f t="shared" si="63"/>
        <v>57.142857142857146</v>
      </c>
      <c r="N1381" s="10">
        <f t="shared" si="64"/>
        <v>58</v>
      </c>
      <c r="O1381" s="6" t="s">
        <v>349</v>
      </c>
      <c r="P1381" s="6">
        <v>1</v>
      </c>
      <c r="Q1381" s="6">
        <v>0</v>
      </c>
      <c r="R1381" s="6">
        <v>0</v>
      </c>
      <c r="S1381" s="6">
        <v>1</v>
      </c>
      <c r="T1381" s="6" t="str">
        <f t="shared" si="65"/>
        <v>Quinta</v>
      </c>
    </row>
    <row r="1382" spans="1:20">
      <c r="A1382" s="7" t="s">
        <v>2860</v>
      </c>
      <c r="B1382" s="7" t="s">
        <v>507</v>
      </c>
      <c r="C1382" s="8">
        <v>1</v>
      </c>
      <c r="D1382" s="7" t="s">
        <v>2861</v>
      </c>
      <c r="E1382" s="7" t="s">
        <v>2897</v>
      </c>
      <c r="F1382">
        <v>1260</v>
      </c>
      <c r="G1382" s="6">
        <v>20835</v>
      </c>
      <c r="H1382" s="11" t="s">
        <v>2898</v>
      </c>
      <c r="I1382" s="6">
        <v>24</v>
      </c>
      <c r="J1382" s="6">
        <v>2</v>
      </c>
      <c r="K1382" s="6">
        <v>0</v>
      </c>
      <c r="L1382" s="6">
        <v>0</v>
      </c>
      <c r="M1382" s="10">
        <f t="shared" si="63"/>
        <v>0</v>
      </c>
      <c r="N1382" s="10">
        <f t="shared" si="64"/>
        <v>0</v>
      </c>
      <c r="O1382" s="6" t="s">
        <v>122</v>
      </c>
      <c r="P1382" s="6">
        <v>0</v>
      </c>
      <c r="Q1382" s="6">
        <v>0</v>
      </c>
      <c r="R1382" s="6">
        <v>0</v>
      </c>
      <c r="S1382" s="6">
        <v>0</v>
      </c>
      <c r="T1382" s="6" t="str">
        <f t="shared" si="65"/>
        <v>Quinta</v>
      </c>
    </row>
    <row r="1383" spans="1:20">
      <c r="A1383" s="7" t="s">
        <v>2860</v>
      </c>
      <c r="B1383" s="7" t="s">
        <v>507</v>
      </c>
      <c r="C1383" s="8">
        <v>1</v>
      </c>
      <c r="D1383" s="7" t="s">
        <v>2861</v>
      </c>
      <c r="E1383" s="7" t="s">
        <v>2903</v>
      </c>
      <c r="F1383">
        <v>1372</v>
      </c>
      <c r="G1383" s="6">
        <v>6177</v>
      </c>
      <c r="H1383" s="11" t="s">
        <v>2904</v>
      </c>
      <c r="I1383" s="6">
        <v>62</v>
      </c>
      <c r="J1383" s="6">
        <v>1</v>
      </c>
      <c r="K1383" s="6">
        <v>0</v>
      </c>
      <c r="L1383" s="6">
        <v>0</v>
      </c>
      <c r="M1383" s="10">
        <f t="shared" si="63"/>
        <v>0</v>
      </c>
      <c r="N1383" s="10">
        <f t="shared" si="64"/>
        <v>0</v>
      </c>
      <c r="O1383" s="6" t="s">
        <v>99</v>
      </c>
      <c r="P1383" s="6">
        <v>0</v>
      </c>
      <c r="Q1383" s="6">
        <v>0</v>
      </c>
      <c r="R1383" s="6">
        <v>0</v>
      </c>
      <c r="S1383" s="6">
        <v>0</v>
      </c>
      <c r="T1383" s="6" t="str">
        <f t="shared" si="65"/>
        <v>Quinta</v>
      </c>
    </row>
    <row r="1384" spans="1:20">
      <c r="A1384" s="7" t="s">
        <v>2860</v>
      </c>
      <c r="B1384" s="7" t="s">
        <v>507</v>
      </c>
      <c r="C1384" s="8">
        <v>1</v>
      </c>
      <c r="D1384" s="7" t="s">
        <v>2861</v>
      </c>
      <c r="E1384" s="7" t="s">
        <v>2905</v>
      </c>
      <c r="F1384">
        <v>1383</v>
      </c>
      <c r="G1384" s="6">
        <v>15302</v>
      </c>
      <c r="H1384" s="11" t="s">
        <v>2906</v>
      </c>
      <c r="I1384" s="6">
        <v>27</v>
      </c>
      <c r="J1384" s="6">
        <v>13</v>
      </c>
      <c r="K1384" s="6">
        <v>27</v>
      </c>
      <c r="L1384" s="6">
        <v>50</v>
      </c>
      <c r="M1384" s="10">
        <f t="shared" si="63"/>
        <v>54</v>
      </c>
      <c r="N1384" s="10">
        <f t="shared" si="64"/>
        <v>54</v>
      </c>
      <c r="O1384" s="6" t="s">
        <v>351</v>
      </c>
      <c r="P1384" s="6">
        <v>2</v>
      </c>
      <c r="Q1384" s="6">
        <v>0</v>
      </c>
      <c r="R1384" s="6">
        <v>1</v>
      </c>
      <c r="S1384" s="6">
        <v>3</v>
      </c>
      <c r="T1384" s="6" t="str">
        <f t="shared" si="65"/>
        <v>Quinta</v>
      </c>
    </row>
    <row r="1385" spans="1:20">
      <c r="A1385" s="7" t="s">
        <v>2860</v>
      </c>
      <c r="B1385" s="7" t="s">
        <v>507</v>
      </c>
      <c r="C1385" s="8">
        <v>1</v>
      </c>
      <c r="D1385" s="7" t="s">
        <v>2861</v>
      </c>
      <c r="E1385" s="7" t="s">
        <v>2907</v>
      </c>
      <c r="F1385">
        <v>1123</v>
      </c>
      <c r="G1385" s="6">
        <v>16665</v>
      </c>
      <c r="H1385" s="11" t="s">
        <v>2908</v>
      </c>
      <c r="I1385" s="6">
        <v>33</v>
      </c>
      <c r="J1385" s="6">
        <v>56</v>
      </c>
      <c r="K1385" s="6">
        <v>107</v>
      </c>
      <c r="L1385" s="6">
        <v>49</v>
      </c>
      <c r="M1385" s="10">
        <f t="shared" si="63"/>
        <v>218.36734693877551</v>
      </c>
      <c r="N1385" s="10">
        <f t="shared" si="64"/>
        <v>219</v>
      </c>
      <c r="O1385" s="6" t="s">
        <v>28</v>
      </c>
      <c r="P1385" s="6">
        <v>3</v>
      </c>
      <c r="Q1385" s="6">
        <v>2</v>
      </c>
      <c r="R1385" s="6">
        <v>9</v>
      </c>
      <c r="S1385" s="6">
        <v>14</v>
      </c>
      <c r="T1385" s="6" t="str">
        <f t="shared" si="65"/>
        <v>Sexta</v>
      </c>
    </row>
    <row r="1386" spans="1:20">
      <c r="A1386" s="7" t="s">
        <v>2860</v>
      </c>
      <c r="B1386" s="7" t="s">
        <v>507</v>
      </c>
      <c r="C1386" s="8">
        <v>1</v>
      </c>
      <c r="D1386" s="7" t="s">
        <v>2861</v>
      </c>
      <c r="E1386" s="7" t="s">
        <v>2909</v>
      </c>
      <c r="F1386">
        <v>1007</v>
      </c>
      <c r="G1386" s="6">
        <v>29448</v>
      </c>
      <c r="H1386" s="11" t="s">
        <v>2910</v>
      </c>
      <c r="I1386" s="6">
        <v>33</v>
      </c>
      <c r="J1386" s="6">
        <v>2</v>
      </c>
      <c r="K1386" s="6">
        <v>4</v>
      </c>
      <c r="L1386" s="6">
        <v>50</v>
      </c>
      <c r="M1386" s="10">
        <f t="shared" si="63"/>
        <v>8</v>
      </c>
      <c r="N1386" s="10">
        <f t="shared" si="64"/>
        <v>8</v>
      </c>
      <c r="O1386" s="6" t="s">
        <v>12</v>
      </c>
      <c r="P1386" s="6">
        <v>0</v>
      </c>
      <c r="Q1386" s="6">
        <v>0</v>
      </c>
      <c r="R1386" s="6">
        <v>0</v>
      </c>
      <c r="S1386" s="6">
        <v>0</v>
      </c>
      <c r="T1386" s="6" t="str">
        <f t="shared" si="65"/>
        <v>Septima</v>
      </c>
    </row>
    <row r="1387" spans="1:20">
      <c r="A1387" s="7" t="s">
        <v>2860</v>
      </c>
      <c r="B1387" s="7" t="s">
        <v>507</v>
      </c>
      <c r="C1387" s="8">
        <v>1</v>
      </c>
      <c r="D1387" s="7" t="s">
        <v>2861</v>
      </c>
      <c r="E1387" s="7" t="s">
        <v>2911</v>
      </c>
      <c r="F1387">
        <v>1683</v>
      </c>
      <c r="G1387" s="6">
        <v>474</v>
      </c>
      <c r="H1387" s="11" t="s">
        <v>2912</v>
      </c>
      <c r="I1387" s="6">
        <v>46</v>
      </c>
      <c r="J1387" s="6">
        <v>3</v>
      </c>
      <c r="K1387" s="6">
        <v>7</v>
      </c>
      <c r="L1387" s="6">
        <v>50</v>
      </c>
      <c r="M1387" s="10">
        <f t="shared" si="63"/>
        <v>14</v>
      </c>
      <c r="N1387" s="10">
        <f t="shared" si="64"/>
        <v>14</v>
      </c>
      <c r="O1387" s="6" t="s">
        <v>352</v>
      </c>
      <c r="P1387" s="6">
        <v>0</v>
      </c>
      <c r="Q1387" s="6">
        <v>1</v>
      </c>
      <c r="R1387" s="6">
        <v>0</v>
      </c>
      <c r="S1387" s="6">
        <v>1</v>
      </c>
      <c r="T1387" s="6" t="str">
        <f t="shared" si="65"/>
        <v>Tercera</v>
      </c>
    </row>
    <row r="1388" spans="1:20">
      <c r="A1388" s="7" t="s">
        <v>2860</v>
      </c>
      <c r="B1388" s="7" t="s">
        <v>507</v>
      </c>
      <c r="C1388" s="8">
        <v>1</v>
      </c>
      <c r="D1388" s="7" t="s">
        <v>2861</v>
      </c>
      <c r="E1388" s="7" t="s">
        <v>2913</v>
      </c>
      <c r="F1388">
        <v>902</v>
      </c>
      <c r="G1388" s="6">
        <v>28219</v>
      </c>
      <c r="H1388" s="11" t="s">
        <v>2914</v>
      </c>
      <c r="I1388" s="6">
        <v>20</v>
      </c>
      <c r="J1388" s="6">
        <v>3</v>
      </c>
      <c r="K1388" s="6">
        <v>1</v>
      </c>
      <c r="L1388" s="6">
        <v>10</v>
      </c>
      <c r="M1388" s="10">
        <f t="shared" si="63"/>
        <v>10</v>
      </c>
      <c r="N1388" s="10">
        <f t="shared" si="64"/>
        <v>10</v>
      </c>
      <c r="O1388" s="6" t="s">
        <v>18</v>
      </c>
      <c r="P1388" s="6">
        <v>0</v>
      </c>
      <c r="Q1388" s="6">
        <v>0</v>
      </c>
      <c r="R1388" s="6">
        <v>0</v>
      </c>
      <c r="S1388" s="6">
        <v>0</v>
      </c>
      <c r="T1388" s="6" t="str">
        <f t="shared" si="65"/>
        <v>Octava</v>
      </c>
    </row>
    <row r="1389" spans="1:20">
      <c r="A1389" s="7" t="s">
        <v>2860</v>
      </c>
      <c r="B1389" s="7" t="s">
        <v>507</v>
      </c>
      <c r="C1389" s="8">
        <v>2</v>
      </c>
      <c r="D1389" s="7" t="s">
        <v>2868</v>
      </c>
      <c r="E1389" s="7" t="s">
        <v>2915</v>
      </c>
      <c r="F1389">
        <v>1325</v>
      </c>
      <c r="G1389" s="6">
        <v>16767</v>
      </c>
      <c r="H1389" s="11" t="s">
        <v>2916</v>
      </c>
      <c r="I1389" s="6">
        <v>60</v>
      </c>
      <c r="J1389" s="6">
        <v>95</v>
      </c>
      <c r="K1389" s="6">
        <v>192</v>
      </c>
      <c r="L1389" s="6">
        <v>50</v>
      </c>
      <c r="M1389" s="10">
        <f t="shared" si="63"/>
        <v>384</v>
      </c>
      <c r="N1389" s="10">
        <f t="shared" si="64"/>
        <v>384</v>
      </c>
      <c r="O1389" s="6" t="s">
        <v>18</v>
      </c>
      <c r="P1389" s="6">
        <v>2</v>
      </c>
      <c r="Q1389" s="6">
        <v>1</v>
      </c>
      <c r="R1389" s="6">
        <v>13</v>
      </c>
      <c r="S1389" s="6">
        <v>16</v>
      </c>
      <c r="T1389" s="6" t="str">
        <f t="shared" si="65"/>
        <v>Quinta</v>
      </c>
    </row>
    <row r="1390" spans="1:20">
      <c r="A1390" s="7" t="s">
        <v>2860</v>
      </c>
      <c r="B1390" s="7" t="s">
        <v>507</v>
      </c>
      <c r="C1390" s="8">
        <v>2</v>
      </c>
      <c r="D1390" s="7" t="s">
        <v>2868</v>
      </c>
      <c r="E1390" s="7" t="s">
        <v>2899</v>
      </c>
      <c r="F1390">
        <v>1191</v>
      </c>
      <c r="G1390" s="6">
        <v>28266</v>
      </c>
      <c r="H1390" s="11" t="s">
        <v>2900</v>
      </c>
      <c r="I1390" s="6">
        <v>25</v>
      </c>
      <c r="J1390" s="6">
        <v>15</v>
      </c>
      <c r="K1390" s="6">
        <v>35</v>
      </c>
      <c r="L1390" s="6">
        <v>53</v>
      </c>
      <c r="M1390" s="10">
        <f t="shared" si="63"/>
        <v>66.037735849056602</v>
      </c>
      <c r="N1390" s="10">
        <f t="shared" si="64"/>
        <v>67</v>
      </c>
      <c r="O1390" s="6" t="s">
        <v>37</v>
      </c>
      <c r="P1390" s="6">
        <v>1</v>
      </c>
      <c r="Q1390" s="6">
        <v>1</v>
      </c>
      <c r="R1390" s="6">
        <v>2</v>
      </c>
      <c r="S1390" s="6">
        <v>4</v>
      </c>
      <c r="T1390" s="6" t="str">
        <f t="shared" si="65"/>
        <v>Sexta</v>
      </c>
    </row>
    <row r="1391" spans="1:20">
      <c r="A1391" s="7" t="s">
        <v>2860</v>
      </c>
      <c r="B1391" s="7" t="s">
        <v>507</v>
      </c>
      <c r="C1391" s="8">
        <v>2</v>
      </c>
      <c r="D1391" s="7" t="s">
        <v>2868</v>
      </c>
      <c r="E1391" s="7" t="s">
        <v>2917</v>
      </c>
      <c r="F1391">
        <v>1000</v>
      </c>
      <c r="G1391" s="6">
        <v>3256</v>
      </c>
      <c r="H1391" s="11" t="s">
        <v>2918</v>
      </c>
      <c r="I1391" s="6">
        <v>52</v>
      </c>
      <c r="J1391" s="6">
        <v>0</v>
      </c>
      <c r="K1391" s="6">
        <v>0</v>
      </c>
      <c r="L1391" s="6">
        <v>0</v>
      </c>
      <c r="M1391" s="10">
        <f t="shared" si="63"/>
        <v>0</v>
      </c>
      <c r="N1391" s="10">
        <f t="shared" si="64"/>
        <v>0</v>
      </c>
      <c r="P1391" s="6">
        <v>0</v>
      </c>
      <c r="Q1391" s="6">
        <v>0</v>
      </c>
      <c r="R1391" s="6">
        <v>0</v>
      </c>
      <c r="S1391" s="6">
        <v>0</v>
      </c>
      <c r="T1391" s="6" t="str">
        <f t="shared" si="65"/>
        <v>Septima</v>
      </c>
    </row>
    <row r="1392" spans="1:20">
      <c r="A1392" s="7" t="s">
        <v>2860</v>
      </c>
      <c r="B1392" s="7" t="s">
        <v>507</v>
      </c>
      <c r="C1392" s="8">
        <v>2</v>
      </c>
      <c r="D1392" s="7" t="s">
        <v>2868</v>
      </c>
      <c r="E1392" s="7" t="s">
        <v>2919</v>
      </c>
      <c r="F1392">
        <v>1000</v>
      </c>
      <c r="G1392" s="6">
        <v>3076</v>
      </c>
      <c r="H1392" s="11" t="s">
        <v>2920</v>
      </c>
      <c r="I1392" s="6">
        <v>30</v>
      </c>
      <c r="J1392" s="6">
        <v>0</v>
      </c>
      <c r="K1392" s="6">
        <v>0</v>
      </c>
      <c r="L1392" s="6">
        <v>0</v>
      </c>
      <c r="M1392" s="10">
        <f t="shared" si="63"/>
        <v>0</v>
      </c>
      <c r="N1392" s="10">
        <f t="shared" si="64"/>
        <v>0</v>
      </c>
      <c r="P1392" s="6">
        <v>0</v>
      </c>
      <c r="Q1392" s="6">
        <v>0</v>
      </c>
      <c r="R1392" s="6">
        <v>0</v>
      </c>
      <c r="S1392" s="6">
        <v>0</v>
      </c>
      <c r="T1392" s="6" t="str">
        <f t="shared" si="65"/>
        <v>Septima</v>
      </c>
    </row>
    <row r="1393" spans="1:20">
      <c r="A1393" s="7" t="s">
        <v>2860</v>
      </c>
      <c r="B1393" s="7" t="s">
        <v>507</v>
      </c>
      <c r="C1393" s="8">
        <v>2</v>
      </c>
      <c r="D1393" s="7" t="s">
        <v>2868</v>
      </c>
      <c r="E1393" s="7" t="s">
        <v>2921</v>
      </c>
      <c r="F1393">
        <v>1255</v>
      </c>
      <c r="G1393" s="6">
        <v>14658</v>
      </c>
      <c r="H1393" s="11" t="s">
        <v>2922</v>
      </c>
      <c r="I1393" s="6">
        <v>22</v>
      </c>
      <c r="J1393" s="6">
        <v>1</v>
      </c>
      <c r="K1393" s="6">
        <v>2</v>
      </c>
      <c r="L1393" s="6">
        <v>40</v>
      </c>
      <c r="M1393" s="10">
        <f t="shared" si="63"/>
        <v>5</v>
      </c>
      <c r="N1393" s="10">
        <f t="shared" si="64"/>
        <v>5</v>
      </c>
      <c r="O1393" s="6" t="s">
        <v>353</v>
      </c>
      <c r="P1393" s="6">
        <v>0</v>
      </c>
      <c r="Q1393" s="6">
        <v>0</v>
      </c>
      <c r="R1393" s="6">
        <v>0</v>
      </c>
      <c r="S1393" s="6">
        <v>0</v>
      </c>
      <c r="T1393" s="6" t="str">
        <f t="shared" si="65"/>
        <v>Quinta</v>
      </c>
    </row>
    <row r="1394" spans="1:20">
      <c r="A1394" s="7" t="s">
        <v>2860</v>
      </c>
      <c r="B1394" s="7" t="s">
        <v>507</v>
      </c>
      <c r="C1394" s="8">
        <v>2</v>
      </c>
      <c r="D1394" s="7" t="s">
        <v>2868</v>
      </c>
      <c r="E1394" s="7" t="s">
        <v>2923</v>
      </c>
      <c r="F1394">
        <v>950</v>
      </c>
      <c r="G1394" s="6">
        <v>24775</v>
      </c>
      <c r="H1394" s="11" t="s">
        <v>2924</v>
      </c>
      <c r="I1394" s="6">
        <v>66</v>
      </c>
      <c r="J1394" s="6">
        <v>18</v>
      </c>
      <c r="K1394" s="6">
        <v>23</v>
      </c>
      <c r="L1394" s="6">
        <v>35</v>
      </c>
      <c r="M1394" s="10">
        <f t="shared" si="63"/>
        <v>65.714285714285708</v>
      </c>
      <c r="N1394" s="10">
        <f t="shared" si="64"/>
        <v>66</v>
      </c>
      <c r="O1394" s="6" t="s">
        <v>12</v>
      </c>
      <c r="P1394" s="6">
        <v>0</v>
      </c>
      <c r="Q1394" s="6">
        <v>0</v>
      </c>
      <c r="R1394" s="6">
        <v>1</v>
      </c>
      <c r="S1394" s="6">
        <v>1</v>
      </c>
      <c r="T1394" s="6" t="str">
        <f t="shared" si="65"/>
        <v>Octava</v>
      </c>
    </row>
    <row r="1395" spans="1:20">
      <c r="A1395" s="7" t="s">
        <v>2860</v>
      </c>
      <c r="B1395" s="7" t="s">
        <v>507</v>
      </c>
      <c r="C1395" s="8">
        <v>2</v>
      </c>
      <c r="D1395" s="7" t="s">
        <v>2868</v>
      </c>
      <c r="E1395" s="7" t="s">
        <v>2901</v>
      </c>
      <c r="F1395">
        <v>1401</v>
      </c>
      <c r="G1395" s="6">
        <v>22242</v>
      </c>
      <c r="H1395" s="11" t="s">
        <v>2902</v>
      </c>
      <c r="I1395" s="6">
        <v>19</v>
      </c>
      <c r="J1395" s="6">
        <v>127</v>
      </c>
      <c r="K1395" s="6">
        <v>204</v>
      </c>
      <c r="L1395" s="6">
        <v>40</v>
      </c>
      <c r="M1395" s="10">
        <f t="shared" si="63"/>
        <v>510</v>
      </c>
      <c r="N1395" s="10">
        <f t="shared" si="64"/>
        <v>510</v>
      </c>
      <c r="O1395" s="6" t="s">
        <v>226</v>
      </c>
      <c r="P1395" s="6">
        <v>5</v>
      </c>
      <c r="Q1395" s="6">
        <v>10</v>
      </c>
      <c r="R1395" s="6">
        <v>16</v>
      </c>
      <c r="S1395" s="6">
        <v>31</v>
      </c>
      <c r="T1395" s="6" t="str">
        <f t="shared" si="65"/>
        <v>Cuarta</v>
      </c>
    </row>
    <row r="1396" spans="1:20">
      <c r="A1396" s="7" t="s">
        <v>2860</v>
      </c>
      <c r="B1396" s="7" t="s">
        <v>507</v>
      </c>
      <c r="C1396" s="8">
        <v>2</v>
      </c>
      <c r="D1396" s="7" t="s">
        <v>2868</v>
      </c>
      <c r="E1396" s="7" t="s">
        <v>2925</v>
      </c>
      <c r="F1396">
        <v>871</v>
      </c>
      <c r="G1396" s="6">
        <v>29364</v>
      </c>
      <c r="H1396" s="11" t="s">
        <v>2926</v>
      </c>
      <c r="I1396" s="6">
        <v>25</v>
      </c>
      <c r="J1396" s="6">
        <v>4</v>
      </c>
      <c r="K1396" s="6">
        <v>2</v>
      </c>
      <c r="L1396" s="6">
        <v>12</v>
      </c>
      <c r="M1396" s="10">
        <f t="shared" si="63"/>
        <v>16.666666666666668</v>
      </c>
      <c r="N1396" s="10">
        <f t="shared" si="64"/>
        <v>17</v>
      </c>
      <c r="O1396" s="6" t="s">
        <v>37</v>
      </c>
      <c r="P1396" s="6">
        <v>0</v>
      </c>
      <c r="Q1396" s="6">
        <v>0</v>
      </c>
      <c r="R1396" s="6">
        <v>0</v>
      </c>
      <c r="S1396" s="6">
        <v>0</v>
      </c>
      <c r="T1396" s="6" t="str">
        <f t="shared" si="65"/>
        <v>Octava</v>
      </c>
    </row>
    <row r="1397" spans="1:20">
      <c r="A1397" s="7" t="s">
        <v>2860</v>
      </c>
      <c r="B1397" s="7" t="s">
        <v>526</v>
      </c>
      <c r="C1397" s="8">
        <v>1</v>
      </c>
      <c r="D1397" s="7" t="s">
        <v>2860</v>
      </c>
      <c r="E1397" s="7" t="s">
        <v>2927</v>
      </c>
      <c r="F1397">
        <v>1339</v>
      </c>
      <c r="G1397" s="6">
        <v>22041</v>
      </c>
      <c r="H1397" s="11" t="s">
        <v>1948</v>
      </c>
      <c r="I1397" s="6">
        <v>18</v>
      </c>
      <c r="J1397" s="6">
        <v>9</v>
      </c>
      <c r="K1397" s="6">
        <v>26</v>
      </c>
      <c r="L1397" s="6">
        <v>62</v>
      </c>
      <c r="M1397" s="10">
        <f t="shared" si="63"/>
        <v>41.935483870967744</v>
      </c>
      <c r="N1397" s="10">
        <f t="shared" si="64"/>
        <v>42</v>
      </c>
      <c r="O1397" s="6" t="s">
        <v>179</v>
      </c>
      <c r="P1397" s="6">
        <v>0</v>
      </c>
      <c r="Q1397" s="6">
        <v>0</v>
      </c>
      <c r="R1397" s="6">
        <v>3</v>
      </c>
      <c r="S1397" s="6">
        <v>3</v>
      </c>
      <c r="T1397" s="6" t="str">
        <f t="shared" si="65"/>
        <v>Quinta</v>
      </c>
    </row>
    <row r="1398" spans="1:20">
      <c r="A1398" s="7" t="s">
        <v>2860</v>
      </c>
      <c r="B1398" s="7" t="s">
        <v>526</v>
      </c>
      <c r="C1398" s="8">
        <v>1</v>
      </c>
      <c r="D1398" s="7" t="s">
        <v>2860</v>
      </c>
      <c r="E1398" s="7" t="s">
        <v>2909</v>
      </c>
      <c r="F1398">
        <v>1007</v>
      </c>
      <c r="G1398" s="6">
        <v>29448</v>
      </c>
      <c r="H1398" s="11" t="s">
        <v>2910</v>
      </c>
      <c r="I1398" s="6">
        <v>33</v>
      </c>
      <c r="J1398" s="6">
        <v>2</v>
      </c>
      <c r="K1398" s="6">
        <v>4</v>
      </c>
      <c r="L1398" s="6">
        <v>50</v>
      </c>
      <c r="M1398" s="10">
        <f t="shared" si="63"/>
        <v>8</v>
      </c>
      <c r="N1398" s="10">
        <f t="shared" si="64"/>
        <v>8</v>
      </c>
      <c r="O1398" s="6" t="s">
        <v>12</v>
      </c>
      <c r="P1398" s="6">
        <v>0</v>
      </c>
      <c r="Q1398" s="6">
        <v>0</v>
      </c>
      <c r="R1398" s="6">
        <v>0</v>
      </c>
      <c r="S1398" s="6">
        <v>0</v>
      </c>
      <c r="T1398" s="6" t="str">
        <f t="shared" si="65"/>
        <v>Septima</v>
      </c>
    </row>
    <row r="1399" spans="1:20">
      <c r="A1399" s="7" t="s">
        <v>2860</v>
      </c>
      <c r="B1399" s="7" t="s">
        <v>526</v>
      </c>
      <c r="C1399" s="8">
        <v>1</v>
      </c>
      <c r="D1399" s="7" t="s">
        <v>2860</v>
      </c>
      <c r="E1399" s="7" t="s">
        <v>2919</v>
      </c>
      <c r="F1399">
        <v>1000</v>
      </c>
      <c r="G1399" s="6">
        <v>3076</v>
      </c>
      <c r="H1399" s="11" t="s">
        <v>2920</v>
      </c>
      <c r="I1399" s="6">
        <v>30</v>
      </c>
      <c r="J1399" s="6">
        <v>0</v>
      </c>
      <c r="K1399" s="6">
        <v>0</v>
      </c>
      <c r="L1399" s="6">
        <v>0</v>
      </c>
      <c r="M1399" s="10">
        <f t="shared" si="63"/>
        <v>0</v>
      </c>
      <c r="N1399" s="10">
        <f t="shared" si="64"/>
        <v>0</v>
      </c>
      <c r="P1399" s="6">
        <v>0</v>
      </c>
      <c r="Q1399" s="6">
        <v>0</v>
      </c>
      <c r="R1399" s="6">
        <v>0</v>
      </c>
      <c r="S1399" s="6">
        <v>0</v>
      </c>
      <c r="T1399" s="6" t="str">
        <f t="shared" si="65"/>
        <v>Septima</v>
      </c>
    </row>
    <row r="1400" spans="1:20">
      <c r="A1400" s="7" t="s">
        <v>2860</v>
      </c>
      <c r="B1400" s="7" t="s">
        <v>526</v>
      </c>
      <c r="C1400" s="8">
        <v>1</v>
      </c>
      <c r="D1400" s="7" t="s">
        <v>2860</v>
      </c>
      <c r="E1400" s="7" t="s">
        <v>2911</v>
      </c>
      <c r="F1400">
        <v>1683</v>
      </c>
      <c r="G1400" s="6">
        <v>474</v>
      </c>
      <c r="H1400" s="11" t="s">
        <v>2912</v>
      </c>
      <c r="I1400" s="6">
        <v>46</v>
      </c>
      <c r="J1400" s="6">
        <v>3</v>
      </c>
      <c r="K1400" s="6">
        <v>7</v>
      </c>
      <c r="L1400" s="6">
        <v>50</v>
      </c>
      <c r="M1400" s="10">
        <f t="shared" si="63"/>
        <v>14</v>
      </c>
      <c r="N1400" s="10">
        <f t="shared" si="64"/>
        <v>14</v>
      </c>
      <c r="O1400" s="6" t="s">
        <v>352</v>
      </c>
      <c r="P1400" s="6">
        <v>0</v>
      </c>
      <c r="Q1400" s="6">
        <v>1</v>
      </c>
      <c r="R1400" s="6">
        <v>0</v>
      </c>
      <c r="S1400" s="6">
        <v>1</v>
      </c>
      <c r="T1400" s="6" t="str">
        <f t="shared" si="65"/>
        <v>Tercera</v>
      </c>
    </row>
    <row r="1401" spans="1:20">
      <c r="A1401" s="7" t="s">
        <v>2860</v>
      </c>
      <c r="B1401" s="7" t="s">
        <v>526</v>
      </c>
      <c r="C1401" s="8">
        <v>1</v>
      </c>
      <c r="D1401" s="7" t="s">
        <v>2860</v>
      </c>
      <c r="E1401" s="7" t="s">
        <v>2913</v>
      </c>
      <c r="F1401">
        <v>902</v>
      </c>
      <c r="G1401" s="6">
        <v>28219</v>
      </c>
      <c r="H1401" s="11" t="s">
        <v>2914</v>
      </c>
      <c r="I1401" s="6">
        <v>20</v>
      </c>
      <c r="J1401" s="6">
        <v>3</v>
      </c>
      <c r="K1401" s="6">
        <v>1</v>
      </c>
      <c r="L1401" s="6">
        <v>10</v>
      </c>
      <c r="M1401" s="10">
        <f t="shared" si="63"/>
        <v>10</v>
      </c>
      <c r="N1401" s="10">
        <f t="shared" si="64"/>
        <v>10</v>
      </c>
      <c r="O1401" s="6" t="s">
        <v>18</v>
      </c>
      <c r="P1401" s="6">
        <v>0</v>
      </c>
      <c r="Q1401" s="6">
        <v>0</v>
      </c>
      <c r="R1401" s="6">
        <v>0</v>
      </c>
      <c r="S1401" s="6">
        <v>0</v>
      </c>
      <c r="T1401" s="6" t="str">
        <f t="shared" si="65"/>
        <v>Octava</v>
      </c>
    </row>
    <row r="1402" spans="1:20">
      <c r="A1402" s="7" t="s">
        <v>2860</v>
      </c>
      <c r="B1402" s="7" t="s">
        <v>526</v>
      </c>
      <c r="C1402" s="8">
        <v>1</v>
      </c>
      <c r="D1402" s="7" t="s">
        <v>2860</v>
      </c>
      <c r="E1402" s="7" t="s">
        <v>2923</v>
      </c>
      <c r="F1402">
        <v>950</v>
      </c>
      <c r="G1402" s="6">
        <v>24775</v>
      </c>
      <c r="H1402" s="11" t="s">
        <v>2924</v>
      </c>
      <c r="I1402" s="6">
        <v>66</v>
      </c>
      <c r="J1402" s="6">
        <v>18</v>
      </c>
      <c r="K1402" s="6">
        <v>23</v>
      </c>
      <c r="L1402" s="6">
        <v>35</v>
      </c>
      <c r="M1402" s="10">
        <f t="shared" si="63"/>
        <v>65.714285714285708</v>
      </c>
      <c r="N1402" s="10">
        <f t="shared" si="64"/>
        <v>66</v>
      </c>
      <c r="O1402" s="6" t="s">
        <v>12</v>
      </c>
      <c r="P1402" s="6">
        <v>0</v>
      </c>
      <c r="Q1402" s="6">
        <v>0</v>
      </c>
      <c r="R1402" s="6">
        <v>1</v>
      </c>
      <c r="S1402" s="6">
        <v>1</v>
      </c>
      <c r="T1402" s="6" t="str">
        <f t="shared" si="65"/>
        <v>Octava</v>
      </c>
    </row>
    <row r="1403" spans="1:20">
      <c r="A1403" s="7" t="s">
        <v>2860</v>
      </c>
      <c r="B1403" s="7" t="s">
        <v>526</v>
      </c>
      <c r="C1403" s="8">
        <v>1</v>
      </c>
      <c r="D1403" s="7" t="s">
        <v>2860</v>
      </c>
      <c r="E1403" s="7" t="s">
        <v>2928</v>
      </c>
      <c r="F1403">
        <v>1000</v>
      </c>
      <c r="G1403" s="6">
        <v>11497</v>
      </c>
      <c r="H1403" s="11" t="s">
        <v>2929</v>
      </c>
      <c r="I1403" s="6">
        <v>31</v>
      </c>
      <c r="J1403" s="6">
        <v>0</v>
      </c>
      <c r="K1403" s="6">
        <v>0</v>
      </c>
      <c r="L1403" s="6">
        <v>0</v>
      </c>
      <c r="M1403" s="10">
        <f t="shared" si="63"/>
        <v>0</v>
      </c>
      <c r="N1403" s="10">
        <f t="shared" si="64"/>
        <v>0</v>
      </c>
      <c r="P1403" s="6">
        <v>0</v>
      </c>
      <c r="Q1403" s="6">
        <v>0</v>
      </c>
      <c r="R1403" s="6">
        <v>0</v>
      </c>
      <c r="S1403" s="6">
        <v>0</v>
      </c>
      <c r="T1403" s="6" t="str">
        <f t="shared" si="65"/>
        <v>Septima</v>
      </c>
    </row>
    <row r="1404" spans="1:20">
      <c r="A1404" s="7" t="s">
        <v>2860</v>
      </c>
      <c r="B1404" s="7" t="s">
        <v>526</v>
      </c>
      <c r="C1404" s="8">
        <v>1</v>
      </c>
      <c r="D1404" s="7" t="s">
        <v>2860</v>
      </c>
      <c r="E1404" s="7" t="s">
        <v>2925</v>
      </c>
      <c r="F1404">
        <v>871</v>
      </c>
      <c r="G1404" s="6">
        <v>29364</v>
      </c>
      <c r="H1404" s="11" t="s">
        <v>2926</v>
      </c>
      <c r="I1404" s="6">
        <v>25</v>
      </c>
      <c r="J1404" s="6">
        <v>4</v>
      </c>
      <c r="K1404" s="6">
        <v>2</v>
      </c>
      <c r="L1404" s="6">
        <v>12</v>
      </c>
      <c r="M1404" s="10">
        <f t="shared" si="63"/>
        <v>16.666666666666668</v>
      </c>
      <c r="N1404" s="10">
        <f t="shared" si="64"/>
        <v>17</v>
      </c>
      <c r="O1404" s="6" t="s">
        <v>37</v>
      </c>
      <c r="P1404" s="6">
        <v>0</v>
      </c>
      <c r="Q1404" s="6">
        <v>0</v>
      </c>
      <c r="R1404" s="6">
        <v>0</v>
      </c>
      <c r="S1404" s="6">
        <v>0</v>
      </c>
      <c r="T1404" s="6" t="str">
        <f t="shared" si="65"/>
        <v>Octava</v>
      </c>
    </row>
    <row r="1405" spans="1:20">
      <c r="A1405" s="7" t="s">
        <v>2930</v>
      </c>
      <c r="B1405" s="7" t="s">
        <v>781</v>
      </c>
      <c r="C1405" s="8">
        <v>1</v>
      </c>
      <c r="D1405" s="7" t="s">
        <v>2930</v>
      </c>
      <c r="E1405" s="7" t="s">
        <v>2931</v>
      </c>
      <c r="F1405">
        <v>0</v>
      </c>
      <c r="G1405" s="6">
        <v>26608</v>
      </c>
      <c r="H1405" s="11" t="s">
        <v>2932</v>
      </c>
      <c r="I1405" s="6">
        <v>41</v>
      </c>
      <c r="M1405" s="10">
        <f t="shared" si="63"/>
        <v>0</v>
      </c>
      <c r="N1405" s="10">
        <f t="shared" si="64"/>
        <v>0</v>
      </c>
      <c r="P1405" s="6">
        <v>0</v>
      </c>
      <c r="Q1405" s="6">
        <v>0</v>
      </c>
      <c r="R1405" s="6">
        <v>0</v>
      </c>
      <c r="S1405" s="6">
        <v>0</v>
      </c>
      <c r="T1405" s="6" t="str">
        <f t="shared" si="65"/>
        <v>Octava</v>
      </c>
    </row>
    <row r="1406" spans="1:20">
      <c r="A1406" s="7" t="s">
        <v>2930</v>
      </c>
      <c r="B1406" s="7" t="s">
        <v>781</v>
      </c>
      <c r="C1406" s="8">
        <v>1</v>
      </c>
      <c r="D1406" s="7" t="s">
        <v>2930</v>
      </c>
      <c r="E1406" s="7" t="s">
        <v>2933</v>
      </c>
      <c r="F1406">
        <v>2018</v>
      </c>
      <c r="G1406" s="6">
        <v>7617</v>
      </c>
      <c r="H1406" s="11" t="s">
        <v>2934</v>
      </c>
      <c r="I1406" s="6">
        <v>49</v>
      </c>
      <c r="J1406" s="6">
        <v>70</v>
      </c>
      <c r="K1406" s="6">
        <v>223</v>
      </c>
      <c r="L1406" s="6">
        <v>50</v>
      </c>
      <c r="M1406" s="10">
        <f t="shared" si="63"/>
        <v>446</v>
      </c>
      <c r="N1406" s="10">
        <f t="shared" si="64"/>
        <v>446</v>
      </c>
      <c r="O1406" s="6" t="s">
        <v>291</v>
      </c>
      <c r="P1406" s="6">
        <v>5</v>
      </c>
      <c r="Q1406" s="6">
        <v>4</v>
      </c>
      <c r="R1406" s="6">
        <v>17</v>
      </c>
      <c r="S1406" s="6">
        <v>26</v>
      </c>
      <c r="T1406" s="6" t="str">
        <f t="shared" si="65"/>
        <v>Segunda</v>
      </c>
    </row>
    <row r="1407" spans="1:20">
      <c r="A1407" s="7" t="s">
        <v>2930</v>
      </c>
      <c r="B1407" s="7" t="s">
        <v>781</v>
      </c>
      <c r="C1407" s="8">
        <v>1</v>
      </c>
      <c r="D1407" s="7" t="s">
        <v>2930</v>
      </c>
      <c r="E1407" s="7" t="s">
        <v>2935</v>
      </c>
      <c r="F1407">
        <v>1000</v>
      </c>
      <c r="G1407" s="6">
        <v>9091</v>
      </c>
      <c r="H1407" s="11" t="s">
        <v>2936</v>
      </c>
      <c r="I1407" s="6">
        <v>39</v>
      </c>
      <c r="J1407" s="6">
        <v>0</v>
      </c>
      <c r="K1407" s="6">
        <v>0</v>
      </c>
      <c r="L1407" s="6">
        <v>0</v>
      </c>
      <c r="M1407" s="10">
        <f t="shared" si="63"/>
        <v>0</v>
      </c>
      <c r="N1407" s="10">
        <f t="shared" si="64"/>
        <v>0</v>
      </c>
      <c r="P1407" s="6">
        <v>0</v>
      </c>
      <c r="Q1407" s="6">
        <v>0</v>
      </c>
      <c r="R1407" s="6">
        <v>0</v>
      </c>
      <c r="S1407" s="6">
        <v>0</v>
      </c>
      <c r="T1407" s="6" t="str">
        <f t="shared" si="65"/>
        <v>Septima</v>
      </c>
    </row>
    <row r="1408" spans="1:20">
      <c r="A1408" s="7" t="s">
        <v>2930</v>
      </c>
      <c r="B1408" s="7" t="s">
        <v>781</v>
      </c>
      <c r="C1408" s="8">
        <v>1</v>
      </c>
      <c r="D1408" s="7" t="s">
        <v>2930</v>
      </c>
      <c r="E1408" s="7" t="s">
        <v>2937</v>
      </c>
      <c r="F1408">
        <v>1213</v>
      </c>
      <c r="G1408" s="6">
        <v>27435</v>
      </c>
      <c r="H1408" s="11" t="s">
        <v>2938</v>
      </c>
      <c r="I1408" s="6">
        <v>63</v>
      </c>
      <c r="J1408" s="6">
        <v>78</v>
      </c>
      <c r="K1408" s="6">
        <v>164</v>
      </c>
      <c r="L1408" s="6">
        <v>54</v>
      </c>
      <c r="M1408" s="10">
        <f t="shared" si="63"/>
        <v>303.7037037037037</v>
      </c>
      <c r="N1408" s="10">
        <f t="shared" si="64"/>
        <v>304</v>
      </c>
      <c r="O1408" s="6" t="s">
        <v>93</v>
      </c>
      <c r="P1408" s="6">
        <v>4</v>
      </c>
      <c r="Q1408" s="6">
        <v>6</v>
      </c>
      <c r="R1408" s="6">
        <v>19</v>
      </c>
      <c r="S1408" s="6">
        <v>29</v>
      </c>
      <c r="T1408" s="6" t="str">
        <f t="shared" si="65"/>
        <v>Quinta</v>
      </c>
    </row>
    <row r="1409" spans="1:20">
      <c r="A1409" s="7" t="s">
        <v>2930</v>
      </c>
      <c r="B1409" s="7" t="s">
        <v>781</v>
      </c>
      <c r="C1409" s="8">
        <v>1</v>
      </c>
      <c r="D1409" s="7" t="s">
        <v>2930</v>
      </c>
      <c r="E1409" s="7" t="s">
        <v>2939</v>
      </c>
      <c r="F1409">
        <v>1727</v>
      </c>
      <c r="G1409" s="6">
        <v>8224</v>
      </c>
      <c r="H1409" s="11" t="s">
        <v>2940</v>
      </c>
      <c r="I1409" s="6">
        <v>59</v>
      </c>
      <c r="J1409" s="6">
        <v>36</v>
      </c>
      <c r="K1409" s="6">
        <v>87</v>
      </c>
      <c r="L1409" s="6">
        <v>49</v>
      </c>
      <c r="M1409" s="10">
        <f t="shared" si="63"/>
        <v>177.55102040816325</v>
      </c>
      <c r="N1409" s="10">
        <f t="shared" si="64"/>
        <v>178</v>
      </c>
      <c r="O1409" s="6" t="s">
        <v>354</v>
      </c>
      <c r="P1409" s="6">
        <v>2</v>
      </c>
      <c r="Q1409" s="6">
        <v>4</v>
      </c>
      <c r="R1409" s="6">
        <v>2</v>
      </c>
      <c r="S1409" s="6">
        <v>8</v>
      </c>
      <c r="T1409" s="6" t="str">
        <f t="shared" si="65"/>
        <v>Tercera</v>
      </c>
    </row>
    <row r="1410" spans="1:20">
      <c r="A1410" s="7" t="s">
        <v>2930</v>
      </c>
      <c r="B1410" s="7" t="s">
        <v>781</v>
      </c>
      <c r="C1410" s="8">
        <v>1</v>
      </c>
      <c r="D1410" s="7" t="s">
        <v>2930</v>
      </c>
      <c r="E1410" s="7" t="s">
        <v>2941</v>
      </c>
      <c r="F1410">
        <v>1550</v>
      </c>
      <c r="G1410" s="6">
        <v>26295</v>
      </c>
      <c r="H1410" s="11" t="s">
        <v>2942</v>
      </c>
      <c r="I1410" s="6">
        <v>22</v>
      </c>
      <c r="J1410" s="6">
        <v>18</v>
      </c>
      <c r="K1410" s="6">
        <v>53</v>
      </c>
      <c r="L1410" s="6">
        <v>58</v>
      </c>
      <c r="M1410" s="10">
        <f t="shared" si="63"/>
        <v>91.379310344827587</v>
      </c>
      <c r="N1410" s="10">
        <f t="shared" si="64"/>
        <v>92</v>
      </c>
      <c r="O1410" s="6" t="s">
        <v>19</v>
      </c>
      <c r="P1410" s="6">
        <v>5</v>
      </c>
      <c r="Q1410" s="6">
        <v>1</v>
      </c>
      <c r="R1410" s="6">
        <v>1</v>
      </c>
      <c r="S1410" s="6">
        <v>7</v>
      </c>
      <c r="T1410" s="6" t="str">
        <f t="shared" si="65"/>
        <v>Cuarta</v>
      </c>
    </row>
    <row r="1411" spans="1:20">
      <c r="A1411" s="7" t="s">
        <v>2930</v>
      </c>
      <c r="B1411" s="7" t="s">
        <v>781</v>
      </c>
      <c r="C1411" s="8">
        <v>1</v>
      </c>
      <c r="D1411" s="7" t="s">
        <v>2930</v>
      </c>
      <c r="E1411" s="7" t="s">
        <v>2943</v>
      </c>
      <c r="F1411">
        <v>1582</v>
      </c>
      <c r="G1411" s="6">
        <v>9374</v>
      </c>
      <c r="H1411" s="11" t="s">
        <v>2944</v>
      </c>
      <c r="I1411" s="6">
        <v>57</v>
      </c>
      <c r="J1411" s="6">
        <v>108</v>
      </c>
      <c r="K1411" s="6">
        <v>274</v>
      </c>
      <c r="L1411" s="6">
        <v>43</v>
      </c>
      <c r="M1411" s="10">
        <f t="shared" ref="M1411:M1474" si="66">IF(K1411+L1411=0,0,(100*K1411/L1411))</f>
        <v>637.20930232558135</v>
      </c>
      <c r="N1411" s="10">
        <f t="shared" ref="N1411:N1474" si="67">ROUNDUP(M1411,0)</f>
        <v>638</v>
      </c>
      <c r="O1411" s="6" t="s">
        <v>355</v>
      </c>
      <c r="P1411" s="6">
        <v>8</v>
      </c>
      <c r="Q1411" s="6">
        <v>5</v>
      </c>
      <c r="R1411" s="6">
        <v>9</v>
      </c>
      <c r="S1411" s="6">
        <v>22</v>
      </c>
      <c r="T1411" s="6" t="str">
        <f t="shared" ref="T1411:T1474" si="68">IF(F1411&gt;2100,"Primera",
IF(F1411&gt;=1800,"Segunda",
IF(F1411&gt;=1600,"Tercera",
IF(F1411&gt;=1400,"Cuarta",
IF(F1411&gt;=1200,"Quinta",
IF(F1411&gt;=1080,"Sexta",
IF(F1411&gt;=980,"Septima",
"Octava")))))))</f>
        <v>Cuarta</v>
      </c>
    </row>
    <row r="1412" spans="1:20">
      <c r="A1412" s="7" t="s">
        <v>2930</v>
      </c>
      <c r="B1412" s="7" t="s">
        <v>496</v>
      </c>
      <c r="C1412" s="8">
        <v>1</v>
      </c>
      <c r="D1412" s="7" t="s">
        <v>2930</v>
      </c>
      <c r="E1412" s="7" t="s">
        <v>2941</v>
      </c>
      <c r="F1412">
        <v>1550</v>
      </c>
      <c r="G1412" s="6">
        <v>26295</v>
      </c>
      <c r="H1412" s="11" t="s">
        <v>2942</v>
      </c>
      <c r="I1412" s="6">
        <v>22</v>
      </c>
      <c r="J1412" s="6">
        <v>18</v>
      </c>
      <c r="K1412" s="6">
        <v>53</v>
      </c>
      <c r="L1412" s="6">
        <v>58</v>
      </c>
      <c r="M1412" s="10">
        <f t="shared" si="66"/>
        <v>91.379310344827587</v>
      </c>
      <c r="N1412" s="10">
        <f t="shared" si="67"/>
        <v>92</v>
      </c>
      <c r="O1412" s="6" t="s">
        <v>19</v>
      </c>
      <c r="P1412" s="6">
        <v>5</v>
      </c>
      <c r="Q1412" s="6">
        <v>1</v>
      </c>
      <c r="R1412" s="6">
        <v>1</v>
      </c>
      <c r="S1412" s="6">
        <v>7</v>
      </c>
      <c r="T1412" s="6" t="str">
        <f t="shared" si="68"/>
        <v>Cuarta</v>
      </c>
    </row>
    <row r="1413" spans="1:20">
      <c r="A1413" s="7" t="s">
        <v>2930</v>
      </c>
      <c r="B1413" s="7" t="s">
        <v>496</v>
      </c>
      <c r="C1413" s="8">
        <v>1</v>
      </c>
      <c r="D1413" s="7" t="s">
        <v>2930</v>
      </c>
      <c r="E1413" s="7" t="s">
        <v>2945</v>
      </c>
      <c r="F1413">
        <v>1480</v>
      </c>
      <c r="G1413" s="6">
        <v>19858</v>
      </c>
      <c r="H1413" s="11" t="s">
        <v>2946</v>
      </c>
      <c r="I1413" s="6">
        <v>56</v>
      </c>
      <c r="J1413" s="6">
        <v>12</v>
      </c>
      <c r="K1413" s="6">
        <v>46</v>
      </c>
      <c r="L1413" s="6">
        <v>72</v>
      </c>
      <c r="M1413" s="10">
        <f t="shared" si="66"/>
        <v>63.888888888888886</v>
      </c>
      <c r="N1413" s="10">
        <f t="shared" si="67"/>
        <v>64</v>
      </c>
      <c r="O1413" s="6" t="s">
        <v>58</v>
      </c>
      <c r="P1413" s="6">
        <v>2</v>
      </c>
      <c r="Q1413" s="6">
        <v>3</v>
      </c>
      <c r="R1413" s="6">
        <v>1</v>
      </c>
      <c r="S1413" s="6">
        <v>6</v>
      </c>
      <c r="T1413" s="6" t="str">
        <f t="shared" si="68"/>
        <v>Cuarta</v>
      </c>
    </row>
    <row r="1414" spans="1:20">
      <c r="A1414" s="7" t="s">
        <v>2930</v>
      </c>
      <c r="B1414" s="7" t="s">
        <v>496</v>
      </c>
      <c r="C1414" s="8">
        <v>1</v>
      </c>
      <c r="D1414" s="7" t="s">
        <v>2930</v>
      </c>
      <c r="E1414" s="7" t="s">
        <v>2947</v>
      </c>
      <c r="F1414">
        <v>1438</v>
      </c>
      <c r="G1414" s="6">
        <v>8073</v>
      </c>
      <c r="H1414" s="11" t="s">
        <v>2948</v>
      </c>
      <c r="I1414" s="6">
        <v>62</v>
      </c>
      <c r="J1414" s="6">
        <v>93</v>
      </c>
      <c r="K1414" s="6">
        <v>191</v>
      </c>
      <c r="L1414" s="6">
        <v>43</v>
      </c>
      <c r="M1414" s="10">
        <f t="shared" si="66"/>
        <v>444.18604651162792</v>
      </c>
      <c r="N1414" s="10">
        <f t="shared" si="67"/>
        <v>445</v>
      </c>
      <c r="O1414" s="6" t="s">
        <v>79</v>
      </c>
      <c r="P1414" s="6">
        <v>3</v>
      </c>
      <c r="Q1414" s="6">
        <v>3</v>
      </c>
      <c r="R1414" s="6">
        <v>7</v>
      </c>
      <c r="S1414" s="6">
        <v>13</v>
      </c>
      <c r="T1414" s="6" t="str">
        <f t="shared" si="68"/>
        <v>Cuarta</v>
      </c>
    </row>
    <row r="1415" spans="1:20">
      <c r="A1415" s="7" t="s">
        <v>2930</v>
      </c>
      <c r="B1415" s="7" t="s">
        <v>496</v>
      </c>
      <c r="C1415" s="8">
        <v>1</v>
      </c>
      <c r="D1415" s="7" t="s">
        <v>2930</v>
      </c>
      <c r="E1415" s="7" t="s">
        <v>2949</v>
      </c>
      <c r="F1415">
        <v>1643</v>
      </c>
      <c r="G1415" s="6">
        <v>1120</v>
      </c>
      <c r="H1415" s="11" t="s">
        <v>2950</v>
      </c>
      <c r="I1415" s="6">
        <v>34</v>
      </c>
      <c r="J1415" s="6">
        <v>3</v>
      </c>
      <c r="K1415" s="6">
        <v>2</v>
      </c>
      <c r="L1415" s="6">
        <v>17</v>
      </c>
      <c r="M1415" s="10">
        <f t="shared" si="66"/>
        <v>11.764705882352942</v>
      </c>
      <c r="N1415" s="10">
        <f t="shared" si="67"/>
        <v>12</v>
      </c>
      <c r="O1415" s="6" t="s">
        <v>113</v>
      </c>
      <c r="P1415" s="6">
        <v>0</v>
      </c>
      <c r="Q1415" s="6">
        <v>0</v>
      </c>
      <c r="R1415" s="6">
        <v>0</v>
      </c>
      <c r="S1415" s="6">
        <v>0</v>
      </c>
      <c r="T1415" s="6" t="str">
        <f t="shared" si="68"/>
        <v>Tercera</v>
      </c>
    </row>
    <row r="1416" spans="1:20">
      <c r="A1416" s="7" t="s">
        <v>2930</v>
      </c>
      <c r="B1416" s="7" t="s">
        <v>496</v>
      </c>
      <c r="C1416" s="8">
        <v>1</v>
      </c>
      <c r="D1416" s="7" t="s">
        <v>2930</v>
      </c>
      <c r="E1416" s="7" t="s">
        <v>2951</v>
      </c>
      <c r="F1416">
        <v>1287</v>
      </c>
      <c r="G1416" s="6">
        <v>26571</v>
      </c>
      <c r="H1416" s="11" t="s">
        <v>2952</v>
      </c>
      <c r="I1416" s="6">
        <v>50</v>
      </c>
      <c r="J1416" s="6">
        <v>2</v>
      </c>
      <c r="K1416" s="6">
        <v>12</v>
      </c>
      <c r="L1416" s="6">
        <v>100</v>
      </c>
      <c r="M1416" s="10">
        <f t="shared" si="66"/>
        <v>12</v>
      </c>
      <c r="N1416" s="10">
        <f t="shared" si="67"/>
        <v>12</v>
      </c>
      <c r="O1416" s="6" t="s">
        <v>109</v>
      </c>
      <c r="P1416" s="6">
        <v>2</v>
      </c>
      <c r="Q1416" s="6">
        <v>0</v>
      </c>
      <c r="R1416" s="6">
        <v>0</v>
      </c>
      <c r="S1416" s="6">
        <v>2</v>
      </c>
      <c r="T1416" s="6" t="str">
        <f t="shared" si="68"/>
        <v>Quinta</v>
      </c>
    </row>
    <row r="1417" spans="1:20">
      <c r="A1417" s="7" t="s">
        <v>2930</v>
      </c>
      <c r="B1417" s="7" t="s">
        <v>496</v>
      </c>
      <c r="C1417" s="8">
        <v>1</v>
      </c>
      <c r="D1417" s="7" t="s">
        <v>2930</v>
      </c>
      <c r="E1417" s="7" t="s">
        <v>2953</v>
      </c>
      <c r="F1417">
        <v>1327</v>
      </c>
      <c r="G1417" s="6">
        <v>15584</v>
      </c>
      <c r="H1417" s="11" t="s">
        <v>2954</v>
      </c>
      <c r="I1417" s="6">
        <v>53</v>
      </c>
      <c r="J1417" s="6">
        <v>37</v>
      </c>
      <c r="K1417" s="6">
        <v>64</v>
      </c>
      <c r="L1417" s="6">
        <v>41</v>
      </c>
      <c r="M1417" s="10">
        <f t="shared" si="66"/>
        <v>156.09756097560975</v>
      </c>
      <c r="N1417" s="10">
        <f t="shared" si="67"/>
        <v>157</v>
      </c>
      <c r="O1417" s="6" t="s">
        <v>79</v>
      </c>
      <c r="P1417" s="6">
        <v>2</v>
      </c>
      <c r="Q1417" s="6">
        <v>0</v>
      </c>
      <c r="R1417" s="6">
        <v>3</v>
      </c>
      <c r="S1417" s="6">
        <v>5</v>
      </c>
      <c r="T1417" s="6" t="str">
        <f t="shared" si="68"/>
        <v>Quinta</v>
      </c>
    </row>
    <row r="1418" spans="1:20">
      <c r="A1418" s="7" t="s">
        <v>2930</v>
      </c>
      <c r="B1418" s="7" t="s">
        <v>496</v>
      </c>
      <c r="C1418" s="8">
        <v>1</v>
      </c>
      <c r="D1418" s="7" t="s">
        <v>2930</v>
      </c>
      <c r="E1418" s="7" t="s">
        <v>2943</v>
      </c>
      <c r="F1418">
        <v>1582</v>
      </c>
      <c r="G1418" s="6">
        <v>9374</v>
      </c>
      <c r="H1418" s="11" t="s">
        <v>2944</v>
      </c>
      <c r="I1418" s="6">
        <v>57</v>
      </c>
      <c r="J1418" s="6">
        <v>108</v>
      </c>
      <c r="K1418" s="6">
        <v>274</v>
      </c>
      <c r="L1418" s="6">
        <v>43</v>
      </c>
      <c r="M1418" s="10">
        <f t="shared" si="66"/>
        <v>637.20930232558135</v>
      </c>
      <c r="N1418" s="10">
        <f t="shared" si="67"/>
        <v>638</v>
      </c>
      <c r="O1418" s="6" t="s">
        <v>355</v>
      </c>
      <c r="P1418" s="6">
        <v>8</v>
      </c>
      <c r="Q1418" s="6">
        <v>5</v>
      </c>
      <c r="R1418" s="6">
        <v>9</v>
      </c>
      <c r="S1418" s="6">
        <v>22</v>
      </c>
      <c r="T1418" s="6" t="str">
        <f t="shared" si="68"/>
        <v>Cuarta</v>
      </c>
    </row>
    <row r="1419" spans="1:20">
      <c r="A1419" s="7" t="s">
        <v>2930</v>
      </c>
      <c r="B1419" s="7" t="s">
        <v>496</v>
      </c>
      <c r="C1419" s="8">
        <v>1</v>
      </c>
      <c r="D1419" s="7" t="s">
        <v>2930</v>
      </c>
      <c r="E1419" s="7" t="s">
        <v>2955</v>
      </c>
      <c r="F1419">
        <v>1285</v>
      </c>
      <c r="G1419" s="6">
        <v>23067</v>
      </c>
      <c r="H1419" s="11" t="s">
        <v>2956</v>
      </c>
      <c r="I1419" s="6">
        <v>58</v>
      </c>
      <c r="J1419" s="6">
        <v>7</v>
      </c>
      <c r="K1419" s="6">
        <v>15</v>
      </c>
      <c r="L1419" s="6">
        <v>39</v>
      </c>
      <c r="M1419" s="10">
        <f t="shared" si="66"/>
        <v>38.46153846153846</v>
      </c>
      <c r="N1419" s="10">
        <f t="shared" si="67"/>
        <v>39</v>
      </c>
      <c r="O1419" s="6" t="s">
        <v>109</v>
      </c>
      <c r="P1419" s="6">
        <v>0</v>
      </c>
      <c r="Q1419" s="6">
        <v>0</v>
      </c>
      <c r="R1419" s="6">
        <v>1</v>
      </c>
      <c r="S1419" s="6">
        <v>1</v>
      </c>
      <c r="T1419" s="6" t="str">
        <f t="shared" si="68"/>
        <v>Quinta</v>
      </c>
    </row>
    <row r="1420" spans="1:20">
      <c r="A1420" s="7" t="s">
        <v>2957</v>
      </c>
      <c r="B1420" s="7" t="s">
        <v>781</v>
      </c>
      <c r="C1420" s="8">
        <v>1</v>
      </c>
      <c r="D1420" s="7" t="s">
        <v>2957</v>
      </c>
      <c r="E1420" s="7" t="s">
        <v>2958</v>
      </c>
      <c r="F1420">
        <v>2174</v>
      </c>
      <c r="G1420" s="6">
        <v>15673</v>
      </c>
      <c r="H1420" s="11" t="s">
        <v>1312</v>
      </c>
      <c r="I1420" s="6">
        <v>21</v>
      </c>
      <c r="J1420" s="6">
        <v>85</v>
      </c>
      <c r="K1420" s="6">
        <v>256</v>
      </c>
      <c r="L1420" s="6">
        <v>67</v>
      </c>
      <c r="M1420" s="10">
        <f t="shared" si="66"/>
        <v>382.08955223880599</v>
      </c>
      <c r="N1420" s="10">
        <f t="shared" si="67"/>
        <v>383</v>
      </c>
      <c r="O1420" s="6" t="s">
        <v>26</v>
      </c>
      <c r="P1420" s="6">
        <v>19</v>
      </c>
      <c r="Q1420" s="6">
        <v>5</v>
      </c>
      <c r="R1420" s="6">
        <v>16</v>
      </c>
      <c r="S1420" s="6">
        <v>40</v>
      </c>
      <c r="T1420" s="6" t="str">
        <f t="shared" si="68"/>
        <v>Primera</v>
      </c>
    </row>
    <row r="1421" spans="1:20">
      <c r="A1421" s="7" t="s">
        <v>2957</v>
      </c>
      <c r="B1421" s="7" t="s">
        <v>781</v>
      </c>
      <c r="C1421" s="8">
        <v>1</v>
      </c>
      <c r="D1421" s="7" t="s">
        <v>2957</v>
      </c>
      <c r="E1421" s="7" t="s">
        <v>2959</v>
      </c>
      <c r="F1421">
        <v>2127</v>
      </c>
      <c r="G1421" s="6">
        <v>14736</v>
      </c>
      <c r="H1421" s="11" t="s">
        <v>2960</v>
      </c>
      <c r="I1421" s="6">
        <v>28</v>
      </c>
      <c r="J1421" s="6">
        <v>116</v>
      </c>
      <c r="K1421" s="6">
        <v>331</v>
      </c>
      <c r="L1421" s="6">
        <v>59</v>
      </c>
      <c r="M1421" s="10">
        <f t="shared" si="66"/>
        <v>561.01694915254234</v>
      </c>
      <c r="N1421" s="10">
        <f t="shared" si="67"/>
        <v>562</v>
      </c>
      <c r="O1421" s="6" t="s">
        <v>26</v>
      </c>
      <c r="P1421" s="6">
        <v>15</v>
      </c>
      <c r="Q1421" s="6">
        <v>14</v>
      </c>
      <c r="R1421" s="6">
        <v>20</v>
      </c>
      <c r="S1421" s="6">
        <v>49</v>
      </c>
      <c r="T1421" s="6" t="str">
        <f t="shared" si="68"/>
        <v>Primera</v>
      </c>
    </row>
    <row r="1422" spans="1:20">
      <c r="A1422" s="7" t="s">
        <v>2957</v>
      </c>
      <c r="B1422" s="7" t="s">
        <v>781</v>
      </c>
      <c r="C1422" s="8">
        <v>1</v>
      </c>
      <c r="D1422" s="7" t="s">
        <v>2957</v>
      </c>
      <c r="E1422" s="7" t="s">
        <v>2961</v>
      </c>
      <c r="F1422">
        <v>1960</v>
      </c>
      <c r="G1422" s="6">
        <v>22485</v>
      </c>
      <c r="H1422" s="11" t="s">
        <v>2962</v>
      </c>
      <c r="I1422" s="6">
        <v>17</v>
      </c>
      <c r="J1422" s="6">
        <v>29</v>
      </c>
      <c r="K1422" s="6">
        <v>123</v>
      </c>
      <c r="L1422" s="6">
        <v>75</v>
      </c>
      <c r="M1422" s="10">
        <f t="shared" si="66"/>
        <v>164</v>
      </c>
      <c r="N1422" s="10">
        <f t="shared" si="67"/>
        <v>164</v>
      </c>
      <c r="O1422" s="6" t="s">
        <v>26</v>
      </c>
      <c r="P1422" s="6">
        <v>11</v>
      </c>
      <c r="Q1422" s="6">
        <v>5</v>
      </c>
      <c r="R1422" s="6">
        <v>5</v>
      </c>
      <c r="S1422" s="6">
        <v>21</v>
      </c>
      <c r="T1422" s="6" t="str">
        <f t="shared" si="68"/>
        <v>Segunda</v>
      </c>
    </row>
    <row r="1423" spans="1:20">
      <c r="A1423" s="7" t="s">
        <v>2957</v>
      </c>
      <c r="B1423" s="7" t="s">
        <v>781</v>
      </c>
      <c r="C1423" s="8">
        <v>1</v>
      </c>
      <c r="D1423" s="7" t="s">
        <v>2957</v>
      </c>
      <c r="E1423" s="7" t="s">
        <v>2963</v>
      </c>
      <c r="F1423">
        <v>1847</v>
      </c>
      <c r="G1423" s="6">
        <v>14180</v>
      </c>
      <c r="H1423" s="11" t="s">
        <v>2964</v>
      </c>
      <c r="I1423" s="6">
        <v>54</v>
      </c>
      <c r="J1423" s="6">
        <v>92</v>
      </c>
      <c r="K1423" s="6">
        <v>236</v>
      </c>
      <c r="L1423" s="6">
        <v>59</v>
      </c>
      <c r="M1423" s="10">
        <f t="shared" si="66"/>
        <v>400</v>
      </c>
      <c r="N1423" s="10">
        <f t="shared" si="67"/>
        <v>400</v>
      </c>
      <c r="O1423" s="6" t="s">
        <v>18</v>
      </c>
      <c r="P1423" s="6">
        <v>7</v>
      </c>
      <c r="Q1423" s="6">
        <v>4</v>
      </c>
      <c r="R1423" s="6">
        <v>20</v>
      </c>
      <c r="S1423" s="6">
        <v>31</v>
      </c>
      <c r="T1423" s="6" t="str">
        <f t="shared" si="68"/>
        <v>Segunda</v>
      </c>
    </row>
    <row r="1424" spans="1:20">
      <c r="A1424" s="7" t="s">
        <v>2957</v>
      </c>
      <c r="B1424" s="7" t="s">
        <v>781</v>
      </c>
      <c r="C1424" s="8">
        <v>1</v>
      </c>
      <c r="D1424" s="7" t="s">
        <v>2957</v>
      </c>
      <c r="E1424" s="7" t="s">
        <v>2965</v>
      </c>
      <c r="F1424">
        <v>1838</v>
      </c>
      <c r="G1424" s="6">
        <v>25126</v>
      </c>
      <c r="H1424" s="11" t="s">
        <v>2966</v>
      </c>
      <c r="I1424" s="6">
        <v>22</v>
      </c>
      <c r="J1424" s="6">
        <v>94</v>
      </c>
      <c r="K1424" s="6">
        <v>284</v>
      </c>
      <c r="L1424" s="6">
        <v>56</v>
      </c>
      <c r="M1424" s="10">
        <f t="shared" si="66"/>
        <v>507.14285714285717</v>
      </c>
      <c r="N1424" s="10">
        <f t="shared" si="67"/>
        <v>508</v>
      </c>
      <c r="O1424" s="6" t="s">
        <v>26</v>
      </c>
      <c r="P1424" s="6">
        <v>20</v>
      </c>
      <c r="Q1424" s="6">
        <v>5</v>
      </c>
      <c r="R1424" s="6">
        <v>21</v>
      </c>
      <c r="S1424" s="6">
        <v>46</v>
      </c>
      <c r="T1424" s="6" t="str">
        <f t="shared" si="68"/>
        <v>Segunda</v>
      </c>
    </row>
    <row r="1425" spans="1:20">
      <c r="A1425" s="7" t="s">
        <v>2957</v>
      </c>
      <c r="B1425" s="7" t="s">
        <v>781</v>
      </c>
      <c r="C1425" s="8">
        <v>1</v>
      </c>
      <c r="D1425" s="7" t="s">
        <v>2957</v>
      </c>
      <c r="E1425" s="7" t="s">
        <v>2967</v>
      </c>
      <c r="F1425">
        <v>1536</v>
      </c>
      <c r="G1425" s="6">
        <v>11066</v>
      </c>
      <c r="H1425" s="11" t="s">
        <v>2968</v>
      </c>
      <c r="I1425" s="6">
        <v>49</v>
      </c>
      <c r="J1425" s="6">
        <v>54</v>
      </c>
      <c r="K1425" s="6">
        <v>177</v>
      </c>
      <c r="L1425" s="6">
        <v>53</v>
      </c>
      <c r="M1425" s="10">
        <f t="shared" si="66"/>
        <v>333.96226415094338</v>
      </c>
      <c r="N1425" s="10">
        <f t="shared" si="67"/>
        <v>334</v>
      </c>
      <c r="O1425" s="6" t="s">
        <v>68</v>
      </c>
      <c r="P1425" s="6">
        <v>3</v>
      </c>
      <c r="Q1425" s="6">
        <v>11</v>
      </c>
      <c r="R1425" s="6">
        <v>14</v>
      </c>
      <c r="S1425" s="6">
        <v>28</v>
      </c>
      <c r="T1425" s="6" t="str">
        <f t="shared" si="68"/>
        <v>Cuarta</v>
      </c>
    </row>
    <row r="1426" spans="1:20">
      <c r="A1426" s="7" t="s">
        <v>2957</v>
      </c>
      <c r="B1426" s="7" t="s">
        <v>781</v>
      </c>
      <c r="C1426" s="8">
        <v>1</v>
      </c>
      <c r="D1426" s="7" t="s">
        <v>2957</v>
      </c>
      <c r="E1426" s="7" t="s">
        <v>2969</v>
      </c>
      <c r="F1426">
        <v>1271</v>
      </c>
      <c r="G1426" s="6">
        <v>18754</v>
      </c>
      <c r="H1426" s="11" t="s">
        <v>2970</v>
      </c>
      <c r="I1426" s="6">
        <v>48</v>
      </c>
      <c r="J1426" s="6">
        <v>45</v>
      </c>
      <c r="K1426" s="6">
        <v>86</v>
      </c>
      <c r="L1426" s="6">
        <v>42</v>
      </c>
      <c r="M1426" s="10">
        <f t="shared" si="66"/>
        <v>204.76190476190476</v>
      </c>
      <c r="N1426" s="10">
        <f t="shared" si="67"/>
        <v>205</v>
      </c>
      <c r="O1426" s="6" t="s">
        <v>79</v>
      </c>
      <c r="P1426" s="6">
        <v>1</v>
      </c>
      <c r="Q1426" s="6">
        <v>1</v>
      </c>
      <c r="R1426" s="6">
        <v>16</v>
      </c>
      <c r="S1426" s="6">
        <v>18</v>
      </c>
      <c r="T1426" s="6" t="str">
        <f t="shared" si="68"/>
        <v>Quinta</v>
      </c>
    </row>
    <row r="1427" spans="1:20">
      <c r="A1427" s="7" t="s">
        <v>2957</v>
      </c>
      <c r="B1427" s="7" t="s">
        <v>496</v>
      </c>
      <c r="C1427" s="8">
        <v>1</v>
      </c>
      <c r="D1427" s="7" t="s">
        <v>2957</v>
      </c>
      <c r="E1427" s="7" t="s">
        <v>2971</v>
      </c>
      <c r="F1427">
        <v>1467</v>
      </c>
      <c r="G1427" s="6">
        <v>14735</v>
      </c>
      <c r="H1427" s="11" t="s">
        <v>2972</v>
      </c>
      <c r="I1427" s="6">
        <v>61</v>
      </c>
      <c r="J1427" s="6">
        <v>74</v>
      </c>
      <c r="K1427" s="6">
        <v>201</v>
      </c>
      <c r="L1427" s="6">
        <v>52</v>
      </c>
      <c r="M1427" s="10">
        <f t="shared" si="66"/>
        <v>386.53846153846155</v>
      </c>
      <c r="N1427" s="10">
        <f t="shared" si="67"/>
        <v>387</v>
      </c>
      <c r="O1427" s="6" t="s">
        <v>79</v>
      </c>
      <c r="P1427" s="6">
        <v>3</v>
      </c>
      <c r="Q1427" s="6">
        <v>12</v>
      </c>
      <c r="R1427" s="6">
        <v>19</v>
      </c>
      <c r="S1427" s="6">
        <v>34</v>
      </c>
      <c r="T1427" s="6" t="str">
        <f t="shared" si="68"/>
        <v>Cuarta</v>
      </c>
    </row>
    <row r="1428" spans="1:20">
      <c r="A1428" s="7" t="s">
        <v>2957</v>
      </c>
      <c r="B1428" s="7" t="s">
        <v>496</v>
      </c>
      <c r="C1428" s="8">
        <v>1</v>
      </c>
      <c r="D1428" s="7" t="s">
        <v>2957</v>
      </c>
      <c r="E1428" s="7" t="s">
        <v>2967</v>
      </c>
      <c r="F1428">
        <v>1536</v>
      </c>
      <c r="G1428" s="6">
        <v>11066</v>
      </c>
      <c r="H1428" s="11" t="s">
        <v>2968</v>
      </c>
      <c r="I1428" s="6">
        <v>49</v>
      </c>
      <c r="J1428" s="6">
        <v>54</v>
      </c>
      <c r="K1428" s="6">
        <v>177</v>
      </c>
      <c r="L1428" s="6">
        <v>53</v>
      </c>
      <c r="M1428" s="10">
        <f t="shared" si="66"/>
        <v>333.96226415094338</v>
      </c>
      <c r="N1428" s="10">
        <f t="shared" si="67"/>
        <v>334</v>
      </c>
      <c r="O1428" s="6" t="s">
        <v>68</v>
      </c>
      <c r="P1428" s="6">
        <v>3</v>
      </c>
      <c r="Q1428" s="6">
        <v>11</v>
      </c>
      <c r="R1428" s="6">
        <v>14</v>
      </c>
      <c r="S1428" s="6">
        <v>28</v>
      </c>
      <c r="T1428" s="6" t="str">
        <f t="shared" si="68"/>
        <v>Cuarta</v>
      </c>
    </row>
    <row r="1429" spans="1:20">
      <c r="A1429" s="7" t="s">
        <v>2957</v>
      </c>
      <c r="B1429" s="7" t="s">
        <v>496</v>
      </c>
      <c r="C1429" s="8">
        <v>1</v>
      </c>
      <c r="D1429" s="7" t="s">
        <v>2957</v>
      </c>
      <c r="E1429" s="7" t="s">
        <v>2973</v>
      </c>
      <c r="F1429">
        <v>1364</v>
      </c>
      <c r="G1429" s="6">
        <v>18802</v>
      </c>
      <c r="H1429" s="11" t="s">
        <v>2974</v>
      </c>
      <c r="I1429" s="6">
        <v>41</v>
      </c>
      <c r="J1429" s="6">
        <v>12</v>
      </c>
      <c r="K1429" s="6">
        <v>27</v>
      </c>
      <c r="L1429" s="6">
        <v>48</v>
      </c>
      <c r="M1429" s="10">
        <f t="shared" si="66"/>
        <v>56.25</v>
      </c>
      <c r="N1429" s="10">
        <f t="shared" si="67"/>
        <v>57</v>
      </c>
      <c r="O1429" s="6" t="s">
        <v>79</v>
      </c>
      <c r="P1429" s="6">
        <v>1</v>
      </c>
      <c r="Q1429" s="6">
        <v>1</v>
      </c>
      <c r="R1429" s="6">
        <v>4</v>
      </c>
      <c r="S1429" s="6">
        <v>6</v>
      </c>
      <c r="T1429" s="6" t="str">
        <f t="shared" si="68"/>
        <v>Quinta</v>
      </c>
    </row>
    <row r="1430" spans="1:20">
      <c r="A1430" s="7" t="s">
        <v>2957</v>
      </c>
      <c r="B1430" s="7" t="s">
        <v>496</v>
      </c>
      <c r="C1430" s="8">
        <v>1</v>
      </c>
      <c r="D1430" s="7" t="s">
        <v>2957</v>
      </c>
      <c r="E1430" s="7" t="s">
        <v>2975</v>
      </c>
      <c r="F1430">
        <v>1309</v>
      </c>
      <c r="G1430" s="6">
        <v>20682</v>
      </c>
      <c r="H1430" s="11" t="s">
        <v>2976</v>
      </c>
      <c r="I1430" s="6">
        <v>60</v>
      </c>
      <c r="J1430" s="6">
        <v>219</v>
      </c>
      <c r="K1430" s="6">
        <v>556</v>
      </c>
      <c r="L1430" s="6">
        <v>43</v>
      </c>
      <c r="M1430" s="10">
        <f t="shared" si="66"/>
        <v>1293.0232558139535</v>
      </c>
      <c r="N1430" s="10">
        <f t="shared" si="67"/>
        <v>1294</v>
      </c>
      <c r="O1430" s="6" t="s">
        <v>12</v>
      </c>
      <c r="P1430" s="6">
        <v>15</v>
      </c>
      <c r="Q1430" s="6">
        <v>19</v>
      </c>
      <c r="R1430" s="6">
        <v>62</v>
      </c>
      <c r="S1430" s="6">
        <v>96</v>
      </c>
      <c r="T1430" s="6" t="str">
        <f t="shared" si="68"/>
        <v>Quinta</v>
      </c>
    </row>
    <row r="1431" spans="1:20">
      <c r="A1431" s="7" t="s">
        <v>2957</v>
      </c>
      <c r="B1431" s="7" t="s">
        <v>496</v>
      </c>
      <c r="C1431" s="8">
        <v>1</v>
      </c>
      <c r="D1431" s="7" t="s">
        <v>2957</v>
      </c>
      <c r="E1431" s="7" t="s">
        <v>2977</v>
      </c>
      <c r="F1431">
        <v>1702</v>
      </c>
      <c r="G1431" s="6">
        <v>2774</v>
      </c>
      <c r="H1431" s="11" t="s">
        <v>2978</v>
      </c>
      <c r="I1431" s="6">
        <v>61</v>
      </c>
      <c r="J1431" s="6">
        <v>5</v>
      </c>
      <c r="K1431" s="6">
        <v>15</v>
      </c>
      <c r="L1431" s="6">
        <v>63</v>
      </c>
      <c r="M1431" s="10">
        <f t="shared" si="66"/>
        <v>23.80952380952381</v>
      </c>
      <c r="N1431" s="10">
        <f t="shared" si="67"/>
        <v>24</v>
      </c>
      <c r="O1431" s="6" t="s">
        <v>356</v>
      </c>
      <c r="P1431" s="6">
        <v>1</v>
      </c>
      <c r="Q1431" s="6">
        <v>0</v>
      </c>
      <c r="R1431" s="6">
        <v>1</v>
      </c>
      <c r="S1431" s="6">
        <v>2</v>
      </c>
      <c r="T1431" s="6" t="str">
        <f t="shared" si="68"/>
        <v>Tercera</v>
      </c>
    </row>
    <row r="1432" spans="1:20">
      <c r="A1432" s="7" t="s">
        <v>2957</v>
      </c>
      <c r="B1432" s="7" t="s">
        <v>496</v>
      </c>
      <c r="C1432" s="8">
        <v>1</v>
      </c>
      <c r="D1432" s="7" t="s">
        <v>2957</v>
      </c>
      <c r="E1432" s="7" t="s">
        <v>2979</v>
      </c>
      <c r="F1432">
        <v>1282</v>
      </c>
      <c r="G1432" s="6">
        <v>5813</v>
      </c>
      <c r="H1432" s="11" t="s">
        <v>2980</v>
      </c>
      <c r="I1432" s="6">
        <v>34</v>
      </c>
      <c r="J1432" s="6">
        <v>21</v>
      </c>
      <c r="K1432" s="6">
        <v>40</v>
      </c>
      <c r="L1432" s="6">
        <v>34</v>
      </c>
      <c r="M1432" s="10">
        <f t="shared" si="66"/>
        <v>117.64705882352941</v>
      </c>
      <c r="N1432" s="10">
        <f t="shared" si="67"/>
        <v>118</v>
      </c>
      <c r="O1432" s="6" t="s">
        <v>18</v>
      </c>
      <c r="P1432" s="6">
        <v>1</v>
      </c>
      <c r="Q1432" s="6">
        <v>2</v>
      </c>
      <c r="R1432" s="6">
        <v>5</v>
      </c>
      <c r="S1432" s="6">
        <v>8</v>
      </c>
      <c r="T1432" s="6" t="str">
        <f t="shared" si="68"/>
        <v>Quinta</v>
      </c>
    </row>
    <row r="1433" spans="1:20">
      <c r="A1433" s="7" t="s">
        <v>2957</v>
      </c>
      <c r="B1433" s="7" t="s">
        <v>496</v>
      </c>
      <c r="C1433" s="8">
        <v>1</v>
      </c>
      <c r="D1433" s="7" t="s">
        <v>2957</v>
      </c>
      <c r="E1433" s="7" t="s">
        <v>2969</v>
      </c>
      <c r="F1433">
        <v>1271</v>
      </c>
      <c r="G1433" s="6">
        <v>18754</v>
      </c>
      <c r="H1433" s="11" t="s">
        <v>2970</v>
      </c>
      <c r="I1433" s="6">
        <v>48</v>
      </c>
      <c r="J1433" s="6">
        <v>45</v>
      </c>
      <c r="K1433" s="6">
        <v>86</v>
      </c>
      <c r="L1433" s="6">
        <v>42</v>
      </c>
      <c r="M1433" s="10">
        <f t="shared" si="66"/>
        <v>204.76190476190476</v>
      </c>
      <c r="N1433" s="10">
        <f t="shared" si="67"/>
        <v>205</v>
      </c>
      <c r="O1433" s="6" t="s">
        <v>79</v>
      </c>
      <c r="P1433" s="6">
        <v>1</v>
      </c>
      <c r="Q1433" s="6">
        <v>1</v>
      </c>
      <c r="R1433" s="6">
        <v>16</v>
      </c>
      <c r="S1433" s="6">
        <v>18</v>
      </c>
      <c r="T1433" s="6" t="str">
        <f t="shared" si="68"/>
        <v>Quinta</v>
      </c>
    </row>
    <row r="1434" spans="1:20">
      <c r="A1434" s="7" t="s">
        <v>2957</v>
      </c>
      <c r="B1434" s="7" t="s">
        <v>496</v>
      </c>
      <c r="C1434" s="8">
        <v>1</v>
      </c>
      <c r="D1434" s="7" t="s">
        <v>2957</v>
      </c>
      <c r="E1434" s="7" t="s">
        <v>2981</v>
      </c>
      <c r="F1434">
        <v>980</v>
      </c>
      <c r="G1434" s="6">
        <v>26406</v>
      </c>
      <c r="H1434" s="11" t="s">
        <v>2982</v>
      </c>
      <c r="I1434" s="6">
        <v>20</v>
      </c>
      <c r="J1434" s="6">
        <v>4</v>
      </c>
      <c r="K1434" s="6">
        <v>7</v>
      </c>
      <c r="L1434" s="6">
        <v>37</v>
      </c>
      <c r="M1434" s="10">
        <f t="shared" si="66"/>
        <v>18.918918918918919</v>
      </c>
      <c r="N1434" s="10">
        <f t="shared" si="67"/>
        <v>19</v>
      </c>
      <c r="O1434" s="6" t="s">
        <v>262</v>
      </c>
      <c r="P1434" s="6">
        <v>0</v>
      </c>
      <c r="Q1434" s="6">
        <v>0</v>
      </c>
      <c r="R1434" s="6">
        <v>1</v>
      </c>
      <c r="S1434" s="6">
        <v>1</v>
      </c>
      <c r="T1434" s="6" t="str">
        <f t="shared" si="68"/>
        <v>Septima</v>
      </c>
    </row>
    <row r="1435" spans="1:20">
      <c r="A1435" s="7" t="s">
        <v>2957</v>
      </c>
      <c r="B1435" s="7" t="s">
        <v>507</v>
      </c>
      <c r="C1435" s="8">
        <v>1</v>
      </c>
      <c r="D1435" s="7" t="s">
        <v>2957</v>
      </c>
      <c r="E1435" s="7" t="s">
        <v>2973</v>
      </c>
      <c r="F1435">
        <v>1364</v>
      </c>
      <c r="G1435" s="6">
        <v>18802</v>
      </c>
      <c r="H1435" s="11" t="s">
        <v>2974</v>
      </c>
      <c r="I1435" s="6">
        <v>41</v>
      </c>
      <c r="J1435" s="6">
        <v>12</v>
      </c>
      <c r="K1435" s="6">
        <v>27</v>
      </c>
      <c r="L1435" s="6">
        <v>48</v>
      </c>
      <c r="M1435" s="10">
        <f t="shared" si="66"/>
        <v>56.25</v>
      </c>
      <c r="N1435" s="10">
        <f t="shared" si="67"/>
        <v>57</v>
      </c>
      <c r="O1435" s="6" t="s">
        <v>79</v>
      </c>
      <c r="P1435" s="6">
        <v>1</v>
      </c>
      <c r="Q1435" s="6">
        <v>1</v>
      </c>
      <c r="R1435" s="6">
        <v>4</v>
      </c>
      <c r="S1435" s="6">
        <v>6</v>
      </c>
      <c r="T1435" s="6" t="str">
        <f t="shared" si="68"/>
        <v>Quinta</v>
      </c>
    </row>
    <row r="1436" spans="1:20">
      <c r="A1436" s="7" t="s">
        <v>2957</v>
      </c>
      <c r="B1436" s="7" t="s">
        <v>507</v>
      </c>
      <c r="C1436" s="8">
        <v>1</v>
      </c>
      <c r="D1436" s="7" t="s">
        <v>2957</v>
      </c>
      <c r="E1436" s="7" t="s">
        <v>2975</v>
      </c>
      <c r="F1436">
        <v>1309</v>
      </c>
      <c r="G1436" s="6">
        <v>20682</v>
      </c>
      <c r="H1436" s="11" t="s">
        <v>2976</v>
      </c>
      <c r="I1436" s="6">
        <v>60</v>
      </c>
      <c r="J1436" s="6">
        <v>219</v>
      </c>
      <c r="K1436" s="6">
        <v>556</v>
      </c>
      <c r="L1436" s="6">
        <v>43</v>
      </c>
      <c r="M1436" s="10">
        <f t="shared" si="66"/>
        <v>1293.0232558139535</v>
      </c>
      <c r="N1436" s="10">
        <f t="shared" si="67"/>
        <v>1294</v>
      </c>
      <c r="O1436" s="6" t="s">
        <v>12</v>
      </c>
      <c r="P1436" s="6">
        <v>15</v>
      </c>
      <c r="Q1436" s="6">
        <v>19</v>
      </c>
      <c r="R1436" s="6">
        <v>62</v>
      </c>
      <c r="S1436" s="6">
        <v>96</v>
      </c>
      <c r="T1436" s="6" t="str">
        <f t="shared" si="68"/>
        <v>Quinta</v>
      </c>
    </row>
    <row r="1437" spans="1:20">
      <c r="A1437" s="7" t="s">
        <v>2957</v>
      </c>
      <c r="B1437" s="7" t="s">
        <v>507</v>
      </c>
      <c r="C1437" s="8">
        <v>1</v>
      </c>
      <c r="D1437" s="7" t="s">
        <v>2957</v>
      </c>
      <c r="E1437" s="7" t="s">
        <v>2983</v>
      </c>
      <c r="F1437">
        <v>1212</v>
      </c>
      <c r="G1437" s="6">
        <v>25499</v>
      </c>
      <c r="H1437" s="11" t="s">
        <v>2984</v>
      </c>
      <c r="I1437" s="6">
        <v>37</v>
      </c>
      <c r="J1437" s="6">
        <v>166</v>
      </c>
      <c r="K1437" s="6">
        <v>383</v>
      </c>
      <c r="L1437" s="6">
        <v>54</v>
      </c>
      <c r="M1437" s="10">
        <f t="shared" si="66"/>
        <v>709.25925925925924</v>
      </c>
      <c r="N1437" s="10">
        <f t="shared" si="67"/>
        <v>710</v>
      </c>
      <c r="O1437" s="6" t="s">
        <v>19</v>
      </c>
      <c r="P1437" s="6">
        <v>20</v>
      </c>
      <c r="Q1437" s="6">
        <v>10</v>
      </c>
      <c r="R1437" s="6">
        <v>36</v>
      </c>
      <c r="S1437" s="6">
        <v>66</v>
      </c>
      <c r="T1437" s="6" t="str">
        <f t="shared" si="68"/>
        <v>Quinta</v>
      </c>
    </row>
    <row r="1438" spans="1:20">
      <c r="A1438" s="7" t="s">
        <v>2957</v>
      </c>
      <c r="B1438" s="7" t="s">
        <v>507</v>
      </c>
      <c r="C1438" s="8">
        <v>1</v>
      </c>
      <c r="D1438" s="7" t="s">
        <v>2957</v>
      </c>
      <c r="E1438" s="7" t="s">
        <v>2979</v>
      </c>
      <c r="F1438">
        <v>1282</v>
      </c>
      <c r="G1438" s="6">
        <v>5813</v>
      </c>
      <c r="H1438" s="11" t="s">
        <v>2980</v>
      </c>
      <c r="I1438" s="6">
        <v>34</v>
      </c>
      <c r="J1438" s="6">
        <v>21</v>
      </c>
      <c r="K1438" s="6">
        <v>40</v>
      </c>
      <c r="L1438" s="6">
        <v>34</v>
      </c>
      <c r="M1438" s="10">
        <f t="shared" si="66"/>
        <v>117.64705882352941</v>
      </c>
      <c r="N1438" s="10">
        <f t="shared" si="67"/>
        <v>118</v>
      </c>
      <c r="O1438" s="6" t="s">
        <v>18</v>
      </c>
      <c r="P1438" s="6">
        <v>1</v>
      </c>
      <c r="Q1438" s="6">
        <v>2</v>
      </c>
      <c r="R1438" s="6">
        <v>5</v>
      </c>
      <c r="S1438" s="6">
        <v>8</v>
      </c>
      <c r="T1438" s="6" t="str">
        <f t="shared" si="68"/>
        <v>Quinta</v>
      </c>
    </row>
    <row r="1439" spans="1:20">
      <c r="A1439" s="7" t="s">
        <v>2957</v>
      </c>
      <c r="B1439" s="7" t="s">
        <v>507</v>
      </c>
      <c r="C1439" s="8">
        <v>1</v>
      </c>
      <c r="D1439" s="7" t="s">
        <v>2957</v>
      </c>
      <c r="E1439" s="7" t="s">
        <v>2969</v>
      </c>
      <c r="F1439">
        <v>1271</v>
      </c>
      <c r="G1439" s="6">
        <v>18754</v>
      </c>
      <c r="H1439" s="11" t="s">
        <v>2970</v>
      </c>
      <c r="I1439" s="6">
        <v>48</v>
      </c>
      <c r="J1439" s="6">
        <v>45</v>
      </c>
      <c r="K1439" s="6">
        <v>86</v>
      </c>
      <c r="L1439" s="6">
        <v>42</v>
      </c>
      <c r="M1439" s="10">
        <f t="shared" si="66"/>
        <v>204.76190476190476</v>
      </c>
      <c r="N1439" s="10">
        <f t="shared" si="67"/>
        <v>205</v>
      </c>
      <c r="O1439" s="6" t="s">
        <v>79</v>
      </c>
      <c r="P1439" s="6">
        <v>1</v>
      </c>
      <c r="Q1439" s="6">
        <v>1</v>
      </c>
      <c r="R1439" s="6">
        <v>16</v>
      </c>
      <c r="S1439" s="6">
        <v>18</v>
      </c>
      <c r="T1439" s="6" t="str">
        <f t="shared" si="68"/>
        <v>Quinta</v>
      </c>
    </row>
    <row r="1440" spans="1:20">
      <c r="A1440" s="7" t="s">
        <v>2957</v>
      </c>
      <c r="B1440" s="7" t="s">
        <v>507</v>
      </c>
      <c r="C1440" s="8">
        <v>1</v>
      </c>
      <c r="D1440" s="7" t="s">
        <v>2957</v>
      </c>
      <c r="E1440" s="7" t="s">
        <v>2985</v>
      </c>
      <c r="F1440">
        <v>1173</v>
      </c>
      <c r="G1440" s="6">
        <v>24172</v>
      </c>
      <c r="H1440" s="11" t="s">
        <v>2986</v>
      </c>
      <c r="I1440" s="6">
        <v>15</v>
      </c>
      <c r="J1440" s="6">
        <v>20</v>
      </c>
      <c r="K1440" s="6">
        <v>53</v>
      </c>
      <c r="L1440" s="6">
        <v>51</v>
      </c>
      <c r="M1440" s="10">
        <f t="shared" si="66"/>
        <v>103.92156862745098</v>
      </c>
      <c r="N1440" s="10">
        <f t="shared" si="67"/>
        <v>104</v>
      </c>
      <c r="O1440" s="6" t="s">
        <v>51</v>
      </c>
      <c r="P1440" s="6">
        <v>1</v>
      </c>
      <c r="Q1440" s="6">
        <v>3</v>
      </c>
      <c r="R1440" s="6">
        <v>4</v>
      </c>
      <c r="S1440" s="6">
        <v>8</v>
      </c>
      <c r="T1440" s="6" t="str">
        <f t="shared" si="68"/>
        <v>Sexta</v>
      </c>
    </row>
    <row r="1441" spans="1:20">
      <c r="A1441" s="7" t="s">
        <v>2957</v>
      </c>
      <c r="B1441" s="7" t="s">
        <v>507</v>
      </c>
      <c r="C1441" s="8">
        <v>1</v>
      </c>
      <c r="D1441" s="7" t="s">
        <v>2957</v>
      </c>
      <c r="E1441" s="7" t="s">
        <v>2981</v>
      </c>
      <c r="F1441">
        <v>980</v>
      </c>
      <c r="G1441" s="6">
        <v>26406</v>
      </c>
      <c r="H1441" s="11" t="s">
        <v>2982</v>
      </c>
      <c r="I1441" s="6">
        <v>20</v>
      </c>
      <c r="J1441" s="6">
        <v>4</v>
      </c>
      <c r="K1441" s="6">
        <v>7</v>
      </c>
      <c r="L1441" s="6">
        <v>37</v>
      </c>
      <c r="M1441" s="10">
        <f t="shared" si="66"/>
        <v>18.918918918918919</v>
      </c>
      <c r="N1441" s="10">
        <f t="shared" si="67"/>
        <v>19</v>
      </c>
      <c r="O1441" s="6" t="s">
        <v>262</v>
      </c>
      <c r="P1441" s="6">
        <v>0</v>
      </c>
      <c r="Q1441" s="6">
        <v>0</v>
      </c>
      <c r="R1441" s="6">
        <v>1</v>
      </c>
      <c r="S1441" s="6">
        <v>1</v>
      </c>
      <c r="T1441" s="6" t="str">
        <f t="shared" si="68"/>
        <v>Septima</v>
      </c>
    </row>
    <row r="1442" spans="1:20">
      <c r="A1442" s="7" t="s">
        <v>2957</v>
      </c>
      <c r="B1442" s="7" t="s">
        <v>507</v>
      </c>
      <c r="C1442" s="8">
        <v>1</v>
      </c>
      <c r="D1442" s="7" t="s">
        <v>2957</v>
      </c>
      <c r="E1442" s="7" t="s">
        <v>2987</v>
      </c>
      <c r="F1442">
        <v>1098</v>
      </c>
      <c r="G1442" s="6">
        <v>27631</v>
      </c>
      <c r="H1442" s="11" t="s">
        <v>2988</v>
      </c>
      <c r="I1442" s="6">
        <v>38</v>
      </c>
      <c r="J1442" s="6">
        <v>27</v>
      </c>
      <c r="K1442" s="6">
        <v>53</v>
      </c>
      <c r="L1442" s="6">
        <v>50</v>
      </c>
      <c r="M1442" s="10">
        <f t="shared" si="66"/>
        <v>106</v>
      </c>
      <c r="N1442" s="10">
        <f t="shared" si="67"/>
        <v>106</v>
      </c>
      <c r="O1442" s="6" t="s">
        <v>12</v>
      </c>
      <c r="P1442" s="6">
        <v>3</v>
      </c>
      <c r="Q1442" s="6">
        <v>2</v>
      </c>
      <c r="R1442" s="6">
        <v>5</v>
      </c>
      <c r="S1442" s="6">
        <v>10</v>
      </c>
      <c r="T1442" s="6" t="str">
        <f t="shared" si="68"/>
        <v>Sexta</v>
      </c>
    </row>
    <row r="1443" spans="1:20">
      <c r="A1443" s="7" t="s">
        <v>2989</v>
      </c>
      <c r="B1443" s="7" t="s">
        <v>781</v>
      </c>
      <c r="C1443" s="8">
        <v>1</v>
      </c>
      <c r="D1443" s="7" t="s">
        <v>2989</v>
      </c>
      <c r="E1443" s="7" t="s">
        <v>2990</v>
      </c>
      <c r="F1443">
        <v>2166</v>
      </c>
      <c r="G1443" s="6">
        <v>2301</v>
      </c>
      <c r="H1443" s="11" t="s">
        <v>2991</v>
      </c>
      <c r="I1443" s="6">
        <v>33</v>
      </c>
      <c r="J1443" s="6">
        <v>112</v>
      </c>
      <c r="K1443" s="6">
        <v>317</v>
      </c>
      <c r="L1443" s="6">
        <v>50</v>
      </c>
      <c r="M1443" s="10">
        <f t="shared" si="66"/>
        <v>634</v>
      </c>
      <c r="N1443" s="10">
        <f t="shared" si="67"/>
        <v>634</v>
      </c>
      <c r="O1443" s="6" t="s">
        <v>171</v>
      </c>
      <c r="P1443" s="6">
        <v>4</v>
      </c>
      <c r="Q1443" s="6">
        <v>7</v>
      </c>
      <c r="R1443" s="6">
        <v>19</v>
      </c>
      <c r="S1443" s="6">
        <v>30</v>
      </c>
      <c r="T1443" s="6" t="str">
        <f t="shared" si="68"/>
        <v>Primera</v>
      </c>
    </row>
    <row r="1444" spans="1:20">
      <c r="A1444" s="7" t="s">
        <v>2989</v>
      </c>
      <c r="B1444" s="7" t="s">
        <v>781</v>
      </c>
      <c r="C1444" s="8">
        <v>1</v>
      </c>
      <c r="D1444" s="7" t="s">
        <v>2989</v>
      </c>
      <c r="E1444" s="7" t="s">
        <v>2992</v>
      </c>
      <c r="F1444">
        <v>1682</v>
      </c>
      <c r="G1444" s="6">
        <v>966</v>
      </c>
      <c r="H1444" s="11" t="s">
        <v>2993</v>
      </c>
      <c r="I1444" s="6">
        <v>35</v>
      </c>
      <c r="J1444" s="6">
        <v>151</v>
      </c>
      <c r="K1444" s="6">
        <v>435</v>
      </c>
      <c r="L1444" s="6">
        <v>54</v>
      </c>
      <c r="M1444" s="10">
        <f t="shared" si="66"/>
        <v>805.55555555555554</v>
      </c>
      <c r="N1444" s="10">
        <f t="shared" si="67"/>
        <v>806</v>
      </c>
      <c r="O1444" s="6" t="s">
        <v>136</v>
      </c>
      <c r="P1444" s="6">
        <v>7</v>
      </c>
      <c r="Q1444" s="6">
        <v>11</v>
      </c>
      <c r="R1444" s="6">
        <v>26</v>
      </c>
      <c r="S1444" s="6">
        <v>44</v>
      </c>
      <c r="T1444" s="6" t="str">
        <f t="shared" si="68"/>
        <v>Tercera</v>
      </c>
    </row>
    <row r="1445" spans="1:20">
      <c r="A1445" s="7" t="s">
        <v>2989</v>
      </c>
      <c r="B1445" s="7" t="s">
        <v>781</v>
      </c>
      <c r="C1445" s="8">
        <v>1</v>
      </c>
      <c r="D1445" s="7" t="s">
        <v>2989</v>
      </c>
      <c r="E1445" s="7" t="s">
        <v>2994</v>
      </c>
      <c r="F1445">
        <v>2113</v>
      </c>
      <c r="G1445" s="6">
        <v>489</v>
      </c>
      <c r="H1445" s="11" t="s">
        <v>2995</v>
      </c>
      <c r="I1445" s="6">
        <v>39</v>
      </c>
      <c r="J1445" s="6">
        <v>177</v>
      </c>
      <c r="K1445" s="6">
        <v>608</v>
      </c>
      <c r="L1445" s="6">
        <v>63</v>
      </c>
      <c r="M1445" s="10">
        <f t="shared" si="66"/>
        <v>965.07936507936506</v>
      </c>
      <c r="N1445" s="10">
        <f t="shared" si="67"/>
        <v>966</v>
      </c>
      <c r="O1445" s="6" t="s">
        <v>106</v>
      </c>
      <c r="P1445" s="6">
        <v>29</v>
      </c>
      <c r="Q1445" s="6">
        <v>14</v>
      </c>
      <c r="R1445" s="6">
        <v>38</v>
      </c>
      <c r="S1445" s="6">
        <v>81</v>
      </c>
      <c r="T1445" s="6" t="str">
        <f t="shared" si="68"/>
        <v>Primera</v>
      </c>
    </row>
    <row r="1446" spans="1:20">
      <c r="A1446" s="7" t="s">
        <v>2989</v>
      </c>
      <c r="B1446" s="7" t="s">
        <v>781</v>
      </c>
      <c r="C1446" s="8">
        <v>1</v>
      </c>
      <c r="D1446" s="7" t="s">
        <v>2989</v>
      </c>
      <c r="E1446" s="7" t="s">
        <v>2996</v>
      </c>
      <c r="F1446">
        <v>1892</v>
      </c>
      <c r="G1446" s="6">
        <v>19003</v>
      </c>
      <c r="H1446" s="11" t="s">
        <v>2997</v>
      </c>
      <c r="I1446" s="6">
        <v>28</v>
      </c>
      <c r="J1446" s="6">
        <v>121</v>
      </c>
      <c r="K1446" s="6">
        <v>339</v>
      </c>
      <c r="L1446" s="6">
        <v>58</v>
      </c>
      <c r="M1446" s="10">
        <f t="shared" si="66"/>
        <v>584.48275862068965</v>
      </c>
      <c r="N1446" s="10">
        <f t="shared" si="67"/>
        <v>585</v>
      </c>
      <c r="O1446" s="6" t="s">
        <v>18</v>
      </c>
      <c r="P1446" s="6">
        <v>22</v>
      </c>
      <c r="Q1446" s="6">
        <v>8</v>
      </c>
      <c r="R1446" s="6">
        <v>18</v>
      </c>
      <c r="S1446" s="6">
        <v>48</v>
      </c>
      <c r="T1446" s="6" t="str">
        <f t="shared" si="68"/>
        <v>Segunda</v>
      </c>
    </row>
    <row r="1447" spans="1:20">
      <c r="A1447" s="7" t="s">
        <v>2989</v>
      </c>
      <c r="B1447" s="7" t="s">
        <v>781</v>
      </c>
      <c r="C1447" s="8">
        <v>1</v>
      </c>
      <c r="D1447" s="7" t="s">
        <v>2989</v>
      </c>
      <c r="E1447" s="7" t="s">
        <v>2998</v>
      </c>
      <c r="F1447">
        <v>1829</v>
      </c>
      <c r="G1447" s="6">
        <v>5141</v>
      </c>
      <c r="H1447" s="11" t="s">
        <v>2999</v>
      </c>
      <c r="I1447" s="6">
        <v>34</v>
      </c>
      <c r="J1447" s="6">
        <v>22</v>
      </c>
      <c r="K1447" s="6">
        <v>66</v>
      </c>
      <c r="L1447" s="6">
        <v>62</v>
      </c>
      <c r="M1447" s="10">
        <f t="shared" si="66"/>
        <v>106.45161290322581</v>
      </c>
      <c r="N1447" s="10">
        <f t="shared" si="67"/>
        <v>107</v>
      </c>
      <c r="O1447" s="6" t="s">
        <v>70</v>
      </c>
      <c r="P1447" s="6">
        <v>2</v>
      </c>
      <c r="Q1447" s="6">
        <v>3</v>
      </c>
      <c r="R1447" s="6">
        <v>2</v>
      </c>
      <c r="S1447" s="6">
        <v>7</v>
      </c>
      <c r="T1447" s="6" t="str">
        <f t="shared" si="68"/>
        <v>Segunda</v>
      </c>
    </row>
    <row r="1448" spans="1:20">
      <c r="A1448" s="7" t="s">
        <v>2989</v>
      </c>
      <c r="B1448" s="7" t="s">
        <v>781</v>
      </c>
      <c r="C1448" s="8">
        <v>1</v>
      </c>
      <c r="D1448" s="7" t="s">
        <v>2989</v>
      </c>
      <c r="E1448" s="7" t="s">
        <v>3000</v>
      </c>
      <c r="F1448">
        <v>1565</v>
      </c>
      <c r="G1448" s="6">
        <v>668</v>
      </c>
      <c r="H1448" s="11" t="s">
        <v>3001</v>
      </c>
      <c r="I1448" s="6">
        <v>35</v>
      </c>
      <c r="J1448" s="6">
        <v>3</v>
      </c>
      <c r="K1448" s="6">
        <v>3</v>
      </c>
      <c r="L1448" s="6">
        <v>23</v>
      </c>
      <c r="M1448" s="10">
        <f t="shared" si="66"/>
        <v>13.043478260869565</v>
      </c>
      <c r="N1448" s="10">
        <f t="shared" si="67"/>
        <v>14</v>
      </c>
      <c r="O1448" s="6" t="s">
        <v>357</v>
      </c>
      <c r="P1448" s="6">
        <v>0</v>
      </c>
      <c r="Q1448" s="6">
        <v>0</v>
      </c>
      <c r="R1448" s="6">
        <v>0</v>
      </c>
      <c r="S1448" s="6">
        <v>0</v>
      </c>
      <c r="T1448" s="6" t="str">
        <f t="shared" si="68"/>
        <v>Cuarta</v>
      </c>
    </row>
    <row r="1449" spans="1:20">
      <c r="A1449" s="7" t="s">
        <v>2989</v>
      </c>
      <c r="B1449" s="7" t="s">
        <v>781</v>
      </c>
      <c r="C1449" s="8">
        <v>1</v>
      </c>
      <c r="D1449" s="7" t="s">
        <v>2989</v>
      </c>
      <c r="E1449" s="7" t="s">
        <v>3002</v>
      </c>
      <c r="F1449">
        <v>1668</v>
      </c>
      <c r="G1449" s="6">
        <v>11250</v>
      </c>
      <c r="H1449" s="11" t="s">
        <v>3003</v>
      </c>
      <c r="I1449" s="6">
        <v>59</v>
      </c>
      <c r="J1449" s="6">
        <v>42</v>
      </c>
      <c r="K1449" s="6">
        <v>110</v>
      </c>
      <c r="L1449" s="6">
        <v>54</v>
      </c>
      <c r="M1449" s="10">
        <f t="shared" si="66"/>
        <v>203.7037037037037</v>
      </c>
      <c r="N1449" s="10">
        <f t="shared" si="67"/>
        <v>204</v>
      </c>
      <c r="O1449" s="6" t="s">
        <v>358</v>
      </c>
      <c r="P1449" s="6">
        <v>5</v>
      </c>
      <c r="Q1449" s="6">
        <v>7</v>
      </c>
      <c r="R1449" s="6">
        <v>6</v>
      </c>
      <c r="S1449" s="6">
        <v>18</v>
      </c>
      <c r="T1449" s="6" t="str">
        <f t="shared" si="68"/>
        <v>Tercera</v>
      </c>
    </row>
    <row r="1450" spans="1:20">
      <c r="A1450" s="7" t="s">
        <v>2989</v>
      </c>
      <c r="B1450" s="7" t="s">
        <v>468</v>
      </c>
      <c r="C1450" s="8">
        <v>1</v>
      </c>
      <c r="D1450" s="7" t="s">
        <v>2989</v>
      </c>
      <c r="E1450" s="7" t="s">
        <v>3004</v>
      </c>
      <c r="F1450">
        <v>1787</v>
      </c>
      <c r="G1450" s="6">
        <v>4982</v>
      </c>
      <c r="H1450" s="11" t="s">
        <v>3005</v>
      </c>
      <c r="I1450" s="6">
        <v>66</v>
      </c>
      <c r="J1450" s="6">
        <v>3</v>
      </c>
      <c r="K1450" s="6">
        <v>7</v>
      </c>
      <c r="L1450" s="6">
        <v>50</v>
      </c>
      <c r="M1450" s="10">
        <f t="shared" si="66"/>
        <v>14</v>
      </c>
      <c r="N1450" s="10">
        <f t="shared" si="67"/>
        <v>14</v>
      </c>
      <c r="O1450" s="6" t="s">
        <v>328</v>
      </c>
      <c r="P1450" s="6">
        <v>1</v>
      </c>
      <c r="Q1450" s="6">
        <v>0</v>
      </c>
      <c r="R1450" s="6">
        <v>0</v>
      </c>
      <c r="S1450" s="6">
        <v>1</v>
      </c>
      <c r="T1450" s="6" t="str">
        <f t="shared" si="68"/>
        <v>Tercera</v>
      </c>
    </row>
    <row r="1451" spans="1:20">
      <c r="A1451" s="7" t="s">
        <v>2989</v>
      </c>
      <c r="B1451" s="7" t="s">
        <v>468</v>
      </c>
      <c r="C1451" s="8">
        <v>1</v>
      </c>
      <c r="D1451" s="7" t="s">
        <v>2989</v>
      </c>
      <c r="E1451" s="7" t="s">
        <v>3006</v>
      </c>
      <c r="F1451">
        <v>1664</v>
      </c>
      <c r="G1451" s="6">
        <v>25553</v>
      </c>
      <c r="H1451" s="11" t="s">
        <v>3007</v>
      </c>
      <c r="I1451" s="6">
        <v>26</v>
      </c>
      <c r="J1451" s="6">
        <v>21</v>
      </c>
      <c r="K1451" s="6">
        <v>79</v>
      </c>
      <c r="L1451" s="6">
        <v>61</v>
      </c>
      <c r="M1451" s="10">
        <f t="shared" si="66"/>
        <v>129.50819672131146</v>
      </c>
      <c r="N1451" s="10">
        <f t="shared" si="67"/>
        <v>130</v>
      </c>
      <c r="O1451" s="6" t="s">
        <v>27</v>
      </c>
      <c r="P1451" s="6">
        <v>3</v>
      </c>
      <c r="Q1451" s="6">
        <v>2</v>
      </c>
      <c r="R1451" s="6">
        <v>6</v>
      </c>
      <c r="S1451" s="6">
        <v>11</v>
      </c>
      <c r="T1451" s="6" t="str">
        <f t="shared" si="68"/>
        <v>Tercera</v>
      </c>
    </row>
    <row r="1452" spans="1:20">
      <c r="A1452" s="7" t="s">
        <v>2989</v>
      </c>
      <c r="B1452" s="7" t="s">
        <v>468</v>
      </c>
      <c r="C1452" s="8">
        <v>1</v>
      </c>
      <c r="D1452" s="7" t="s">
        <v>2989</v>
      </c>
      <c r="E1452" s="7" t="s">
        <v>3008</v>
      </c>
      <c r="F1452">
        <v>1791</v>
      </c>
      <c r="G1452" s="6">
        <v>2209</v>
      </c>
      <c r="H1452" s="11" t="s">
        <v>3009</v>
      </c>
      <c r="I1452" s="6">
        <v>47</v>
      </c>
      <c r="J1452" s="6">
        <v>16</v>
      </c>
      <c r="K1452" s="6">
        <v>41</v>
      </c>
      <c r="L1452" s="6">
        <v>59</v>
      </c>
      <c r="M1452" s="10">
        <f t="shared" si="66"/>
        <v>69.491525423728817</v>
      </c>
      <c r="N1452" s="10">
        <f t="shared" si="67"/>
        <v>70</v>
      </c>
      <c r="O1452" s="6" t="s">
        <v>106</v>
      </c>
      <c r="P1452" s="6">
        <v>0</v>
      </c>
      <c r="Q1452" s="6">
        <v>2</v>
      </c>
      <c r="R1452" s="6">
        <v>3</v>
      </c>
      <c r="S1452" s="6">
        <v>5</v>
      </c>
      <c r="T1452" s="6" t="str">
        <f t="shared" si="68"/>
        <v>Tercera</v>
      </c>
    </row>
    <row r="1453" spans="1:20">
      <c r="A1453" s="7" t="s">
        <v>2989</v>
      </c>
      <c r="B1453" s="7" t="s">
        <v>468</v>
      </c>
      <c r="C1453" s="8">
        <v>1</v>
      </c>
      <c r="D1453" s="7" t="s">
        <v>2989</v>
      </c>
      <c r="E1453" s="7" t="s">
        <v>3010</v>
      </c>
      <c r="F1453">
        <v>1790</v>
      </c>
      <c r="G1453" s="6">
        <v>28426</v>
      </c>
      <c r="H1453" s="11" t="s">
        <v>3011</v>
      </c>
      <c r="I1453" s="6">
        <v>31</v>
      </c>
      <c r="J1453" s="6">
        <v>8</v>
      </c>
      <c r="K1453" s="6">
        <v>27</v>
      </c>
      <c r="L1453" s="6">
        <v>60</v>
      </c>
      <c r="M1453" s="10">
        <f t="shared" si="66"/>
        <v>45</v>
      </c>
      <c r="N1453" s="10">
        <f t="shared" si="67"/>
        <v>45</v>
      </c>
      <c r="O1453" s="6" t="s">
        <v>97</v>
      </c>
      <c r="P1453" s="6">
        <v>0</v>
      </c>
      <c r="Q1453" s="6">
        <v>0</v>
      </c>
      <c r="R1453" s="6">
        <v>3</v>
      </c>
      <c r="S1453" s="6">
        <v>3</v>
      </c>
      <c r="T1453" s="6" t="str">
        <f t="shared" si="68"/>
        <v>Tercera</v>
      </c>
    </row>
    <row r="1454" spans="1:20">
      <c r="A1454" s="7" t="s">
        <v>2989</v>
      </c>
      <c r="B1454" s="7" t="s">
        <v>468</v>
      </c>
      <c r="C1454" s="8">
        <v>1</v>
      </c>
      <c r="D1454" s="7" t="s">
        <v>2989</v>
      </c>
      <c r="E1454" s="7" t="s">
        <v>3000</v>
      </c>
      <c r="F1454">
        <v>1565</v>
      </c>
      <c r="G1454" s="6">
        <v>668</v>
      </c>
      <c r="H1454" s="11" t="s">
        <v>3001</v>
      </c>
      <c r="I1454" s="6">
        <v>35</v>
      </c>
      <c r="J1454" s="6">
        <v>3</v>
      </c>
      <c r="K1454" s="6">
        <v>3</v>
      </c>
      <c r="L1454" s="6">
        <v>23</v>
      </c>
      <c r="M1454" s="10">
        <f t="shared" si="66"/>
        <v>13.043478260869565</v>
      </c>
      <c r="N1454" s="10">
        <f t="shared" si="67"/>
        <v>14</v>
      </c>
      <c r="O1454" s="6" t="s">
        <v>357</v>
      </c>
      <c r="P1454" s="6">
        <v>0</v>
      </c>
      <c r="Q1454" s="6">
        <v>0</v>
      </c>
      <c r="R1454" s="6">
        <v>0</v>
      </c>
      <c r="S1454" s="6">
        <v>0</v>
      </c>
      <c r="T1454" s="6" t="str">
        <f t="shared" si="68"/>
        <v>Cuarta</v>
      </c>
    </row>
    <row r="1455" spans="1:20">
      <c r="A1455" s="7" t="s">
        <v>2989</v>
      </c>
      <c r="B1455" s="7" t="s">
        <v>468</v>
      </c>
      <c r="C1455" s="8">
        <v>1</v>
      </c>
      <c r="D1455" s="7" t="s">
        <v>2989</v>
      </c>
      <c r="E1455" s="7" t="s">
        <v>3012</v>
      </c>
      <c r="F1455">
        <v>1703</v>
      </c>
      <c r="G1455" s="6">
        <v>11781</v>
      </c>
      <c r="H1455" s="11" t="s">
        <v>3013</v>
      </c>
      <c r="I1455" s="6">
        <v>26</v>
      </c>
      <c r="J1455" s="6">
        <v>31</v>
      </c>
      <c r="K1455" s="6">
        <v>82</v>
      </c>
      <c r="L1455" s="6">
        <v>49</v>
      </c>
      <c r="M1455" s="10">
        <f t="shared" si="66"/>
        <v>167.34693877551021</v>
      </c>
      <c r="N1455" s="10">
        <f t="shared" si="67"/>
        <v>168</v>
      </c>
      <c r="O1455" s="6" t="s">
        <v>19</v>
      </c>
      <c r="P1455" s="6">
        <v>3</v>
      </c>
      <c r="Q1455" s="6">
        <v>1</v>
      </c>
      <c r="R1455" s="6">
        <v>1</v>
      </c>
      <c r="S1455" s="6">
        <v>5</v>
      </c>
      <c r="T1455" s="6" t="str">
        <f t="shared" si="68"/>
        <v>Tercera</v>
      </c>
    </row>
    <row r="1456" spans="1:20">
      <c r="A1456" s="7" t="s">
        <v>2989</v>
      </c>
      <c r="B1456" s="7" t="s">
        <v>468</v>
      </c>
      <c r="C1456" s="8">
        <v>1</v>
      </c>
      <c r="D1456" s="7" t="s">
        <v>2989</v>
      </c>
      <c r="E1456" s="7" t="s">
        <v>3014</v>
      </c>
      <c r="F1456">
        <v>1449</v>
      </c>
      <c r="G1456" s="6">
        <v>12094</v>
      </c>
      <c r="H1456" s="11" t="s">
        <v>3015</v>
      </c>
      <c r="I1456" s="6">
        <v>61</v>
      </c>
      <c r="J1456" s="6">
        <v>89</v>
      </c>
      <c r="K1456" s="6">
        <v>191</v>
      </c>
      <c r="L1456" s="6">
        <v>54</v>
      </c>
      <c r="M1456" s="10">
        <f t="shared" si="66"/>
        <v>353.7037037037037</v>
      </c>
      <c r="N1456" s="10">
        <f t="shared" si="67"/>
        <v>354</v>
      </c>
      <c r="O1456" s="6" t="s">
        <v>43</v>
      </c>
      <c r="P1456" s="6">
        <v>3</v>
      </c>
      <c r="Q1456" s="6">
        <v>3</v>
      </c>
      <c r="R1456" s="6">
        <v>13</v>
      </c>
      <c r="S1456" s="6">
        <v>19</v>
      </c>
      <c r="T1456" s="6" t="str">
        <f t="shared" si="68"/>
        <v>Cuarta</v>
      </c>
    </row>
    <row r="1457" spans="1:20">
      <c r="A1457" s="7" t="s">
        <v>2989</v>
      </c>
      <c r="B1457" s="7" t="s">
        <v>483</v>
      </c>
      <c r="C1457" s="8">
        <v>1</v>
      </c>
      <c r="D1457" s="7" t="s">
        <v>2989</v>
      </c>
      <c r="E1457" s="7" t="s">
        <v>3000</v>
      </c>
      <c r="F1457">
        <v>1565</v>
      </c>
      <c r="G1457" s="6">
        <v>668</v>
      </c>
      <c r="H1457" s="11" t="s">
        <v>3001</v>
      </c>
      <c r="I1457" s="6">
        <v>35</v>
      </c>
      <c r="J1457" s="6">
        <v>3</v>
      </c>
      <c r="K1457" s="6">
        <v>3</v>
      </c>
      <c r="L1457" s="6">
        <v>23</v>
      </c>
      <c r="M1457" s="10">
        <f t="shared" si="66"/>
        <v>13.043478260869565</v>
      </c>
      <c r="N1457" s="10">
        <f t="shared" si="67"/>
        <v>14</v>
      </c>
      <c r="O1457" s="6" t="s">
        <v>357</v>
      </c>
      <c r="P1457" s="6">
        <v>0</v>
      </c>
      <c r="Q1457" s="6">
        <v>0</v>
      </c>
      <c r="R1457" s="6">
        <v>0</v>
      </c>
      <c r="S1457" s="6">
        <v>0</v>
      </c>
      <c r="T1457" s="6" t="str">
        <f t="shared" si="68"/>
        <v>Cuarta</v>
      </c>
    </row>
    <row r="1458" spans="1:20">
      <c r="A1458" s="7" t="s">
        <v>2989</v>
      </c>
      <c r="B1458" s="7" t="s">
        <v>483</v>
      </c>
      <c r="C1458" s="8">
        <v>1</v>
      </c>
      <c r="D1458" s="7" t="s">
        <v>2989</v>
      </c>
      <c r="E1458" s="7" t="s">
        <v>3016</v>
      </c>
      <c r="F1458">
        <v>1680</v>
      </c>
      <c r="G1458" s="6">
        <v>24849</v>
      </c>
      <c r="H1458" s="11" t="s">
        <v>3017</v>
      </c>
      <c r="I1458" s="6">
        <v>34</v>
      </c>
      <c r="J1458" s="6">
        <v>132</v>
      </c>
      <c r="K1458" s="6">
        <v>346</v>
      </c>
      <c r="L1458" s="6">
        <v>49</v>
      </c>
      <c r="M1458" s="10">
        <f t="shared" si="66"/>
        <v>706.12244897959181</v>
      </c>
      <c r="N1458" s="10">
        <f t="shared" si="67"/>
        <v>707</v>
      </c>
      <c r="O1458" s="6" t="s">
        <v>12</v>
      </c>
      <c r="P1458" s="6">
        <v>8</v>
      </c>
      <c r="Q1458" s="6">
        <v>10</v>
      </c>
      <c r="R1458" s="6">
        <v>24</v>
      </c>
      <c r="S1458" s="6">
        <v>42</v>
      </c>
      <c r="T1458" s="6" t="str">
        <f t="shared" si="68"/>
        <v>Tercera</v>
      </c>
    </row>
    <row r="1459" spans="1:20">
      <c r="A1459" s="7" t="s">
        <v>2989</v>
      </c>
      <c r="B1459" s="7" t="s">
        <v>483</v>
      </c>
      <c r="C1459" s="8">
        <v>1</v>
      </c>
      <c r="D1459" s="7" t="s">
        <v>2989</v>
      </c>
      <c r="E1459" s="7" t="s">
        <v>3018</v>
      </c>
      <c r="F1459">
        <v>1608</v>
      </c>
      <c r="G1459" s="6">
        <v>845</v>
      </c>
      <c r="H1459" s="11" t="s">
        <v>3019</v>
      </c>
      <c r="I1459" s="6">
        <v>41</v>
      </c>
      <c r="J1459" s="6">
        <v>97</v>
      </c>
      <c r="K1459" s="6">
        <v>208</v>
      </c>
      <c r="L1459" s="6">
        <v>49</v>
      </c>
      <c r="M1459" s="10">
        <f t="shared" si="66"/>
        <v>424.48979591836735</v>
      </c>
      <c r="N1459" s="10">
        <f t="shared" si="67"/>
        <v>425</v>
      </c>
      <c r="O1459" s="6" t="s">
        <v>18</v>
      </c>
      <c r="P1459" s="6">
        <v>4</v>
      </c>
      <c r="Q1459" s="6">
        <v>4</v>
      </c>
      <c r="R1459" s="6">
        <v>13</v>
      </c>
      <c r="S1459" s="6">
        <v>21</v>
      </c>
      <c r="T1459" s="6" t="str">
        <f t="shared" si="68"/>
        <v>Tercera</v>
      </c>
    </row>
    <row r="1460" spans="1:20">
      <c r="A1460" s="7" t="s">
        <v>2989</v>
      </c>
      <c r="B1460" s="7" t="s">
        <v>483</v>
      </c>
      <c r="C1460" s="8">
        <v>1</v>
      </c>
      <c r="D1460" s="7" t="s">
        <v>2989</v>
      </c>
      <c r="E1460" s="7" t="s">
        <v>3002</v>
      </c>
      <c r="F1460">
        <v>1668</v>
      </c>
      <c r="G1460" s="6">
        <v>11250</v>
      </c>
      <c r="H1460" s="11" t="s">
        <v>3003</v>
      </c>
      <c r="I1460" s="6">
        <v>59</v>
      </c>
      <c r="J1460" s="6">
        <v>42</v>
      </c>
      <c r="K1460" s="6">
        <v>110</v>
      </c>
      <c r="L1460" s="6">
        <v>54</v>
      </c>
      <c r="M1460" s="10">
        <f t="shared" si="66"/>
        <v>203.7037037037037</v>
      </c>
      <c r="N1460" s="10">
        <f t="shared" si="67"/>
        <v>204</v>
      </c>
      <c r="O1460" s="6" t="s">
        <v>358</v>
      </c>
      <c r="P1460" s="6">
        <v>5</v>
      </c>
      <c r="Q1460" s="6">
        <v>7</v>
      </c>
      <c r="R1460" s="6">
        <v>6</v>
      </c>
      <c r="S1460" s="6">
        <v>18</v>
      </c>
      <c r="T1460" s="6" t="str">
        <f t="shared" si="68"/>
        <v>Tercera</v>
      </c>
    </row>
    <row r="1461" spans="1:20">
      <c r="A1461" s="7" t="s">
        <v>2989</v>
      </c>
      <c r="B1461" s="7" t="s">
        <v>483</v>
      </c>
      <c r="C1461" s="8">
        <v>1</v>
      </c>
      <c r="D1461" s="7" t="s">
        <v>2989</v>
      </c>
      <c r="E1461" s="7" t="s">
        <v>3020</v>
      </c>
      <c r="F1461">
        <v>1637</v>
      </c>
      <c r="G1461" s="6">
        <v>25967</v>
      </c>
      <c r="H1461" s="11" t="s">
        <v>3021</v>
      </c>
      <c r="I1461" s="6">
        <v>20</v>
      </c>
      <c r="J1461" s="6">
        <v>106</v>
      </c>
      <c r="K1461" s="6">
        <v>264</v>
      </c>
      <c r="L1461" s="6">
        <v>51</v>
      </c>
      <c r="M1461" s="10">
        <f t="shared" si="66"/>
        <v>517.64705882352939</v>
      </c>
      <c r="N1461" s="10">
        <f t="shared" si="67"/>
        <v>518</v>
      </c>
      <c r="O1461" s="6" t="s">
        <v>37</v>
      </c>
      <c r="P1461" s="6">
        <v>7</v>
      </c>
      <c r="Q1461" s="6">
        <v>10</v>
      </c>
      <c r="R1461" s="6">
        <v>14</v>
      </c>
      <c r="S1461" s="6">
        <v>31</v>
      </c>
      <c r="T1461" s="6" t="str">
        <f t="shared" si="68"/>
        <v>Tercera</v>
      </c>
    </row>
    <row r="1462" spans="1:20">
      <c r="A1462" s="7" t="s">
        <v>2989</v>
      </c>
      <c r="B1462" s="7" t="s">
        <v>483</v>
      </c>
      <c r="C1462" s="8">
        <v>1</v>
      </c>
      <c r="D1462" s="7" t="s">
        <v>2989</v>
      </c>
      <c r="E1462" s="7" t="s">
        <v>3022</v>
      </c>
      <c r="F1462">
        <v>1613</v>
      </c>
      <c r="G1462" s="6">
        <v>20066</v>
      </c>
      <c r="H1462" s="11" t="s">
        <v>3023</v>
      </c>
      <c r="I1462" s="6">
        <v>23</v>
      </c>
      <c r="J1462" s="6">
        <v>95</v>
      </c>
      <c r="K1462" s="6">
        <v>256</v>
      </c>
      <c r="L1462" s="6">
        <v>49</v>
      </c>
      <c r="M1462" s="10">
        <f t="shared" si="66"/>
        <v>522.44897959183675</v>
      </c>
      <c r="N1462" s="10">
        <f t="shared" si="67"/>
        <v>523</v>
      </c>
      <c r="O1462" s="6" t="s">
        <v>26</v>
      </c>
      <c r="P1462" s="6">
        <v>7</v>
      </c>
      <c r="Q1462" s="6">
        <v>8</v>
      </c>
      <c r="R1462" s="6">
        <v>16</v>
      </c>
      <c r="S1462" s="6">
        <v>31</v>
      </c>
      <c r="T1462" s="6" t="str">
        <f t="shared" si="68"/>
        <v>Tercera</v>
      </c>
    </row>
    <row r="1463" spans="1:20">
      <c r="A1463" s="7" t="s">
        <v>2989</v>
      </c>
      <c r="B1463" s="7" t="s">
        <v>483</v>
      </c>
      <c r="C1463" s="8">
        <v>1</v>
      </c>
      <c r="D1463" s="7" t="s">
        <v>2989</v>
      </c>
      <c r="E1463" s="7" t="s">
        <v>3024</v>
      </c>
      <c r="F1463">
        <v>1632</v>
      </c>
      <c r="G1463" s="6">
        <v>24789</v>
      </c>
      <c r="H1463" s="11" t="s">
        <v>3025</v>
      </c>
      <c r="I1463" s="6">
        <v>57</v>
      </c>
      <c r="J1463" s="6">
        <v>155</v>
      </c>
      <c r="K1463" s="6">
        <v>383</v>
      </c>
      <c r="L1463" s="6">
        <v>50</v>
      </c>
      <c r="M1463" s="10">
        <f t="shared" si="66"/>
        <v>766</v>
      </c>
      <c r="N1463" s="10">
        <f t="shared" si="67"/>
        <v>766</v>
      </c>
      <c r="O1463" s="6" t="s">
        <v>18</v>
      </c>
      <c r="P1463" s="6">
        <v>10</v>
      </c>
      <c r="Q1463" s="6">
        <v>11</v>
      </c>
      <c r="R1463" s="6">
        <v>30</v>
      </c>
      <c r="S1463" s="6">
        <v>51</v>
      </c>
      <c r="T1463" s="6" t="str">
        <f t="shared" si="68"/>
        <v>Tercera</v>
      </c>
    </row>
    <row r="1464" spans="1:20">
      <c r="A1464" s="7" t="s">
        <v>2989</v>
      </c>
      <c r="B1464" s="7" t="s">
        <v>483</v>
      </c>
      <c r="C1464" s="8">
        <v>1</v>
      </c>
      <c r="D1464" s="7" t="s">
        <v>2989</v>
      </c>
      <c r="E1464" s="7" t="s">
        <v>3026</v>
      </c>
      <c r="F1464">
        <v>1644</v>
      </c>
      <c r="G1464" s="6">
        <v>24682</v>
      </c>
      <c r="H1464" s="11" t="s">
        <v>3027</v>
      </c>
      <c r="I1464" s="6">
        <v>12</v>
      </c>
      <c r="J1464" s="6">
        <v>45</v>
      </c>
      <c r="K1464" s="6">
        <v>140</v>
      </c>
      <c r="L1464" s="6">
        <v>51</v>
      </c>
      <c r="M1464" s="10">
        <f t="shared" si="66"/>
        <v>274.50980392156862</v>
      </c>
      <c r="N1464" s="10">
        <f t="shared" si="67"/>
        <v>275</v>
      </c>
      <c r="O1464" s="6" t="s">
        <v>18</v>
      </c>
      <c r="P1464" s="6">
        <v>6</v>
      </c>
      <c r="Q1464" s="6">
        <v>1</v>
      </c>
      <c r="R1464" s="6">
        <v>7</v>
      </c>
      <c r="S1464" s="6">
        <v>14</v>
      </c>
      <c r="T1464" s="6" t="str">
        <f t="shared" si="68"/>
        <v>Tercera</v>
      </c>
    </row>
    <row r="1465" spans="1:20">
      <c r="A1465" s="7" t="s">
        <v>2989</v>
      </c>
      <c r="B1465" s="7" t="s">
        <v>496</v>
      </c>
      <c r="C1465" s="8">
        <v>1</v>
      </c>
      <c r="D1465" s="7" t="s">
        <v>2989</v>
      </c>
      <c r="E1465" s="7" t="s">
        <v>3028</v>
      </c>
      <c r="F1465">
        <v>1528</v>
      </c>
      <c r="G1465" s="6">
        <v>12009</v>
      </c>
      <c r="H1465" s="11" t="s">
        <v>3029</v>
      </c>
      <c r="I1465" s="6">
        <v>56</v>
      </c>
      <c r="J1465" s="6">
        <v>217</v>
      </c>
      <c r="K1465" s="6">
        <v>482</v>
      </c>
      <c r="L1465" s="6">
        <v>51</v>
      </c>
      <c r="M1465" s="10">
        <f t="shared" si="66"/>
        <v>945.0980392156863</v>
      </c>
      <c r="N1465" s="10">
        <f t="shared" si="67"/>
        <v>946</v>
      </c>
      <c r="O1465" s="6" t="s">
        <v>12</v>
      </c>
      <c r="P1465" s="6">
        <v>13</v>
      </c>
      <c r="Q1465" s="6">
        <v>17</v>
      </c>
      <c r="R1465" s="6">
        <v>22</v>
      </c>
      <c r="S1465" s="6">
        <v>52</v>
      </c>
      <c r="T1465" s="6" t="str">
        <f t="shared" si="68"/>
        <v>Cuarta</v>
      </c>
    </row>
    <row r="1466" spans="1:20">
      <c r="A1466" s="7" t="s">
        <v>2989</v>
      </c>
      <c r="B1466" s="7" t="s">
        <v>496</v>
      </c>
      <c r="C1466" s="8">
        <v>1</v>
      </c>
      <c r="D1466" s="7" t="s">
        <v>2989</v>
      </c>
      <c r="E1466" s="7" t="s">
        <v>3030</v>
      </c>
      <c r="F1466">
        <v>1412</v>
      </c>
      <c r="G1466" s="6">
        <v>21600</v>
      </c>
      <c r="H1466" s="11" t="s">
        <v>3031</v>
      </c>
      <c r="I1466" s="6">
        <v>32</v>
      </c>
      <c r="J1466" s="6">
        <v>85</v>
      </c>
      <c r="K1466" s="6">
        <v>184</v>
      </c>
      <c r="L1466" s="6">
        <v>53</v>
      </c>
      <c r="M1466" s="10">
        <f t="shared" si="66"/>
        <v>347.16981132075472</v>
      </c>
      <c r="N1466" s="10">
        <f t="shared" si="67"/>
        <v>348</v>
      </c>
      <c r="O1466" s="6" t="s">
        <v>18</v>
      </c>
      <c r="P1466" s="6">
        <v>3</v>
      </c>
      <c r="Q1466" s="6">
        <v>4</v>
      </c>
      <c r="R1466" s="6">
        <v>15</v>
      </c>
      <c r="S1466" s="6">
        <v>22</v>
      </c>
      <c r="T1466" s="6" t="str">
        <f t="shared" si="68"/>
        <v>Cuarta</v>
      </c>
    </row>
    <row r="1467" spans="1:20">
      <c r="A1467" s="7" t="s">
        <v>2989</v>
      </c>
      <c r="B1467" s="7" t="s">
        <v>496</v>
      </c>
      <c r="C1467" s="8">
        <v>1</v>
      </c>
      <c r="D1467" s="7" t="s">
        <v>2989</v>
      </c>
      <c r="E1467" s="7" t="s">
        <v>3014</v>
      </c>
      <c r="F1467">
        <v>1449</v>
      </c>
      <c r="G1467" s="6">
        <v>12094</v>
      </c>
      <c r="H1467" s="11" t="s">
        <v>3015</v>
      </c>
      <c r="I1467" s="6">
        <v>61</v>
      </c>
      <c r="J1467" s="6">
        <v>89</v>
      </c>
      <c r="K1467" s="6">
        <v>191</v>
      </c>
      <c r="L1467" s="6">
        <v>54</v>
      </c>
      <c r="M1467" s="10">
        <f t="shared" si="66"/>
        <v>353.7037037037037</v>
      </c>
      <c r="N1467" s="10">
        <f t="shared" si="67"/>
        <v>354</v>
      </c>
      <c r="O1467" s="6" t="s">
        <v>43</v>
      </c>
      <c r="P1467" s="6">
        <v>3</v>
      </c>
      <c r="Q1467" s="6">
        <v>3</v>
      </c>
      <c r="R1467" s="6">
        <v>13</v>
      </c>
      <c r="S1467" s="6">
        <v>19</v>
      </c>
      <c r="T1467" s="6" t="str">
        <f t="shared" si="68"/>
        <v>Cuarta</v>
      </c>
    </row>
    <row r="1468" spans="1:20">
      <c r="A1468" s="7" t="s">
        <v>2989</v>
      </c>
      <c r="B1468" s="7" t="s">
        <v>496</v>
      </c>
      <c r="C1468" s="8">
        <v>1</v>
      </c>
      <c r="D1468" s="7" t="s">
        <v>2989</v>
      </c>
      <c r="E1468" s="7" t="s">
        <v>3032</v>
      </c>
      <c r="F1468">
        <v>1420</v>
      </c>
      <c r="G1468" s="6">
        <v>26578</v>
      </c>
      <c r="H1468" s="11" t="s">
        <v>3033</v>
      </c>
      <c r="I1468" s="6">
        <v>35</v>
      </c>
      <c r="J1468" s="6">
        <v>27</v>
      </c>
      <c r="K1468" s="6">
        <v>71</v>
      </c>
      <c r="L1468" s="6">
        <v>62</v>
      </c>
      <c r="M1468" s="10">
        <f t="shared" si="66"/>
        <v>114.51612903225806</v>
      </c>
      <c r="N1468" s="10">
        <f t="shared" si="67"/>
        <v>115</v>
      </c>
      <c r="O1468" s="6" t="s">
        <v>222</v>
      </c>
      <c r="P1468" s="6">
        <v>2</v>
      </c>
      <c r="Q1468" s="6">
        <v>1</v>
      </c>
      <c r="R1468" s="6">
        <v>4</v>
      </c>
      <c r="S1468" s="6">
        <v>7</v>
      </c>
      <c r="T1468" s="6" t="str">
        <f t="shared" si="68"/>
        <v>Cuarta</v>
      </c>
    </row>
    <row r="1469" spans="1:20">
      <c r="A1469" s="7" t="s">
        <v>2989</v>
      </c>
      <c r="B1469" s="7" t="s">
        <v>496</v>
      </c>
      <c r="C1469" s="8">
        <v>1</v>
      </c>
      <c r="D1469" s="7" t="s">
        <v>2989</v>
      </c>
      <c r="E1469" s="7" t="s">
        <v>3034</v>
      </c>
      <c r="F1469">
        <v>1406</v>
      </c>
      <c r="G1469" s="6">
        <v>23919</v>
      </c>
      <c r="H1469" s="11" t="s">
        <v>3035</v>
      </c>
      <c r="I1469" s="6">
        <v>41</v>
      </c>
      <c r="J1469" s="6">
        <v>220</v>
      </c>
      <c r="K1469" s="6">
        <v>468</v>
      </c>
      <c r="L1469" s="6">
        <v>48</v>
      </c>
      <c r="M1469" s="10">
        <f t="shared" si="66"/>
        <v>975</v>
      </c>
      <c r="N1469" s="10">
        <f t="shared" si="67"/>
        <v>975</v>
      </c>
      <c r="O1469" s="6" t="s">
        <v>12</v>
      </c>
      <c r="P1469" s="6">
        <v>7</v>
      </c>
      <c r="Q1469" s="6">
        <v>20</v>
      </c>
      <c r="R1469" s="6">
        <v>26</v>
      </c>
      <c r="S1469" s="6">
        <v>53</v>
      </c>
      <c r="T1469" s="6" t="str">
        <f t="shared" si="68"/>
        <v>Cuarta</v>
      </c>
    </row>
    <row r="1470" spans="1:20">
      <c r="A1470" s="7" t="s">
        <v>2989</v>
      </c>
      <c r="B1470" s="7" t="s">
        <v>496</v>
      </c>
      <c r="C1470" s="8">
        <v>1</v>
      </c>
      <c r="D1470" s="7" t="s">
        <v>2989</v>
      </c>
      <c r="E1470" s="7" t="s">
        <v>3036</v>
      </c>
      <c r="F1470">
        <v>1392</v>
      </c>
      <c r="G1470" s="6">
        <v>24521</v>
      </c>
      <c r="H1470" s="11" t="s">
        <v>3037</v>
      </c>
      <c r="I1470" s="6">
        <v>69</v>
      </c>
      <c r="J1470" s="6">
        <v>91</v>
      </c>
      <c r="K1470" s="6">
        <v>211</v>
      </c>
      <c r="L1470" s="6">
        <v>48</v>
      </c>
      <c r="M1470" s="10">
        <f t="shared" si="66"/>
        <v>439.58333333333331</v>
      </c>
      <c r="N1470" s="10">
        <f t="shared" si="67"/>
        <v>440</v>
      </c>
      <c r="O1470" s="6" t="s">
        <v>12</v>
      </c>
      <c r="P1470" s="6">
        <v>6</v>
      </c>
      <c r="Q1470" s="6">
        <v>7</v>
      </c>
      <c r="R1470" s="6">
        <v>17</v>
      </c>
      <c r="S1470" s="6">
        <v>30</v>
      </c>
      <c r="T1470" s="6" t="str">
        <f t="shared" si="68"/>
        <v>Quinta</v>
      </c>
    </row>
    <row r="1471" spans="1:20">
      <c r="A1471" s="7" t="s">
        <v>2989</v>
      </c>
      <c r="B1471" s="7" t="s">
        <v>496</v>
      </c>
      <c r="C1471" s="8">
        <v>1</v>
      </c>
      <c r="D1471" s="7" t="s">
        <v>2989</v>
      </c>
      <c r="E1471" s="7" t="s">
        <v>3038</v>
      </c>
      <c r="F1471">
        <v>1433</v>
      </c>
      <c r="G1471" s="6">
        <v>5593</v>
      </c>
      <c r="H1471" s="11" t="s">
        <v>3039</v>
      </c>
      <c r="I1471" s="6">
        <v>40</v>
      </c>
      <c r="J1471" s="6">
        <v>22</v>
      </c>
      <c r="K1471" s="6">
        <v>68</v>
      </c>
      <c r="L1471" s="6">
        <v>63</v>
      </c>
      <c r="M1471" s="10">
        <f t="shared" si="66"/>
        <v>107.93650793650794</v>
      </c>
      <c r="N1471" s="10">
        <f t="shared" si="67"/>
        <v>108</v>
      </c>
      <c r="O1471" s="6" t="s">
        <v>18</v>
      </c>
      <c r="P1471" s="6">
        <v>3</v>
      </c>
      <c r="Q1471" s="6">
        <v>1</v>
      </c>
      <c r="R1471" s="6">
        <v>5</v>
      </c>
      <c r="S1471" s="6">
        <v>9</v>
      </c>
      <c r="T1471" s="6" t="str">
        <f t="shared" si="68"/>
        <v>Cuarta</v>
      </c>
    </row>
    <row r="1472" spans="1:20">
      <c r="A1472" s="7" t="s">
        <v>2989</v>
      </c>
      <c r="B1472" s="7" t="s">
        <v>496</v>
      </c>
      <c r="C1472" s="8">
        <v>1</v>
      </c>
      <c r="D1472" s="7" t="s">
        <v>2989</v>
      </c>
      <c r="E1472" s="7" t="s">
        <v>3040</v>
      </c>
      <c r="F1472">
        <v>1275</v>
      </c>
      <c r="G1472" s="6">
        <v>24572</v>
      </c>
      <c r="H1472" s="11" t="s">
        <v>3041</v>
      </c>
      <c r="I1472" s="6">
        <v>26</v>
      </c>
      <c r="J1472" s="6">
        <v>11</v>
      </c>
      <c r="K1472" s="6">
        <v>35</v>
      </c>
      <c r="L1472" s="6">
        <v>66</v>
      </c>
      <c r="M1472" s="10">
        <f t="shared" si="66"/>
        <v>53.030303030303031</v>
      </c>
      <c r="N1472" s="10">
        <f t="shared" si="67"/>
        <v>54</v>
      </c>
      <c r="O1472" s="6" t="s">
        <v>144</v>
      </c>
      <c r="P1472" s="6">
        <v>2</v>
      </c>
      <c r="Q1472" s="6">
        <v>2</v>
      </c>
      <c r="R1472" s="6">
        <v>0</v>
      </c>
      <c r="S1472" s="6">
        <v>4</v>
      </c>
      <c r="T1472" s="6" t="str">
        <f t="shared" si="68"/>
        <v>Quinta</v>
      </c>
    </row>
    <row r="1473" spans="1:20">
      <c r="A1473" s="7" t="s">
        <v>2989</v>
      </c>
      <c r="B1473" s="7" t="s">
        <v>507</v>
      </c>
      <c r="C1473" s="8">
        <v>1</v>
      </c>
      <c r="D1473" s="7" t="s">
        <v>3042</v>
      </c>
      <c r="E1473" s="7" t="s">
        <v>3043</v>
      </c>
      <c r="F1473">
        <v>1416</v>
      </c>
      <c r="G1473" s="6">
        <v>28474</v>
      </c>
      <c r="H1473" s="11" t="s">
        <v>3044</v>
      </c>
      <c r="I1473" s="6">
        <v>19</v>
      </c>
      <c r="J1473" s="6">
        <v>28</v>
      </c>
      <c r="K1473" s="6">
        <v>75</v>
      </c>
      <c r="L1473" s="6">
        <v>61</v>
      </c>
      <c r="M1473" s="10">
        <f t="shared" si="66"/>
        <v>122.95081967213115</v>
      </c>
      <c r="N1473" s="10">
        <f t="shared" si="67"/>
        <v>123</v>
      </c>
      <c r="O1473" s="6" t="s">
        <v>12</v>
      </c>
      <c r="P1473" s="6">
        <v>3</v>
      </c>
      <c r="Q1473" s="6">
        <v>2</v>
      </c>
      <c r="R1473" s="6">
        <v>2</v>
      </c>
      <c r="S1473" s="6">
        <v>7</v>
      </c>
      <c r="T1473" s="6" t="str">
        <f t="shared" si="68"/>
        <v>Cuarta</v>
      </c>
    </row>
    <row r="1474" spans="1:20">
      <c r="A1474" s="7" t="s">
        <v>2989</v>
      </c>
      <c r="B1474" s="7" t="s">
        <v>507</v>
      </c>
      <c r="C1474" s="8">
        <v>1</v>
      </c>
      <c r="D1474" s="7" t="s">
        <v>3042</v>
      </c>
      <c r="E1474" s="7" t="s">
        <v>3045</v>
      </c>
      <c r="F1474">
        <v>1231</v>
      </c>
      <c r="G1474" s="6">
        <v>26751</v>
      </c>
      <c r="H1474" s="11" t="s">
        <v>3046</v>
      </c>
      <c r="I1474" s="6">
        <v>53</v>
      </c>
      <c r="J1474" s="6">
        <v>49</v>
      </c>
      <c r="K1474" s="6">
        <v>107</v>
      </c>
      <c r="L1474" s="6">
        <v>52</v>
      </c>
      <c r="M1474" s="10">
        <f t="shared" si="66"/>
        <v>205.76923076923077</v>
      </c>
      <c r="N1474" s="10">
        <f t="shared" si="67"/>
        <v>206</v>
      </c>
      <c r="O1474" s="6" t="s">
        <v>359</v>
      </c>
      <c r="P1474" s="6">
        <v>4</v>
      </c>
      <c r="Q1474" s="6">
        <v>1</v>
      </c>
      <c r="R1474" s="6">
        <v>11</v>
      </c>
      <c r="S1474" s="6">
        <v>16</v>
      </c>
      <c r="T1474" s="6" t="str">
        <f t="shared" si="68"/>
        <v>Quinta</v>
      </c>
    </row>
    <row r="1475" spans="1:20">
      <c r="A1475" s="7" t="s">
        <v>2989</v>
      </c>
      <c r="B1475" s="7" t="s">
        <v>507</v>
      </c>
      <c r="C1475" s="8">
        <v>1</v>
      </c>
      <c r="D1475" s="7" t="s">
        <v>3042</v>
      </c>
      <c r="E1475" s="7" t="s">
        <v>3047</v>
      </c>
      <c r="F1475">
        <v>1273</v>
      </c>
      <c r="G1475" s="6">
        <v>18218</v>
      </c>
      <c r="H1475" s="11" t="s">
        <v>3048</v>
      </c>
      <c r="I1475" s="6">
        <v>18</v>
      </c>
      <c r="J1475" s="6">
        <v>34</v>
      </c>
      <c r="K1475" s="6">
        <v>74</v>
      </c>
      <c r="L1475" s="6">
        <v>52</v>
      </c>
      <c r="M1475" s="10">
        <f t="shared" ref="M1475:M1538" si="69">IF(K1475+L1475=0,0,(100*K1475/L1475))</f>
        <v>142.30769230769232</v>
      </c>
      <c r="N1475" s="10">
        <f t="shared" ref="N1475:N1538" si="70">ROUNDUP(M1475,0)</f>
        <v>143</v>
      </c>
      <c r="O1475" s="6" t="s">
        <v>118</v>
      </c>
      <c r="P1475" s="6">
        <v>0</v>
      </c>
      <c r="Q1475" s="6">
        <v>2</v>
      </c>
      <c r="R1475" s="6">
        <v>4</v>
      </c>
      <c r="S1475" s="6">
        <v>6</v>
      </c>
      <c r="T1475" s="6" t="str">
        <f t="shared" ref="T1475:T1538" si="71">IF(F1475&gt;2100,"Primera",
IF(F1475&gt;=1800,"Segunda",
IF(F1475&gt;=1600,"Tercera",
IF(F1475&gt;=1400,"Cuarta",
IF(F1475&gt;=1200,"Quinta",
IF(F1475&gt;=1080,"Sexta",
IF(F1475&gt;=980,"Septima",
"Octava")))))))</f>
        <v>Quinta</v>
      </c>
    </row>
    <row r="1476" spans="1:20">
      <c r="A1476" s="7" t="s">
        <v>2989</v>
      </c>
      <c r="B1476" s="7" t="s">
        <v>507</v>
      </c>
      <c r="C1476" s="8">
        <v>1</v>
      </c>
      <c r="D1476" s="7" t="s">
        <v>3042</v>
      </c>
      <c r="E1476" s="7" t="s">
        <v>3049</v>
      </c>
      <c r="F1476">
        <v>1254</v>
      </c>
      <c r="G1476" s="6">
        <v>26534</v>
      </c>
      <c r="H1476" s="11" t="s">
        <v>3050</v>
      </c>
      <c r="I1476" s="6">
        <v>49</v>
      </c>
      <c r="J1476" s="6">
        <v>10</v>
      </c>
      <c r="K1476" s="6">
        <v>32</v>
      </c>
      <c r="L1476" s="6">
        <v>68</v>
      </c>
      <c r="M1476" s="10">
        <f t="shared" si="69"/>
        <v>47.058823529411768</v>
      </c>
      <c r="N1476" s="10">
        <f t="shared" si="70"/>
        <v>48</v>
      </c>
      <c r="O1476" s="6" t="s">
        <v>29</v>
      </c>
      <c r="P1476" s="6">
        <v>1</v>
      </c>
      <c r="Q1476" s="6">
        <v>3</v>
      </c>
      <c r="R1476" s="6">
        <v>0</v>
      </c>
      <c r="S1476" s="6">
        <v>4</v>
      </c>
      <c r="T1476" s="6" t="str">
        <f t="shared" si="71"/>
        <v>Quinta</v>
      </c>
    </row>
    <row r="1477" spans="1:20">
      <c r="A1477" s="7" t="s">
        <v>2989</v>
      </c>
      <c r="B1477" s="7" t="s">
        <v>507</v>
      </c>
      <c r="C1477" s="8">
        <v>1</v>
      </c>
      <c r="D1477" s="7" t="s">
        <v>3042</v>
      </c>
      <c r="E1477" s="7" t="s">
        <v>3051</v>
      </c>
      <c r="F1477">
        <v>1295</v>
      </c>
      <c r="G1477" s="6">
        <v>26547</v>
      </c>
      <c r="H1477" s="11" t="s">
        <v>3052</v>
      </c>
      <c r="I1477" s="6">
        <v>52</v>
      </c>
      <c r="J1477" s="6">
        <v>21</v>
      </c>
      <c r="K1477" s="6">
        <v>51</v>
      </c>
      <c r="L1477" s="6">
        <v>53</v>
      </c>
      <c r="M1477" s="10">
        <f t="shared" si="69"/>
        <v>96.226415094339629</v>
      </c>
      <c r="N1477" s="10">
        <f t="shared" si="70"/>
        <v>97</v>
      </c>
      <c r="O1477" s="6" t="s">
        <v>90</v>
      </c>
      <c r="P1477" s="6">
        <v>2</v>
      </c>
      <c r="Q1477" s="6">
        <v>3</v>
      </c>
      <c r="R1477" s="6">
        <v>3</v>
      </c>
      <c r="S1477" s="6">
        <v>8</v>
      </c>
      <c r="T1477" s="6" t="str">
        <f t="shared" si="71"/>
        <v>Quinta</v>
      </c>
    </row>
    <row r="1478" spans="1:20">
      <c r="A1478" s="7" t="s">
        <v>2989</v>
      </c>
      <c r="B1478" s="7" t="s">
        <v>507</v>
      </c>
      <c r="C1478" s="8">
        <v>1</v>
      </c>
      <c r="D1478" s="7" t="s">
        <v>3042</v>
      </c>
      <c r="E1478" s="7" t="s">
        <v>3053</v>
      </c>
      <c r="F1478">
        <v>1181</v>
      </c>
      <c r="G1478" s="6">
        <v>7543</v>
      </c>
      <c r="H1478" s="11" t="s">
        <v>3054</v>
      </c>
      <c r="I1478" s="6">
        <v>28</v>
      </c>
      <c r="J1478" s="6">
        <v>33</v>
      </c>
      <c r="K1478" s="6">
        <v>69</v>
      </c>
      <c r="L1478" s="6">
        <v>46</v>
      </c>
      <c r="M1478" s="10">
        <f t="shared" si="69"/>
        <v>150</v>
      </c>
      <c r="N1478" s="10">
        <f t="shared" si="70"/>
        <v>150</v>
      </c>
      <c r="O1478" s="6" t="s">
        <v>12</v>
      </c>
      <c r="P1478" s="6">
        <v>2</v>
      </c>
      <c r="Q1478" s="6">
        <v>2</v>
      </c>
      <c r="R1478" s="6">
        <v>7</v>
      </c>
      <c r="S1478" s="6">
        <v>11</v>
      </c>
      <c r="T1478" s="6" t="str">
        <f t="shared" si="71"/>
        <v>Sexta</v>
      </c>
    </row>
    <row r="1479" spans="1:20">
      <c r="A1479" s="7" t="s">
        <v>2989</v>
      </c>
      <c r="B1479" s="7" t="s">
        <v>507</v>
      </c>
      <c r="C1479" s="8">
        <v>1</v>
      </c>
      <c r="D1479" s="7" t="s">
        <v>3042</v>
      </c>
      <c r="E1479" s="7" t="s">
        <v>3055</v>
      </c>
      <c r="F1479">
        <v>1121</v>
      </c>
      <c r="G1479" s="6">
        <v>28125</v>
      </c>
      <c r="H1479" s="11" t="s">
        <v>3056</v>
      </c>
      <c r="I1479" s="6">
        <v>30</v>
      </c>
      <c r="J1479" s="6">
        <v>9</v>
      </c>
      <c r="K1479" s="6">
        <v>19</v>
      </c>
      <c r="L1479" s="6">
        <v>48</v>
      </c>
      <c r="M1479" s="10">
        <f t="shared" si="69"/>
        <v>39.583333333333336</v>
      </c>
      <c r="N1479" s="10">
        <f t="shared" si="70"/>
        <v>40</v>
      </c>
      <c r="O1479" s="6" t="s">
        <v>207</v>
      </c>
      <c r="P1479" s="6">
        <v>0</v>
      </c>
      <c r="Q1479" s="6">
        <v>1</v>
      </c>
      <c r="R1479" s="6">
        <v>1</v>
      </c>
      <c r="S1479" s="6">
        <v>2</v>
      </c>
      <c r="T1479" s="6" t="str">
        <f t="shared" si="71"/>
        <v>Sexta</v>
      </c>
    </row>
    <row r="1480" spans="1:20">
      <c r="A1480" s="7" t="s">
        <v>2989</v>
      </c>
      <c r="B1480" s="7" t="s">
        <v>507</v>
      </c>
      <c r="C1480" s="8">
        <v>1</v>
      </c>
      <c r="D1480" s="7" t="s">
        <v>3042</v>
      </c>
      <c r="E1480" s="7" t="s">
        <v>3057</v>
      </c>
      <c r="F1480">
        <v>1146</v>
      </c>
      <c r="G1480" s="6">
        <v>26264</v>
      </c>
      <c r="H1480" s="11" t="s">
        <v>3058</v>
      </c>
      <c r="I1480" s="6">
        <v>47</v>
      </c>
      <c r="J1480" s="6">
        <v>68</v>
      </c>
      <c r="K1480" s="6">
        <v>123</v>
      </c>
      <c r="L1480" s="6">
        <v>47</v>
      </c>
      <c r="M1480" s="10">
        <f t="shared" si="69"/>
        <v>261.70212765957444</v>
      </c>
      <c r="N1480" s="10">
        <f t="shared" si="70"/>
        <v>262</v>
      </c>
      <c r="O1480" s="6" t="s">
        <v>12</v>
      </c>
      <c r="P1480" s="6">
        <v>3</v>
      </c>
      <c r="Q1480" s="6">
        <v>3</v>
      </c>
      <c r="R1480" s="6">
        <v>10</v>
      </c>
      <c r="S1480" s="6">
        <v>16</v>
      </c>
      <c r="T1480" s="6" t="str">
        <f t="shared" si="71"/>
        <v>Sexta</v>
      </c>
    </row>
    <row r="1481" spans="1:20">
      <c r="A1481" s="7" t="s">
        <v>2989</v>
      </c>
      <c r="B1481" s="7" t="s">
        <v>507</v>
      </c>
      <c r="C1481" s="8">
        <v>2</v>
      </c>
      <c r="D1481" s="7" t="s">
        <v>3059</v>
      </c>
      <c r="E1481" s="7" t="s">
        <v>3060</v>
      </c>
      <c r="F1481">
        <v>1275</v>
      </c>
      <c r="G1481" s="6">
        <v>24856</v>
      </c>
      <c r="H1481" s="11" t="s">
        <v>3061</v>
      </c>
      <c r="I1481" s="6">
        <v>57</v>
      </c>
      <c r="J1481" s="6">
        <v>14</v>
      </c>
      <c r="K1481" s="6">
        <v>25</v>
      </c>
      <c r="L1481" s="6">
        <v>35</v>
      </c>
      <c r="M1481" s="10">
        <f t="shared" si="69"/>
        <v>71.428571428571431</v>
      </c>
      <c r="N1481" s="10">
        <f t="shared" si="70"/>
        <v>72</v>
      </c>
      <c r="O1481" s="6" t="s">
        <v>118</v>
      </c>
      <c r="P1481" s="6">
        <v>0</v>
      </c>
      <c r="Q1481" s="6">
        <v>0</v>
      </c>
      <c r="R1481" s="6">
        <v>2</v>
      </c>
      <c r="S1481" s="6">
        <v>2</v>
      </c>
      <c r="T1481" s="6" t="str">
        <f t="shared" si="71"/>
        <v>Quinta</v>
      </c>
    </row>
    <row r="1482" spans="1:20">
      <c r="A1482" s="7" t="s">
        <v>2989</v>
      </c>
      <c r="B1482" s="7" t="s">
        <v>507</v>
      </c>
      <c r="C1482" s="8">
        <v>2</v>
      </c>
      <c r="D1482" s="7" t="s">
        <v>3059</v>
      </c>
      <c r="E1482" s="7" t="s">
        <v>3062</v>
      </c>
      <c r="F1482">
        <v>1291</v>
      </c>
      <c r="G1482" s="6">
        <v>26583</v>
      </c>
      <c r="H1482" s="11" t="s">
        <v>3063</v>
      </c>
      <c r="I1482" s="6">
        <v>34</v>
      </c>
      <c r="J1482" s="6">
        <v>36</v>
      </c>
      <c r="K1482" s="6">
        <v>81</v>
      </c>
      <c r="L1482" s="6">
        <v>51</v>
      </c>
      <c r="M1482" s="10">
        <f t="shared" si="69"/>
        <v>158.8235294117647</v>
      </c>
      <c r="N1482" s="10">
        <f t="shared" si="70"/>
        <v>159</v>
      </c>
      <c r="O1482" s="6" t="s">
        <v>12</v>
      </c>
      <c r="P1482" s="6">
        <v>2</v>
      </c>
      <c r="Q1482" s="6">
        <v>3</v>
      </c>
      <c r="R1482" s="6">
        <v>2</v>
      </c>
      <c r="S1482" s="6">
        <v>7</v>
      </c>
      <c r="T1482" s="6" t="str">
        <f t="shared" si="71"/>
        <v>Quinta</v>
      </c>
    </row>
    <row r="1483" spans="1:20">
      <c r="A1483" s="7" t="s">
        <v>2989</v>
      </c>
      <c r="B1483" s="7" t="s">
        <v>507</v>
      </c>
      <c r="C1483" s="8">
        <v>2</v>
      </c>
      <c r="D1483" s="7" t="s">
        <v>3059</v>
      </c>
      <c r="E1483" s="7" t="s">
        <v>3064</v>
      </c>
      <c r="F1483">
        <v>1224</v>
      </c>
      <c r="G1483" s="6">
        <v>25176</v>
      </c>
      <c r="H1483" s="11" t="s">
        <v>3065</v>
      </c>
      <c r="I1483" s="6">
        <v>17</v>
      </c>
      <c r="J1483" s="6">
        <v>50</v>
      </c>
      <c r="K1483" s="6">
        <v>82</v>
      </c>
      <c r="L1483" s="6">
        <v>36</v>
      </c>
      <c r="M1483" s="10">
        <f t="shared" si="69"/>
        <v>227.77777777777777</v>
      </c>
      <c r="N1483" s="10">
        <f t="shared" si="70"/>
        <v>228</v>
      </c>
      <c r="O1483" s="6" t="s">
        <v>118</v>
      </c>
      <c r="P1483" s="6">
        <v>1</v>
      </c>
      <c r="Q1483" s="6">
        <v>0</v>
      </c>
      <c r="R1483" s="6">
        <v>6</v>
      </c>
      <c r="S1483" s="6">
        <v>7</v>
      </c>
      <c r="T1483" s="6" t="str">
        <f t="shared" si="71"/>
        <v>Quinta</v>
      </c>
    </row>
    <row r="1484" spans="1:20">
      <c r="A1484" s="7" t="s">
        <v>2989</v>
      </c>
      <c r="B1484" s="7" t="s">
        <v>507</v>
      </c>
      <c r="C1484" s="8">
        <v>2</v>
      </c>
      <c r="D1484" s="7" t="s">
        <v>3059</v>
      </c>
      <c r="E1484" s="7" t="s">
        <v>3066</v>
      </c>
      <c r="F1484">
        <v>1245</v>
      </c>
      <c r="G1484" s="6">
        <v>2764</v>
      </c>
      <c r="H1484" s="11" t="s">
        <v>3067</v>
      </c>
      <c r="I1484" s="6">
        <v>48</v>
      </c>
      <c r="J1484" s="6">
        <v>42</v>
      </c>
      <c r="K1484" s="6">
        <v>92</v>
      </c>
      <c r="L1484" s="6">
        <v>54</v>
      </c>
      <c r="M1484" s="10">
        <f t="shared" si="69"/>
        <v>170.37037037037038</v>
      </c>
      <c r="N1484" s="10">
        <f t="shared" si="70"/>
        <v>171</v>
      </c>
      <c r="O1484" s="6" t="s">
        <v>12</v>
      </c>
      <c r="P1484" s="6">
        <v>1</v>
      </c>
      <c r="Q1484" s="6">
        <v>3</v>
      </c>
      <c r="R1484" s="6">
        <v>4</v>
      </c>
      <c r="S1484" s="6">
        <v>8</v>
      </c>
      <c r="T1484" s="6" t="str">
        <f t="shared" si="71"/>
        <v>Quinta</v>
      </c>
    </row>
    <row r="1485" spans="1:20">
      <c r="A1485" s="7" t="s">
        <v>2989</v>
      </c>
      <c r="B1485" s="7" t="s">
        <v>507</v>
      </c>
      <c r="C1485" s="8">
        <v>2</v>
      </c>
      <c r="D1485" s="7" t="s">
        <v>3059</v>
      </c>
      <c r="E1485" s="7" t="s">
        <v>3068</v>
      </c>
      <c r="F1485">
        <v>1203</v>
      </c>
      <c r="G1485" s="6">
        <v>28919</v>
      </c>
      <c r="H1485" s="11" t="s">
        <v>3069</v>
      </c>
      <c r="I1485" s="6">
        <v>17</v>
      </c>
      <c r="J1485" s="6">
        <v>5</v>
      </c>
      <c r="K1485" s="6">
        <v>11</v>
      </c>
      <c r="L1485" s="6">
        <v>50</v>
      </c>
      <c r="M1485" s="10">
        <f t="shared" si="69"/>
        <v>22</v>
      </c>
      <c r="N1485" s="10">
        <f t="shared" si="70"/>
        <v>22</v>
      </c>
      <c r="O1485" s="6" t="s">
        <v>27</v>
      </c>
      <c r="P1485" s="6">
        <v>0</v>
      </c>
      <c r="Q1485" s="6">
        <v>0</v>
      </c>
      <c r="R1485" s="6">
        <v>1</v>
      </c>
      <c r="S1485" s="6">
        <v>1</v>
      </c>
      <c r="T1485" s="6" t="str">
        <f t="shared" si="71"/>
        <v>Quinta</v>
      </c>
    </row>
    <row r="1486" spans="1:20">
      <c r="A1486" s="7" t="s">
        <v>2989</v>
      </c>
      <c r="B1486" s="7" t="s">
        <v>507</v>
      </c>
      <c r="C1486" s="8">
        <v>2</v>
      </c>
      <c r="D1486" s="7" t="s">
        <v>3059</v>
      </c>
      <c r="E1486" s="7" t="s">
        <v>3070</v>
      </c>
      <c r="F1486">
        <v>1199</v>
      </c>
      <c r="G1486" s="6">
        <v>14123</v>
      </c>
      <c r="H1486" s="11" t="s">
        <v>3071</v>
      </c>
      <c r="I1486" s="6">
        <v>31</v>
      </c>
      <c r="J1486" s="6">
        <v>72</v>
      </c>
      <c r="K1486" s="6">
        <v>117</v>
      </c>
      <c r="L1486" s="6">
        <v>39</v>
      </c>
      <c r="M1486" s="10">
        <f t="shared" si="69"/>
        <v>300</v>
      </c>
      <c r="N1486" s="10">
        <f t="shared" si="70"/>
        <v>300</v>
      </c>
      <c r="O1486" s="6" t="s">
        <v>27</v>
      </c>
      <c r="P1486" s="6">
        <v>4</v>
      </c>
      <c r="Q1486" s="6">
        <v>2</v>
      </c>
      <c r="R1486" s="6">
        <v>9</v>
      </c>
      <c r="S1486" s="6">
        <v>15</v>
      </c>
      <c r="T1486" s="6" t="str">
        <f t="shared" si="71"/>
        <v>Sexta</v>
      </c>
    </row>
    <row r="1487" spans="1:20">
      <c r="A1487" s="7" t="s">
        <v>2989</v>
      </c>
      <c r="B1487" s="7" t="s">
        <v>507</v>
      </c>
      <c r="C1487" s="8">
        <v>2</v>
      </c>
      <c r="D1487" s="7" t="s">
        <v>3059</v>
      </c>
      <c r="E1487" s="7" t="s">
        <v>3072</v>
      </c>
      <c r="F1487">
        <v>1150</v>
      </c>
      <c r="G1487" s="6">
        <v>20059</v>
      </c>
      <c r="H1487" s="11" t="s">
        <v>3073</v>
      </c>
      <c r="I1487" s="6">
        <v>24</v>
      </c>
      <c r="J1487" s="6">
        <v>46</v>
      </c>
      <c r="K1487" s="6">
        <v>71</v>
      </c>
      <c r="L1487" s="6">
        <v>33</v>
      </c>
      <c r="M1487" s="10">
        <f t="shared" si="69"/>
        <v>215.15151515151516</v>
      </c>
      <c r="N1487" s="10">
        <f t="shared" si="70"/>
        <v>216</v>
      </c>
      <c r="O1487" s="6" t="s">
        <v>106</v>
      </c>
      <c r="P1487" s="6">
        <v>1</v>
      </c>
      <c r="Q1487" s="6">
        <v>1</v>
      </c>
      <c r="R1487" s="6">
        <v>2</v>
      </c>
      <c r="S1487" s="6">
        <v>4</v>
      </c>
      <c r="T1487" s="6" t="str">
        <f t="shared" si="71"/>
        <v>Sexta</v>
      </c>
    </row>
    <row r="1488" spans="1:20">
      <c r="A1488" s="7" t="s">
        <v>2989</v>
      </c>
      <c r="B1488" s="7" t="s">
        <v>507</v>
      </c>
      <c r="C1488" s="8">
        <v>2</v>
      </c>
      <c r="D1488" s="7" t="s">
        <v>3059</v>
      </c>
      <c r="E1488" s="7" t="s">
        <v>3074</v>
      </c>
      <c r="F1488">
        <v>1056</v>
      </c>
      <c r="G1488" s="6">
        <v>15384</v>
      </c>
      <c r="H1488" s="11" t="s">
        <v>3075</v>
      </c>
      <c r="I1488" s="6">
        <v>35</v>
      </c>
      <c r="J1488" s="6">
        <v>41</v>
      </c>
      <c r="K1488" s="6">
        <v>42</v>
      </c>
      <c r="L1488" s="6">
        <v>27</v>
      </c>
      <c r="M1488" s="10">
        <f t="shared" si="69"/>
        <v>155.55555555555554</v>
      </c>
      <c r="N1488" s="10">
        <f t="shared" si="70"/>
        <v>156</v>
      </c>
      <c r="O1488" s="6" t="s">
        <v>360</v>
      </c>
      <c r="P1488" s="6">
        <v>0</v>
      </c>
      <c r="Q1488" s="6">
        <v>1</v>
      </c>
      <c r="R1488" s="6">
        <v>2</v>
      </c>
      <c r="S1488" s="6">
        <v>3</v>
      </c>
      <c r="T1488" s="6" t="str">
        <f t="shared" si="71"/>
        <v>Septima</v>
      </c>
    </row>
    <row r="1489" spans="1:20">
      <c r="A1489" s="7" t="s">
        <v>2989</v>
      </c>
      <c r="B1489" s="7" t="s">
        <v>526</v>
      </c>
      <c r="C1489" s="8">
        <v>1</v>
      </c>
      <c r="D1489" s="7" t="s">
        <v>2989</v>
      </c>
      <c r="E1489" s="7" t="s">
        <v>3053</v>
      </c>
      <c r="F1489">
        <v>1181</v>
      </c>
      <c r="G1489" s="6">
        <v>7543</v>
      </c>
      <c r="H1489" s="11" t="s">
        <v>3054</v>
      </c>
      <c r="I1489" s="6">
        <v>28</v>
      </c>
      <c r="J1489" s="6">
        <v>33</v>
      </c>
      <c r="K1489" s="6">
        <v>69</v>
      </c>
      <c r="L1489" s="6">
        <v>46</v>
      </c>
      <c r="M1489" s="10">
        <f t="shared" si="69"/>
        <v>150</v>
      </c>
      <c r="N1489" s="10">
        <f t="shared" si="70"/>
        <v>150</v>
      </c>
      <c r="O1489" s="6" t="s">
        <v>12</v>
      </c>
      <c r="P1489" s="6">
        <v>2</v>
      </c>
      <c r="Q1489" s="6">
        <v>2</v>
      </c>
      <c r="R1489" s="6">
        <v>7</v>
      </c>
      <c r="S1489" s="6">
        <v>11</v>
      </c>
      <c r="T1489" s="6" t="str">
        <f t="shared" si="71"/>
        <v>Sexta</v>
      </c>
    </row>
    <row r="1490" spans="1:20">
      <c r="A1490" s="7" t="s">
        <v>2989</v>
      </c>
      <c r="B1490" s="7" t="s">
        <v>526</v>
      </c>
      <c r="C1490" s="8">
        <v>1</v>
      </c>
      <c r="D1490" s="7" t="s">
        <v>2989</v>
      </c>
      <c r="E1490" s="7" t="s">
        <v>3072</v>
      </c>
      <c r="F1490">
        <v>1150</v>
      </c>
      <c r="G1490" s="6">
        <v>20059</v>
      </c>
      <c r="H1490" s="11" t="s">
        <v>3073</v>
      </c>
      <c r="I1490" s="6">
        <v>24</v>
      </c>
      <c r="J1490" s="6">
        <v>46</v>
      </c>
      <c r="K1490" s="6">
        <v>71</v>
      </c>
      <c r="L1490" s="6">
        <v>33</v>
      </c>
      <c r="M1490" s="10">
        <f t="shared" si="69"/>
        <v>215.15151515151516</v>
      </c>
      <c r="N1490" s="10">
        <f t="shared" si="70"/>
        <v>216</v>
      </c>
      <c r="O1490" s="6" t="s">
        <v>106</v>
      </c>
      <c r="P1490" s="6">
        <v>1</v>
      </c>
      <c r="Q1490" s="6">
        <v>1</v>
      </c>
      <c r="R1490" s="6">
        <v>2</v>
      </c>
      <c r="S1490" s="6">
        <v>4</v>
      </c>
      <c r="T1490" s="6" t="str">
        <f t="shared" si="71"/>
        <v>Sexta</v>
      </c>
    </row>
    <row r="1491" spans="1:20">
      <c r="A1491" s="7" t="s">
        <v>2989</v>
      </c>
      <c r="B1491" s="7" t="s">
        <v>526</v>
      </c>
      <c r="C1491" s="8">
        <v>1</v>
      </c>
      <c r="D1491" s="7" t="s">
        <v>2989</v>
      </c>
      <c r="E1491" s="7" t="s">
        <v>3076</v>
      </c>
      <c r="F1491">
        <v>1280</v>
      </c>
      <c r="G1491" s="6">
        <v>12650</v>
      </c>
      <c r="H1491" s="11" t="s">
        <v>3077</v>
      </c>
      <c r="I1491" s="6">
        <v>59</v>
      </c>
      <c r="J1491" s="6">
        <v>1</v>
      </c>
      <c r="K1491" s="6">
        <v>0</v>
      </c>
      <c r="L1491" s="6">
        <v>0</v>
      </c>
      <c r="M1491" s="10">
        <f t="shared" si="69"/>
        <v>0</v>
      </c>
      <c r="N1491" s="10">
        <f t="shared" si="70"/>
        <v>0</v>
      </c>
      <c r="O1491" s="6" t="s">
        <v>361</v>
      </c>
      <c r="P1491" s="6">
        <v>0</v>
      </c>
      <c r="Q1491" s="6">
        <v>0</v>
      </c>
      <c r="R1491" s="6">
        <v>0</v>
      </c>
      <c r="S1491" s="6">
        <v>0</v>
      </c>
      <c r="T1491" s="6" t="str">
        <f t="shared" si="71"/>
        <v>Quinta</v>
      </c>
    </row>
    <row r="1492" spans="1:20">
      <c r="A1492" s="7" t="s">
        <v>2989</v>
      </c>
      <c r="B1492" s="7" t="s">
        <v>526</v>
      </c>
      <c r="C1492" s="8">
        <v>1</v>
      </c>
      <c r="D1492" s="7" t="s">
        <v>2989</v>
      </c>
      <c r="E1492" s="7" t="s">
        <v>3078</v>
      </c>
      <c r="F1492">
        <v>1104</v>
      </c>
      <c r="G1492" s="6">
        <v>21970</v>
      </c>
      <c r="H1492" s="11" t="s">
        <v>3079</v>
      </c>
      <c r="I1492" s="6">
        <v>66</v>
      </c>
      <c r="J1492" s="6">
        <v>80</v>
      </c>
      <c r="K1492" s="6">
        <v>149</v>
      </c>
      <c r="L1492" s="6">
        <v>47</v>
      </c>
      <c r="M1492" s="10">
        <f t="shared" si="69"/>
        <v>317.02127659574467</v>
      </c>
      <c r="N1492" s="10">
        <f t="shared" si="70"/>
        <v>318</v>
      </c>
      <c r="O1492" s="6" t="s">
        <v>18</v>
      </c>
      <c r="P1492" s="6">
        <v>2</v>
      </c>
      <c r="Q1492" s="6">
        <v>6</v>
      </c>
      <c r="R1492" s="6">
        <v>8</v>
      </c>
      <c r="S1492" s="6">
        <v>16</v>
      </c>
      <c r="T1492" s="6" t="str">
        <f t="shared" si="71"/>
        <v>Sexta</v>
      </c>
    </row>
    <row r="1493" spans="1:20">
      <c r="A1493" s="7" t="s">
        <v>2989</v>
      </c>
      <c r="B1493" s="7" t="s">
        <v>526</v>
      </c>
      <c r="C1493" s="8">
        <v>1</v>
      </c>
      <c r="D1493" s="7" t="s">
        <v>2989</v>
      </c>
      <c r="E1493" s="7" t="s">
        <v>3080</v>
      </c>
      <c r="F1493">
        <v>1146</v>
      </c>
      <c r="G1493" s="6">
        <v>21399</v>
      </c>
      <c r="H1493" s="11" t="s">
        <v>3081</v>
      </c>
      <c r="I1493" s="6">
        <v>21</v>
      </c>
      <c r="J1493" s="6">
        <v>50</v>
      </c>
      <c r="K1493" s="6">
        <v>92</v>
      </c>
      <c r="L1493" s="6">
        <v>40</v>
      </c>
      <c r="M1493" s="10">
        <f t="shared" si="69"/>
        <v>230</v>
      </c>
      <c r="N1493" s="10">
        <f t="shared" si="70"/>
        <v>230</v>
      </c>
      <c r="O1493" s="6" t="s">
        <v>362</v>
      </c>
      <c r="P1493" s="6">
        <v>1</v>
      </c>
      <c r="Q1493" s="6">
        <v>2</v>
      </c>
      <c r="R1493" s="6">
        <v>2</v>
      </c>
      <c r="S1493" s="6">
        <v>5</v>
      </c>
      <c r="T1493" s="6" t="str">
        <f t="shared" si="71"/>
        <v>Sexta</v>
      </c>
    </row>
    <row r="1494" spans="1:20">
      <c r="A1494" s="7" t="s">
        <v>2989</v>
      </c>
      <c r="B1494" s="7" t="s">
        <v>526</v>
      </c>
      <c r="C1494" s="8">
        <v>1</v>
      </c>
      <c r="D1494" s="7" t="s">
        <v>2989</v>
      </c>
      <c r="E1494" s="7" t="s">
        <v>3082</v>
      </c>
      <c r="F1494">
        <v>1277</v>
      </c>
      <c r="G1494" s="6">
        <v>11488</v>
      </c>
      <c r="H1494" s="11" t="s">
        <v>3083</v>
      </c>
      <c r="I1494" s="6">
        <v>16</v>
      </c>
      <c r="J1494" s="6">
        <v>1</v>
      </c>
      <c r="K1494" s="6">
        <v>0</v>
      </c>
      <c r="L1494" s="6">
        <v>0</v>
      </c>
      <c r="M1494" s="10">
        <f t="shared" si="69"/>
        <v>0</v>
      </c>
      <c r="N1494" s="10">
        <f t="shared" si="70"/>
        <v>0</v>
      </c>
      <c r="O1494" s="6" t="s">
        <v>363</v>
      </c>
      <c r="P1494" s="6">
        <v>0</v>
      </c>
      <c r="Q1494" s="6">
        <v>0</v>
      </c>
      <c r="R1494" s="6">
        <v>0</v>
      </c>
      <c r="S1494" s="6">
        <v>0</v>
      </c>
      <c r="T1494" s="6" t="str">
        <f t="shared" si="71"/>
        <v>Quinta</v>
      </c>
    </row>
    <row r="1495" spans="1:20">
      <c r="A1495" s="7" t="s">
        <v>2989</v>
      </c>
      <c r="B1495" s="7" t="s">
        <v>526</v>
      </c>
      <c r="C1495" s="8">
        <v>1</v>
      </c>
      <c r="D1495" s="7" t="s">
        <v>2989</v>
      </c>
      <c r="E1495" s="7" t="s">
        <v>3084</v>
      </c>
      <c r="F1495">
        <v>1000</v>
      </c>
      <c r="G1495" s="6">
        <v>11221</v>
      </c>
      <c r="H1495" s="11" t="s">
        <v>3085</v>
      </c>
      <c r="I1495" s="6">
        <v>41</v>
      </c>
      <c r="J1495" s="6">
        <v>0</v>
      </c>
      <c r="K1495" s="6">
        <v>0</v>
      </c>
      <c r="L1495" s="6">
        <v>0</v>
      </c>
      <c r="M1495" s="10">
        <f t="shared" si="69"/>
        <v>0</v>
      </c>
      <c r="N1495" s="10">
        <f t="shared" si="70"/>
        <v>0</v>
      </c>
      <c r="P1495" s="6">
        <v>0</v>
      </c>
      <c r="Q1495" s="6">
        <v>0</v>
      </c>
      <c r="R1495" s="6">
        <v>0</v>
      </c>
      <c r="S1495" s="6">
        <v>0</v>
      </c>
      <c r="T1495" s="6" t="str">
        <f t="shared" si="71"/>
        <v>Septima</v>
      </c>
    </row>
    <row r="1496" spans="1:20">
      <c r="A1496" s="7" t="s">
        <v>2989</v>
      </c>
      <c r="B1496" s="7" t="s">
        <v>526</v>
      </c>
      <c r="C1496" s="8">
        <v>1</v>
      </c>
      <c r="D1496" s="7" t="s">
        <v>2989</v>
      </c>
      <c r="E1496" s="7" t="s">
        <v>3086</v>
      </c>
      <c r="F1496">
        <v>1137</v>
      </c>
      <c r="G1496" s="6">
        <v>28223</v>
      </c>
      <c r="H1496" s="11" t="s">
        <v>3087</v>
      </c>
      <c r="I1496" s="6">
        <v>12</v>
      </c>
      <c r="J1496" s="6">
        <v>5</v>
      </c>
      <c r="K1496" s="6">
        <v>19</v>
      </c>
      <c r="L1496" s="6">
        <v>63</v>
      </c>
      <c r="M1496" s="10">
        <f t="shared" si="69"/>
        <v>30.158730158730158</v>
      </c>
      <c r="N1496" s="10">
        <f t="shared" si="70"/>
        <v>31</v>
      </c>
      <c r="O1496" s="6" t="s">
        <v>18</v>
      </c>
      <c r="P1496" s="6">
        <v>2</v>
      </c>
      <c r="Q1496" s="6">
        <v>0</v>
      </c>
      <c r="R1496" s="6">
        <v>0</v>
      </c>
      <c r="S1496" s="6">
        <v>2</v>
      </c>
      <c r="T1496" s="6" t="str">
        <f t="shared" si="71"/>
        <v>Sexta</v>
      </c>
    </row>
    <row r="1497" spans="1:20">
      <c r="A1497" s="7" t="s">
        <v>3088</v>
      </c>
      <c r="B1497" s="7" t="s">
        <v>483</v>
      </c>
      <c r="C1497" s="8">
        <v>1</v>
      </c>
      <c r="D1497" s="7" t="s">
        <v>3088</v>
      </c>
      <c r="E1497" s="7" t="s">
        <v>3089</v>
      </c>
      <c r="F1497">
        <v>1476</v>
      </c>
      <c r="G1497" s="6">
        <v>18796</v>
      </c>
      <c r="H1497" s="11" t="s">
        <v>3090</v>
      </c>
      <c r="I1497" s="6">
        <v>20</v>
      </c>
      <c r="J1497" s="6">
        <v>17</v>
      </c>
      <c r="K1497" s="6">
        <v>43</v>
      </c>
      <c r="L1497" s="6">
        <v>57</v>
      </c>
      <c r="M1497" s="10">
        <f t="shared" si="69"/>
        <v>75.438596491228068</v>
      </c>
      <c r="N1497" s="10">
        <f t="shared" si="70"/>
        <v>76</v>
      </c>
      <c r="O1497" s="6" t="s">
        <v>88</v>
      </c>
      <c r="P1497" s="6">
        <v>2</v>
      </c>
      <c r="Q1497" s="6">
        <v>2</v>
      </c>
      <c r="R1497" s="6">
        <v>0</v>
      </c>
      <c r="S1497" s="6">
        <v>4</v>
      </c>
      <c r="T1497" s="6" t="str">
        <f t="shared" si="71"/>
        <v>Cuarta</v>
      </c>
    </row>
    <row r="1498" spans="1:20">
      <c r="A1498" s="7" t="s">
        <v>3088</v>
      </c>
      <c r="B1498" s="7" t="s">
        <v>483</v>
      </c>
      <c r="C1498" s="8">
        <v>1</v>
      </c>
      <c r="D1498" s="7" t="s">
        <v>3088</v>
      </c>
      <c r="E1498" s="7" t="s">
        <v>3091</v>
      </c>
      <c r="F1498">
        <v>1558</v>
      </c>
      <c r="G1498" s="6">
        <v>27082</v>
      </c>
      <c r="H1498" s="11" t="s">
        <v>3092</v>
      </c>
      <c r="I1498" s="6">
        <v>58</v>
      </c>
      <c r="J1498" s="6">
        <v>16</v>
      </c>
      <c r="K1498" s="6">
        <v>59</v>
      </c>
      <c r="L1498" s="6">
        <v>75</v>
      </c>
      <c r="M1498" s="10">
        <f t="shared" si="69"/>
        <v>78.666666666666671</v>
      </c>
      <c r="N1498" s="10">
        <f t="shared" si="70"/>
        <v>79</v>
      </c>
      <c r="O1498" s="6" t="s">
        <v>12</v>
      </c>
      <c r="P1498" s="6">
        <v>5</v>
      </c>
      <c r="Q1498" s="6">
        <v>0</v>
      </c>
      <c r="R1498" s="6">
        <v>6</v>
      </c>
      <c r="S1498" s="6">
        <v>11</v>
      </c>
      <c r="T1498" s="6" t="str">
        <f t="shared" si="71"/>
        <v>Cuarta</v>
      </c>
    </row>
    <row r="1499" spans="1:20">
      <c r="A1499" s="7" t="s">
        <v>3088</v>
      </c>
      <c r="B1499" s="7" t="s">
        <v>483</v>
      </c>
      <c r="C1499" s="8">
        <v>1</v>
      </c>
      <c r="D1499" s="7" t="s">
        <v>3088</v>
      </c>
      <c r="E1499" s="7" t="s">
        <v>3093</v>
      </c>
      <c r="F1499">
        <v>1225</v>
      </c>
      <c r="G1499" s="6">
        <v>18627</v>
      </c>
      <c r="H1499" s="11" t="s">
        <v>3094</v>
      </c>
      <c r="I1499" s="6">
        <v>22</v>
      </c>
      <c r="J1499" s="6">
        <v>1</v>
      </c>
      <c r="K1499" s="6">
        <v>0</v>
      </c>
      <c r="L1499" s="6">
        <v>0</v>
      </c>
      <c r="M1499" s="10">
        <f t="shared" si="69"/>
        <v>0</v>
      </c>
      <c r="N1499" s="10">
        <f t="shared" si="70"/>
        <v>0</v>
      </c>
      <c r="O1499" s="6" t="s">
        <v>364</v>
      </c>
      <c r="P1499" s="6">
        <v>0</v>
      </c>
      <c r="Q1499" s="6">
        <v>0</v>
      </c>
      <c r="R1499" s="6">
        <v>0</v>
      </c>
      <c r="S1499" s="6">
        <v>0</v>
      </c>
      <c r="T1499" s="6" t="str">
        <f t="shared" si="71"/>
        <v>Quinta</v>
      </c>
    </row>
    <row r="1500" spans="1:20">
      <c r="A1500" s="7" t="s">
        <v>3088</v>
      </c>
      <c r="B1500" s="7" t="s">
        <v>483</v>
      </c>
      <c r="C1500" s="8">
        <v>1</v>
      </c>
      <c r="D1500" s="7" t="s">
        <v>3088</v>
      </c>
      <c r="E1500" s="7" t="s">
        <v>3095</v>
      </c>
      <c r="F1500">
        <v>1426</v>
      </c>
      <c r="G1500" s="6">
        <v>24116</v>
      </c>
      <c r="H1500" s="11" t="s">
        <v>3096</v>
      </c>
      <c r="I1500" s="6">
        <v>20</v>
      </c>
      <c r="J1500" s="6">
        <v>66</v>
      </c>
      <c r="K1500" s="6">
        <v>146</v>
      </c>
      <c r="L1500" s="6">
        <v>48</v>
      </c>
      <c r="M1500" s="10">
        <f t="shared" si="69"/>
        <v>304.16666666666669</v>
      </c>
      <c r="N1500" s="10">
        <f t="shared" si="70"/>
        <v>305</v>
      </c>
      <c r="O1500" s="6" t="s">
        <v>19</v>
      </c>
      <c r="P1500" s="6">
        <v>4</v>
      </c>
      <c r="Q1500" s="6">
        <v>1</v>
      </c>
      <c r="R1500" s="6">
        <v>5</v>
      </c>
      <c r="S1500" s="6">
        <v>10</v>
      </c>
      <c r="T1500" s="6" t="str">
        <f t="shared" si="71"/>
        <v>Cuarta</v>
      </c>
    </row>
    <row r="1501" spans="1:20">
      <c r="A1501" s="7" t="s">
        <v>3088</v>
      </c>
      <c r="B1501" s="7" t="s">
        <v>483</v>
      </c>
      <c r="C1501" s="8">
        <v>1</v>
      </c>
      <c r="D1501" s="7" t="s">
        <v>3088</v>
      </c>
      <c r="E1501" s="7" t="s">
        <v>3097</v>
      </c>
      <c r="F1501">
        <v>1593</v>
      </c>
      <c r="G1501" s="6">
        <v>22901</v>
      </c>
      <c r="H1501" s="11" t="s">
        <v>3098</v>
      </c>
      <c r="I1501" s="6">
        <v>30</v>
      </c>
      <c r="J1501" s="6">
        <v>176</v>
      </c>
      <c r="K1501" s="6">
        <v>311</v>
      </c>
      <c r="L1501" s="6">
        <v>39</v>
      </c>
      <c r="M1501" s="10">
        <f t="shared" si="69"/>
        <v>797.43589743589746</v>
      </c>
      <c r="N1501" s="10">
        <f t="shared" si="70"/>
        <v>798</v>
      </c>
      <c r="O1501" s="6" t="s">
        <v>12</v>
      </c>
      <c r="P1501" s="6">
        <v>7</v>
      </c>
      <c r="Q1501" s="6">
        <v>11</v>
      </c>
      <c r="R1501" s="6">
        <v>29</v>
      </c>
      <c r="S1501" s="6">
        <v>47</v>
      </c>
      <c r="T1501" s="6" t="str">
        <f t="shared" si="71"/>
        <v>Cuarta</v>
      </c>
    </row>
    <row r="1502" spans="1:20">
      <c r="A1502" s="7" t="s">
        <v>3088</v>
      </c>
      <c r="B1502" s="7" t="s">
        <v>483</v>
      </c>
      <c r="C1502" s="8">
        <v>1</v>
      </c>
      <c r="D1502" s="7" t="s">
        <v>3088</v>
      </c>
      <c r="E1502" s="7" t="s">
        <v>3099</v>
      </c>
      <c r="F1502">
        <v>1222</v>
      </c>
      <c r="G1502" s="6">
        <v>17835</v>
      </c>
      <c r="H1502" s="11" t="s">
        <v>3100</v>
      </c>
      <c r="I1502" s="6">
        <v>26</v>
      </c>
      <c r="J1502" s="6">
        <v>1</v>
      </c>
      <c r="K1502" s="6">
        <v>0</v>
      </c>
      <c r="L1502" s="6">
        <v>0</v>
      </c>
      <c r="M1502" s="10">
        <f t="shared" si="69"/>
        <v>0</v>
      </c>
      <c r="N1502" s="10">
        <f t="shared" si="70"/>
        <v>0</v>
      </c>
      <c r="O1502" s="6" t="s">
        <v>365</v>
      </c>
      <c r="P1502" s="6">
        <v>0</v>
      </c>
      <c r="Q1502" s="6">
        <v>0</v>
      </c>
      <c r="R1502" s="6">
        <v>0</v>
      </c>
      <c r="S1502" s="6">
        <v>0</v>
      </c>
      <c r="T1502" s="6" t="str">
        <f t="shared" si="71"/>
        <v>Quinta</v>
      </c>
    </row>
    <row r="1503" spans="1:20">
      <c r="A1503" s="7" t="s">
        <v>3088</v>
      </c>
      <c r="B1503" s="7" t="s">
        <v>483</v>
      </c>
      <c r="C1503" s="8">
        <v>1</v>
      </c>
      <c r="D1503" s="7" t="s">
        <v>3088</v>
      </c>
      <c r="E1503" s="7" t="s">
        <v>3101</v>
      </c>
      <c r="F1503">
        <v>1265</v>
      </c>
      <c r="G1503" s="6">
        <v>20798</v>
      </c>
      <c r="H1503" s="11" t="s">
        <v>3102</v>
      </c>
      <c r="I1503" s="6">
        <v>16</v>
      </c>
      <c r="J1503" s="6">
        <v>6</v>
      </c>
      <c r="K1503" s="6">
        <v>22</v>
      </c>
      <c r="L1503" s="6">
        <v>73</v>
      </c>
      <c r="M1503" s="10">
        <f t="shared" si="69"/>
        <v>30.136986301369863</v>
      </c>
      <c r="N1503" s="10">
        <f t="shared" si="70"/>
        <v>31</v>
      </c>
      <c r="O1503" s="6" t="s">
        <v>43</v>
      </c>
      <c r="P1503" s="6">
        <v>2</v>
      </c>
      <c r="Q1503" s="6">
        <v>0</v>
      </c>
      <c r="R1503" s="6">
        <v>0</v>
      </c>
      <c r="S1503" s="6">
        <v>2</v>
      </c>
      <c r="T1503" s="6" t="str">
        <f t="shared" si="71"/>
        <v>Quinta</v>
      </c>
    </row>
    <row r="1504" spans="1:20">
      <c r="A1504" s="7" t="s">
        <v>3088</v>
      </c>
      <c r="B1504" s="7" t="s">
        <v>483</v>
      </c>
      <c r="C1504" s="8">
        <v>1</v>
      </c>
      <c r="D1504" s="7" t="s">
        <v>3088</v>
      </c>
      <c r="E1504" s="7" t="s">
        <v>3103</v>
      </c>
      <c r="F1504">
        <v>1289</v>
      </c>
      <c r="G1504" s="6">
        <v>25476</v>
      </c>
      <c r="H1504" s="11" t="s">
        <v>3104</v>
      </c>
      <c r="I1504" s="6">
        <v>36</v>
      </c>
      <c r="J1504" s="6">
        <v>29</v>
      </c>
      <c r="K1504" s="6">
        <v>69</v>
      </c>
      <c r="L1504" s="6">
        <v>55</v>
      </c>
      <c r="M1504" s="10">
        <f t="shared" si="69"/>
        <v>125.45454545454545</v>
      </c>
      <c r="N1504" s="10">
        <f t="shared" si="70"/>
        <v>126</v>
      </c>
      <c r="O1504" s="6" t="s">
        <v>138</v>
      </c>
      <c r="P1504" s="6">
        <v>3</v>
      </c>
      <c r="Q1504" s="6">
        <v>3</v>
      </c>
      <c r="R1504" s="6">
        <v>6</v>
      </c>
      <c r="S1504" s="6">
        <v>12</v>
      </c>
      <c r="T1504" s="6" t="str">
        <f t="shared" si="71"/>
        <v>Quinta</v>
      </c>
    </row>
    <row r="1505" spans="1:20">
      <c r="A1505" s="7" t="s">
        <v>3088</v>
      </c>
      <c r="B1505" s="7" t="s">
        <v>507</v>
      </c>
      <c r="C1505" s="8">
        <v>1</v>
      </c>
      <c r="D1505" s="7" t="s">
        <v>3088</v>
      </c>
      <c r="E1505" s="7" t="s">
        <v>3105</v>
      </c>
      <c r="F1505">
        <v>1286</v>
      </c>
      <c r="G1505" s="6">
        <v>27304</v>
      </c>
      <c r="H1505" s="11" t="s">
        <v>3106</v>
      </c>
      <c r="I1505" s="6">
        <v>25</v>
      </c>
      <c r="J1505" s="6">
        <v>12</v>
      </c>
      <c r="K1505" s="6">
        <v>42</v>
      </c>
      <c r="L1505" s="6">
        <v>71</v>
      </c>
      <c r="M1505" s="10">
        <f t="shared" si="69"/>
        <v>59.154929577464792</v>
      </c>
      <c r="N1505" s="10">
        <f t="shared" si="70"/>
        <v>60</v>
      </c>
      <c r="O1505" s="6" t="s">
        <v>171</v>
      </c>
      <c r="P1505" s="6">
        <v>4</v>
      </c>
      <c r="Q1505" s="6">
        <v>1</v>
      </c>
      <c r="R1505" s="6">
        <v>2</v>
      </c>
      <c r="S1505" s="6">
        <v>7</v>
      </c>
      <c r="T1505" s="6" t="str">
        <f t="shared" si="71"/>
        <v>Quinta</v>
      </c>
    </row>
    <row r="1506" spans="1:20">
      <c r="A1506" s="7" t="s">
        <v>3088</v>
      </c>
      <c r="B1506" s="7" t="s">
        <v>507</v>
      </c>
      <c r="C1506" s="8">
        <v>1</v>
      </c>
      <c r="D1506" s="7" t="s">
        <v>3088</v>
      </c>
      <c r="E1506" s="7" t="s">
        <v>3107</v>
      </c>
      <c r="F1506">
        <v>1213</v>
      </c>
      <c r="G1506" s="6">
        <v>28861</v>
      </c>
      <c r="H1506" s="11" t="s">
        <v>3108</v>
      </c>
      <c r="I1506" s="6">
        <v>21</v>
      </c>
      <c r="J1506" s="6">
        <v>21</v>
      </c>
      <c r="K1506" s="6">
        <v>49</v>
      </c>
      <c r="L1506" s="6">
        <v>53</v>
      </c>
      <c r="M1506" s="10">
        <f t="shared" si="69"/>
        <v>92.452830188679243</v>
      </c>
      <c r="N1506" s="10">
        <f t="shared" si="70"/>
        <v>93</v>
      </c>
      <c r="O1506" s="6" t="s">
        <v>26</v>
      </c>
      <c r="P1506" s="6">
        <v>2</v>
      </c>
      <c r="Q1506" s="6">
        <v>1</v>
      </c>
      <c r="R1506" s="6">
        <v>3</v>
      </c>
      <c r="S1506" s="6">
        <v>6</v>
      </c>
      <c r="T1506" s="6" t="str">
        <f t="shared" si="71"/>
        <v>Quinta</v>
      </c>
    </row>
    <row r="1507" spans="1:20">
      <c r="A1507" s="7" t="s">
        <v>3088</v>
      </c>
      <c r="B1507" s="7" t="s">
        <v>507</v>
      </c>
      <c r="C1507" s="8">
        <v>1</v>
      </c>
      <c r="D1507" s="7" t="s">
        <v>3088</v>
      </c>
      <c r="E1507" s="7" t="s">
        <v>3109</v>
      </c>
      <c r="F1507">
        <v>1544</v>
      </c>
      <c r="G1507" s="6">
        <v>1496</v>
      </c>
      <c r="H1507" s="11" t="s">
        <v>3110</v>
      </c>
      <c r="I1507" s="6">
        <v>28</v>
      </c>
      <c r="J1507" s="6">
        <v>1</v>
      </c>
      <c r="K1507" s="6">
        <v>1</v>
      </c>
      <c r="L1507" s="6">
        <v>10</v>
      </c>
      <c r="M1507" s="10">
        <f t="shared" si="69"/>
        <v>10</v>
      </c>
      <c r="N1507" s="10">
        <f t="shared" si="70"/>
        <v>10</v>
      </c>
      <c r="O1507" s="6" t="s">
        <v>366</v>
      </c>
      <c r="P1507" s="6">
        <v>0</v>
      </c>
      <c r="Q1507" s="6">
        <v>0</v>
      </c>
      <c r="R1507" s="6">
        <v>0</v>
      </c>
      <c r="S1507" s="6">
        <v>0</v>
      </c>
      <c r="T1507" s="6" t="str">
        <f t="shared" si="71"/>
        <v>Cuarta</v>
      </c>
    </row>
    <row r="1508" spans="1:20">
      <c r="A1508" s="7" t="s">
        <v>3088</v>
      </c>
      <c r="B1508" s="7" t="s">
        <v>507</v>
      </c>
      <c r="C1508" s="8">
        <v>1</v>
      </c>
      <c r="D1508" s="7" t="s">
        <v>3088</v>
      </c>
      <c r="E1508" s="7" t="s">
        <v>3111</v>
      </c>
      <c r="F1508">
        <v>1294</v>
      </c>
      <c r="G1508" s="6">
        <v>28868</v>
      </c>
      <c r="H1508" s="11" t="s">
        <v>3112</v>
      </c>
      <c r="I1508" s="6">
        <v>34</v>
      </c>
      <c r="J1508" s="6">
        <v>21</v>
      </c>
      <c r="K1508" s="6">
        <v>55</v>
      </c>
      <c r="L1508" s="6">
        <v>57</v>
      </c>
      <c r="M1508" s="10">
        <f t="shared" si="69"/>
        <v>96.491228070175438</v>
      </c>
      <c r="N1508" s="10">
        <f t="shared" si="70"/>
        <v>97</v>
      </c>
      <c r="O1508" s="6" t="s">
        <v>12</v>
      </c>
      <c r="P1508" s="6">
        <v>4</v>
      </c>
      <c r="Q1508" s="6">
        <v>4</v>
      </c>
      <c r="R1508" s="6">
        <v>3</v>
      </c>
      <c r="S1508" s="6">
        <v>11</v>
      </c>
      <c r="T1508" s="6" t="str">
        <f t="shared" si="71"/>
        <v>Quinta</v>
      </c>
    </row>
    <row r="1509" spans="1:20">
      <c r="A1509" s="7" t="s">
        <v>3088</v>
      </c>
      <c r="B1509" s="7" t="s">
        <v>507</v>
      </c>
      <c r="C1509" s="8">
        <v>1</v>
      </c>
      <c r="D1509" s="7" t="s">
        <v>3088</v>
      </c>
      <c r="E1509" s="7" t="s">
        <v>3113</v>
      </c>
      <c r="F1509">
        <v>1256</v>
      </c>
      <c r="G1509" s="6">
        <v>27548</v>
      </c>
      <c r="H1509" s="11" t="s">
        <v>3114</v>
      </c>
      <c r="I1509" s="6">
        <v>26</v>
      </c>
      <c r="J1509" s="6">
        <v>15</v>
      </c>
      <c r="K1509" s="6">
        <v>42</v>
      </c>
      <c r="L1509" s="6">
        <v>49</v>
      </c>
      <c r="M1509" s="10">
        <f t="shared" si="69"/>
        <v>85.714285714285708</v>
      </c>
      <c r="N1509" s="10">
        <f t="shared" si="70"/>
        <v>86</v>
      </c>
      <c r="O1509" s="6" t="s">
        <v>26</v>
      </c>
      <c r="P1509" s="6">
        <v>1</v>
      </c>
      <c r="Q1509" s="6">
        <v>1</v>
      </c>
      <c r="R1509" s="6">
        <v>5</v>
      </c>
      <c r="S1509" s="6">
        <v>7</v>
      </c>
      <c r="T1509" s="6" t="str">
        <f t="shared" si="71"/>
        <v>Quinta</v>
      </c>
    </row>
    <row r="1510" spans="1:20">
      <c r="A1510" s="7" t="s">
        <v>3088</v>
      </c>
      <c r="B1510" s="7" t="s">
        <v>507</v>
      </c>
      <c r="C1510" s="8">
        <v>1</v>
      </c>
      <c r="D1510" s="7" t="s">
        <v>3088</v>
      </c>
      <c r="E1510" s="7" t="s">
        <v>3115</v>
      </c>
      <c r="F1510">
        <v>1179</v>
      </c>
      <c r="G1510" s="6">
        <v>27305</v>
      </c>
      <c r="H1510" s="11" t="s">
        <v>3116</v>
      </c>
      <c r="I1510" s="6">
        <v>21</v>
      </c>
      <c r="J1510" s="6">
        <v>5</v>
      </c>
      <c r="K1510" s="6">
        <v>25</v>
      </c>
      <c r="L1510" s="6">
        <v>86</v>
      </c>
      <c r="M1510" s="10">
        <f t="shared" si="69"/>
        <v>29.069767441860463</v>
      </c>
      <c r="N1510" s="10">
        <f t="shared" si="70"/>
        <v>30</v>
      </c>
      <c r="O1510" s="6" t="s">
        <v>97</v>
      </c>
      <c r="P1510" s="6">
        <v>3</v>
      </c>
      <c r="Q1510" s="6">
        <v>1</v>
      </c>
      <c r="R1510" s="6">
        <v>0</v>
      </c>
      <c r="S1510" s="6">
        <v>4</v>
      </c>
      <c r="T1510" s="6" t="str">
        <f t="shared" si="71"/>
        <v>Sexta</v>
      </c>
    </row>
    <row r="1511" spans="1:20">
      <c r="A1511" s="7" t="s">
        <v>3088</v>
      </c>
      <c r="B1511" s="7" t="s">
        <v>507</v>
      </c>
      <c r="C1511" s="8">
        <v>1</v>
      </c>
      <c r="D1511" s="7" t="s">
        <v>3088</v>
      </c>
      <c r="E1511" s="7" t="s">
        <v>3117</v>
      </c>
      <c r="F1511">
        <v>1107</v>
      </c>
      <c r="G1511" s="6">
        <v>26390</v>
      </c>
      <c r="H1511" s="11" t="s">
        <v>3118</v>
      </c>
      <c r="I1511" s="6">
        <v>22</v>
      </c>
      <c r="J1511" s="6">
        <v>34</v>
      </c>
      <c r="K1511" s="6">
        <v>73</v>
      </c>
      <c r="L1511" s="6">
        <v>42</v>
      </c>
      <c r="M1511" s="10">
        <f t="shared" si="69"/>
        <v>173.8095238095238</v>
      </c>
      <c r="N1511" s="10">
        <f t="shared" si="70"/>
        <v>174</v>
      </c>
      <c r="O1511" s="6" t="s">
        <v>26</v>
      </c>
      <c r="P1511" s="6">
        <v>2</v>
      </c>
      <c r="Q1511" s="6">
        <v>2</v>
      </c>
      <c r="R1511" s="6">
        <v>5</v>
      </c>
      <c r="S1511" s="6">
        <v>9</v>
      </c>
      <c r="T1511" s="6" t="str">
        <f t="shared" si="71"/>
        <v>Sexta</v>
      </c>
    </row>
    <row r="1512" spans="1:20">
      <c r="A1512" s="7" t="s">
        <v>3088</v>
      </c>
      <c r="B1512" s="7" t="s">
        <v>507</v>
      </c>
      <c r="C1512" s="8">
        <v>1</v>
      </c>
      <c r="D1512" s="7" t="s">
        <v>3088</v>
      </c>
      <c r="E1512" s="7" t="s">
        <v>3119</v>
      </c>
      <c r="F1512">
        <v>1870</v>
      </c>
      <c r="G1512" s="6">
        <v>578</v>
      </c>
      <c r="H1512" s="11" t="s">
        <v>3120</v>
      </c>
      <c r="I1512" s="6">
        <v>37</v>
      </c>
      <c r="J1512" s="6">
        <v>2</v>
      </c>
      <c r="K1512" s="6">
        <v>11</v>
      </c>
      <c r="L1512" s="6">
        <v>79</v>
      </c>
      <c r="M1512" s="10">
        <f t="shared" si="69"/>
        <v>13.924050632911392</v>
      </c>
      <c r="N1512" s="10">
        <f t="shared" si="70"/>
        <v>14</v>
      </c>
      <c r="O1512" s="6" t="s">
        <v>227</v>
      </c>
      <c r="P1512" s="6">
        <v>1</v>
      </c>
      <c r="Q1512" s="6">
        <v>0</v>
      </c>
      <c r="R1512" s="6">
        <v>1</v>
      </c>
      <c r="S1512" s="6">
        <v>2</v>
      </c>
      <c r="T1512" s="6" t="str">
        <f t="shared" si="71"/>
        <v>Segunda</v>
      </c>
    </row>
    <row r="1513" spans="1:20">
      <c r="A1513" s="7" t="s">
        <v>3121</v>
      </c>
      <c r="B1513" s="7" t="s">
        <v>507</v>
      </c>
      <c r="C1513" s="8">
        <v>1</v>
      </c>
      <c r="D1513" s="7" t="s">
        <v>3121</v>
      </c>
      <c r="E1513" s="7" t="s">
        <v>3122</v>
      </c>
      <c r="F1513">
        <v>1591</v>
      </c>
      <c r="G1513" s="6">
        <v>2261</v>
      </c>
      <c r="H1513" s="11" t="s">
        <v>3123</v>
      </c>
      <c r="I1513" s="6">
        <v>55</v>
      </c>
      <c r="J1513" s="6">
        <v>1</v>
      </c>
      <c r="K1513" s="6">
        <v>1</v>
      </c>
      <c r="L1513" s="6">
        <v>33</v>
      </c>
      <c r="M1513" s="10">
        <f t="shared" si="69"/>
        <v>3.0303030303030303</v>
      </c>
      <c r="N1513" s="10">
        <f t="shared" si="70"/>
        <v>4</v>
      </c>
      <c r="O1513" s="6" t="s">
        <v>367</v>
      </c>
      <c r="P1513" s="6">
        <v>0</v>
      </c>
      <c r="Q1513" s="6">
        <v>0</v>
      </c>
      <c r="R1513" s="6">
        <v>0</v>
      </c>
      <c r="S1513" s="6">
        <v>0</v>
      </c>
      <c r="T1513" s="6" t="str">
        <f t="shared" si="71"/>
        <v>Cuarta</v>
      </c>
    </row>
    <row r="1514" spans="1:20">
      <c r="A1514" s="7" t="s">
        <v>3121</v>
      </c>
      <c r="B1514" s="7" t="s">
        <v>507</v>
      </c>
      <c r="C1514" s="8">
        <v>1</v>
      </c>
      <c r="D1514" s="7" t="s">
        <v>3121</v>
      </c>
      <c r="E1514" s="7" t="s">
        <v>3124</v>
      </c>
      <c r="F1514">
        <v>1000</v>
      </c>
      <c r="G1514" s="6">
        <v>16273</v>
      </c>
      <c r="H1514" s="11" t="s">
        <v>3125</v>
      </c>
      <c r="I1514" s="6">
        <v>25</v>
      </c>
      <c r="J1514" s="6">
        <v>0</v>
      </c>
      <c r="K1514" s="6">
        <v>0</v>
      </c>
      <c r="L1514" s="6">
        <v>0</v>
      </c>
      <c r="M1514" s="10">
        <f t="shared" si="69"/>
        <v>0</v>
      </c>
      <c r="N1514" s="10">
        <f t="shared" si="70"/>
        <v>0</v>
      </c>
      <c r="P1514" s="6">
        <v>0</v>
      </c>
      <c r="Q1514" s="6">
        <v>0</v>
      </c>
      <c r="R1514" s="6">
        <v>0</v>
      </c>
      <c r="S1514" s="6">
        <v>0</v>
      </c>
      <c r="T1514" s="6" t="str">
        <f t="shared" si="71"/>
        <v>Septima</v>
      </c>
    </row>
    <row r="1515" spans="1:20">
      <c r="A1515" s="7" t="s">
        <v>3121</v>
      </c>
      <c r="B1515" s="7" t="s">
        <v>507</v>
      </c>
      <c r="C1515" s="8">
        <v>1</v>
      </c>
      <c r="D1515" s="7" t="s">
        <v>3121</v>
      </c>
      <c r="E1515" s="7" t="s">
        <v>3126</v>
      </c>
      <c r="F1515">
        <v>1156</v>
      </c>
      <c r="G1515" s="6">
        <v>27576</v>
      </c>
      <c r="H1515" s="11" t="s">
        <v>3127</v>
      </c>
      <c r="I1515" s="6">
        <v>14</v>
      </c>
      <c r="J1515" s="6">
        <v>4</v>
      </c>
      <c r="K1515" s="6">
        <v>14</v>
      </c>
      <c r="L1515" s="6">
        <v>74</v>
      </c>
      <c r="M1515" s="10">
        <f t="shared" si="69"/>
        <v>18.918918918918919</v>
      </c>
      <c r="N1515" s="10">
        <f t="shared" si="70"/>
        <v>19</v>
      </c>
      <c r="O1515" s="6" t="s">
        <v>20</v>
      </c>
      <c r="P1515" s="6">
        <v>1</v>
      </c>
      <c r="Q1515" s="6">
        <v>0</v>
      </c>
      <c r="R1515" s="6">
        <v>1</v>
      </c>
      <c r="S1515" s="6">
        <v>2</v>
      </c>
      <c r="T1515" s="6" t="str">
        <f t="shared" si="71"/>
        <v>Sexta</v>
      </c>
    </row>
    <row r="1516" spans="1:20">
      <c r="A1516" s="7" t="s">
        <v>3121</v>
      </c>
      <c r="B1516" s="7" t="s">
        <v>507</v>
      </c>
      <c r="C1516" s="8">
        <v>1</v>
      </c>
      <c r="D1516" s="7" t="s">
        <v>3121</v>
      </c>
      <c r="E1516" s="7" t="s">
        <v>3128</v>
      </c>
      <c r="F1516">
        <v>972</v>
      </c>
      <c r="G1516" s="6">
        <v>24953</v>
      </c>
      <c r="H1516" s="11" t="s">
        <v>3129</v>
      </c>
      <c r="I1516" s="6">
        <v>19</v>
      </c>
      <c r="J1516" s="6">
        <v>1</v>
      </c>
      <c r="K1516" s="6">
        <v>0</v>
      </c>
      <c r="L1516" s="6">
        <v>0</v>
      </c>
      <c r="M1516" s="10">
        <f t="shared" si="69"/>
        <v>0</v>
      </c>
      <c r="N1516" s="10">
        <f t="shared" si="70"/>
        <v>0</v>
      </c>
      <c r="O1516" s="6" t="s">
        <v>368</v>
      </c>
      <c r="P1516" s="6">
        <v>0</v>
      </c>
      <c r="Q1516" s="6">
        <v>0</v>
      </c>
      <c r="R1516" s="6">
        <v>0</v>
      </c>
      <c r="S1516" s="6">
        <v>0</v>
      </c>
      <c r="T1516" s="6" t="str">
        <f t="shared" si="71"/>
        <v>Octava</v>
      </c>
    </row>
    <row r="1517" spans="1:20">
      <c r="A1517" s="7" t="s">
        <v>3121</v>
      </c>
      <c r="B1517" s="7" t="s">
        <v>507</v>
      </c>
      <c r="C1517" s="8">
        <v>1</v>
      </c>
      <c r="D1517" s="7" t="s">
        <v>3121</v>
      </c>
      <c r="E1517" s="7" t="s">
        <v>3130</v>
      </c>
      <c r="F1517">
        <v>1200</v>
      </c>
      <c r="G1517" s="6">
        <v>25330</v>
      </c>
      <c r="H1517" s="11" t="s">
        <v>3131</v>
      </c>
      <c r="I1517" s="6">
        <v>14</v>
      </c>
      <c r="J1517" s="6">
        <v>11</v>
      </c>
      <c r="K1517" s="6">
        <v>37</v>
      </c>
      <c r="L1517" s="6">
        <v>60</v>
      </c>
      <c r="M1517" s="10">
        <f t="shared" si="69"/>
        <v>61.666666666666664</v>
      </c>
      <c r="N1517" s="10">
        <f t="shared" si="70"/>
        <v>62</v>
      </c>
      <c r="O1517" s="6" t="s">
        <v>20</v>
      </c>
      <c r="P1517" s="6">
        <v>3</v>
      </c>
      <c r="Q1517" s="6">
        <v>2</v>
      </c>
      <c r="R1517" s="6">
        <v>2</v>
      </c>
      <c r="S1517" s="6">
        <v>7</v>
      </c>
      <c r="T1517" s="6" t="str">
        <f t="shared" si="71"/>
        <v>Quinta</v>
      </c>
    </row>
    <row r="1518" spans="1:20">
      <c r="A1518" s="7" t="s">
        <v>3121</v>
      </c>
      <c r="B1518" s="7" t="s">
        <v>507</v>
      </c>
      <c r="C1518" s="8">
        <v>1</v>
      </c>
      <c r="D1518" s="7" t="s">
        <v>3121</v>
      </c>
      <c r="E1518" s="7" t="s">
        <v>3132</v>
      </c>
      <c r="F1518">
        <v>1175</v>
      </c>
      <c r="G1518" s="6">
        <v>21829</v>
      </c>
      <c r="H1518" s="11" t="s">
        <v>3133</v>
      </c>
      <c r="I1518" s="6">
        <v>28</v>
      </c>
      <c r="J1518" s="6">
        <v>13</v>
      </c>
      <c r="K1518" s="6">
        <v>30</v>
      </c>
      <c r="L1518" s="6">
        <v>58</v>
      </c>
      <c r="M1518" s="10">
        <f t="shared" si="69"/>
        <v>51.724137931034484</v>
      </c>
      <c r="N1518" s="10">
        <f t="shared" si="70"/>
        <v>52</v>
      </c>
      <c r="O1518" s="6" t="s">
        <v>20</v>
      </c>
      <c r="P1518" s="6">
        <v>0</v>
      </c>
      <c r="Q1518" s="6">
        <v>3</v>
      </c>
      <c r="R1518" s="6">
        <v>2</v>
      </c>
      <c r="S1518" s="6">
        <v>5</v>
      </c>
      <c r="T1518" s="6" t="str">
        <f t="shared" si="71"/>
        <v>Sexta</v>
      </c>
    </row>
    <row r="1519" spans="1:20">
      <c r="A1519" s="7" t="s">
        <v>3121</v>
      </c>
      <c r="B1519" s="7" t="s">
        <v>526</v>
      </c>
      <c r="C1519" s="8">
        <v>1</v>
      </c>
      <c r="D1519" s="7" t="s">
        <v>3121</v>
      </c>
      <c r="E1519" s="7" t="s">
        <v>3134</v>
      </c>
      <c r="F1519">
        <v>1029</v>
      </c>
      <c r="G1519" s="6">
        <v>29565</v>
      </c>
      <c r="H1519" s="11" t="s">
        <v>3135</v>
      </c>
      <c r="I1519" s="6">
        <v>41</v>
      </c>
      <c r="J1519" s="6">
        <v>2</v>
      </c>
      <c r="K1519" s="6">
        <v>5</v>
      </c>
      <c r="L1519" s="6">
        <v>56</v>
      </c>
      <c r="M1519" s="10">
        <f t="shared" si="69"/>
        <v>8.9285714285714288</v>
      </c>
      <c r="N1519" s="10">
        <f t="shared" si="70"/>
        <v>9</v>
      </c>
      <c r="O1519" s="6" t="s">
        <v>20</v>
      </c>
      <c r="P1519" s="6">
        <v>0</v>
      </c>
      <c r="Q1519" s="6">
        <v>0</v>
      </c>
      <c r="R1519" s="6">
        <v>1</v>
      </c>
      <c r="S1519" s="6">
        <v>1</v>
      </c>
      <c r="T1519" s="6" t="str">
        <f t="shared" si="71"/>
        <v>Septima</v>
      </c>
    </row>
    <row r="1520" spans="1:20">
      <c r="A1520" s="7" t="s">
        <v>3121</v>
      </c>
      <c r="B1520" s="7" t="s">
        <v>526</v>
      </c>
      <c r="C1520" s="8">
        <v>1</v>
      </c>
      <c r="D1520" s="7" t="s">
        <v>3121</v>
      </c>
      <c r="E1520" s="7" t="s">
        <v>3136</v>
      </c>
      <c r="F1520">
        <v>1006</v>
      </c>
      <c r="G1520" s="6">
        <v>29284</v>
      </c>
      <c r="H1520" s="11" t="s">
        <v>3137</v>
      </c>
      <c r="I1520" s="6">
        <v>16</v>
      </c>
      <c r="J1520" s="6">
        <v>3</v>
      </c>
      <c r="K1520" s="6">
        <v>8</v>
      </c>
      <c r="L1520" s="6">
        <v>44</v>
      </c>
      <c r="M1520" s="10">
        <f t="shared" si="69"/>
        <v>18.181818181818183</v>
      </c>
      <c r="N1520" s="10">
        <f t="shared" si="70"/>
        <v>19</v>
      </c>
      <c r="O1520" s="6" t="s">
        <v>20</v>
      </c>
      <c r="P1520" s="6">
        <v>0</v>
      </c>
      <c r="Q1520" s="6">
        <v>0</v>
      </c>
      <c r="R1520" s="6">
        <v>0</v>
      </c>
      <c r="S1520" s="6">
        <v>0</v>
      </c>
      <c r="T1520" s="6" t="str">
        <f t="shared" si="71"/>
        <v>Septima</v>
      </c>
    </row>
    <row r="1521" spans="1:20">
      <c r="A1521" s="7" t="s">
        <v>3121</v>
      </c>
      <c r="B1521" s="7" t="s">
        <v>526</v>
      </c>
      <c r="C1521" s="8">
        <v>1</v>
      </c>
      <c r="D1521" s="7" t="s">
        <v>3121</v>
      </c>
      <c r="E1521" s="7" t="s">
        <v>3138</v>
      </c>
      <c r="F1521">
        <v>1000</v>
      </c>
      <c r="G1521" s="6">
        <v>7705</v>
      </c>
      <c r="H1521" s="11" t="s">
        <v>3139</v>
      </c>
      <c r="I1521" s="6">
        <v>58</v>
      </c>
      <c r="J1521" s="6">
        <v>0</v>
      </c>
      <c r="K1521" s="6">
        <v>0</v>
      </c>
      <c r="L1521" s="6">
        <v>0</v>
      </c>
      <c r="M1521" s="10">
        <f t="shared" si="69"/>
        <v>0</v>
      </c>
      <c r="N1521" s="10">
        <f t="shared" si="70"/>
        <v>0</v>
      </c>
      <c r="P1521" s="6">
        <v>0</v>
      </c>
      <c r="Q1521" s="6">
        <v>0</v>
      </c>
      <c r="R1521" s="6">
        <v>0</v>
      </c>
      <c r="S1521" s="6">
        <v>0</v>
      </c>
      <c r="T1521" s="6" t="str">
        <f t="shared" si="71"/>
        <v>Septima</v>
      </c>
    </row>
    <row r="1522" spans="1:20">
      <c r="A1522" s="7" t="s">
        <v>3121</v>
      </c>
      <c r="B1522" s="7" t="s">
        <v>526</v>
      </c>
      <c r="C1522" s="8">
        <v>1</v>
      </c>
      <c r="D1522" s="7" t="s">
        <v>3121</v>
      </c>
      <c r="E1522" s="7" t="s">
        <v>3140</v>
      </c>
      <c r="F1522">
        <v>1074</v>
      </c>
      <c r="G1522" s="6">
        <v>29536</v>
      </c>
      <c r="H1522" s="11" t="s">
        <v>3141</v>
      </c>
      <c r="I1522" s="6">
        <v>61</v>
      </c>
      <c r="J1522" s="6">
        <v>3</v>
      </c>
      <c r="K1522" s="6">
        <v>11</v>
      </c>
      <c r="L1522" s="6">
        <v>69</v>
      </c>
      <c r="M1522" s="10">
        <f t="shared" si="69"/>
        <v>15.942028985507246</v>
      </c>
      <c r="N1522" s="10">
        <f t="shared" si="70"/>
        <v>16</v>
      </c>
      <c r="O1522" s="6" t="s">
        <v>27</v>
      </c>
      <c r="P1522" s="6">
        <v>0</v>
      </c>
      <c r="Q1522" s="6">
        <v>1</v>
      </c>
      <c r="R1522" s="6">
        <v>2</v>
      </c>
      <c r="S1522" s="6">
        <v>3</v>
      </c>
      <c r="T1522" s="6" t="str">
        <f t="shared" si="71"/>
        <v>Septima</v>
      </c>
    </row>
    <row r="1523" spans="1:20">
      <c r="A1523" s="7" t="s">
        <v>3121</v>
      </c>
      <c r="B1523" s="7" t="s">
        <v>526</v>
      </c>
      <c r="C1523" s="8">
        <v>1</v>
      </c>
      <c r="D1523" s="7" t="s">
        <v>3121</v>
      </c>
      <c r="E1523" s="7" t="s">
        <v>3142</v>
      </c>
      <c r="F1523">
        <v>1000</v>
      </c>
      <c r="G1523" s="6">
        <v>5978</v>
      </c>
      <c r="H1523" s="11" t="s">
        <v>3143</v>
      </c>
      <c r="I1523" s="6">
        <v>30</v>
      </c>
      <c r="J1523" s="6">
        <v>0</v>
      </c>
      <c r="K1523" s="6">
        <v>0</v>
      </c>
      <c r="L1523" s="6">
        <v>0</v>
      </c>
      <c r="M1523" s="10">
        <f t="shared" si="69"/>
        <v>0</v>
      </c>
      <c r="N1523" s="10">
        <f t="shared" si="70"/>
        <v>0</v>
      </c>
      <c r="P1523" s="6">
        <v>0</v>
      </c>
      <c r="Q1523" s="6">
        <v>0</v>
      </c>
      <c r="R1523" s="6">
        <v>0</v>
      </c>
      <c r="S1523" s="6">
        <v>0</v>
      </c>
      <c r="T1523" s="6" t="str">
        <f t="shared" si="71"/>
        <v>Septima</v>
      </c>
    </row>
    <row r="1524" spans="1:20">
      <c r="A1524" s="7" t="s">
        <v>3121</v>
      </c>
      <c r="B1524" s="7" t="s">
        <v>526</v>
      </c>
      <c r="C1524" s="8">
        <v>1</v>
      </c>
      <c r="D1524" s="7" t="s">
        <v>3121</v>
      </c>
      <c r="E1524" s="7" t="s">
        <v>3144</v>
      </c>
      <c r="F1524">
        <v>920</v>
      </c>
      <c r="G1524" s="6">
        <v>18264</v>
      </c>
      <c r="H1524" s="11" t="s">
        <v>3145</v>
      </c>
      <c r="I1524" s="6">
        <v>58</v>
      </c>
      <c r="J1524" s="6">
        <v>1</v>
      </c>
      <c r="K1524" s="6">
        <v>1</v>
      </c>
      <c r="L1524" s="6">
        <v>25</v>
      </c>
      <c r="M1524" s="10">
        <f t="shared" si="69"/>
        <v>4</v>
      </c>
      <c r="N1524" s="10">
        <f t="shared" si="70"/>
        <v>4</v>
      </c>
      <c r="O1524" s="6" t="s">
        <v>369</v>
      </c>
      <c r="P1524" s="6">
        <v>0</v>
      </c>
      <c r="Q1524" s="6">
        <v>0</v>
      </c>
      <c r="R1524" s="6">
        <v>0</v>
      </c>
      <c r="S1524" s="6">
        <v>0</v>
      </c>
      <c r="T1524" s="6" t="str">
        <f t="shared" si="71"/>
        <v>Octava</v>
      </c>
    </row>
    <row r="1525" spans="1:20">
      <c r="A1525" s="7" t="s">
        <v>3121</v>
      </c>
      <c r="B1525" s="7" t="s">
        <v>526</v>
      </c>
      <c r="C1525" s="8">
        <v>1</v>
      </c>
      <c r="D1525" s="7" t="s">
        <v>3121</v>
      </c>
      <c r="E1525" s="7" t="s">
        <v>3146</v>
      </c>
      <c r="F1525">
        <v>0</v>
      </c>
      <c r="G1525" s="6">
        <v>25291</v>
      </c>
      <c r="H1525" s="11" t="s">
        <v>3147</v>
      </c>
      <c r="I1525" s="6">
        <v>19</v>
      </c>
      <c r="M1525" s="10">
        <f t="shared" si="69"/>
        <v>0</v>
      </c>
      <c r="N1525" s="10">
        <f t="shared" si="70"/>
        <v>0</v>
      </c>
      <c r="P1525" s="6">
        <v>0</v>
      </c>
      <c r="Q1525" s="6">
        <v>0</v>
      </c>
      <c r="R1525" s="6">
        <v>0</v>
      </c>
      <c r="S1525" s="6">
        <v>0</v>
      </c>
      <c r="T1525" s="6" t="str">
        <f t="shared" si="71"/>
        <v>Octava</v>
      </c>
    </row>
    <row r="1526" spans="1:20">
      <c r="A1526" s="7" t="s">
        <v>3121</v>
      </c>
      <c r="B1526" s="7" t="s">
        <v>526</v>
      </c>
      <c r="C1526" s="8">
        <v>1</v>
      </c>
      <c r="D1526" s="7" t="s">
        <v>3121</v>
      </c>
      <c r="E1526" s="7" t="s">
        <v>3148</v>
      </c>
      <c r="F1526">
        <v>931</v>
      </c>
      <c r="G1526" s="6">
        <v>26849</v>
      </c>
      <c r="H1526" s="11" t="s">
        <v>3149</v>
      </c>
      <c r="I1526" s="6">
        <v>46</v>
      </c>
      <c r="J1526" s="6">
        <v>2</v>
      </c>
      <c r="K1526" s="6">
        <v>2</v>
      </c>
      <c r="L1526" s="6">
        <v>20</v>
      </c>
      <c r="M1526" s="10">
        <f t="shared" si="69"/>
        <v>10</v>
      </c>
      <c r="N1526" s="10">
        <f t="shared" si="70"/>
        <v>10</v>
      </c>
      <c r="O1526" s="6" t="s">
        <v>20</v>
      </c>
      <c r="P1526" s="6">
        <v>0</v>
      </c>
      <c r="Q1526" s="6">
        <v>0</v>
      </c>
      <c r="R1526" s="6">
        <v>0</v>
      </c>
      <c r="S1526" s="6">
        <v>0</v>
      </c>
      <c r="T1526" s="6" t="str">
        <f t="shared" si="71"/>
        <v>Octava</v>
      </c>
    </row>
    <row r="1527" spans="1:20">
      <c r="A1527" s="7" t="s">
        <v>3150</v>
      </c>
      <c r="B1527" s="7" t="s">
        <v>434</v>
      </c>
      <c r="C1527" s="8">
        <v>1</v>
      </c>
      <c r="D1527" s="7" t="s">
        <v>3150</v>
      </c>
      <c r="E1527" s="7" t="s">
        <v>3151</v>
      </c>
      <c r="F1527">
        <v>2389</v>
      </c>
      <c r="G1527" s="6">
        <v>685</v>
      </c>
      <c r="H1527" s="11" t="s">
        <v>3152</v>
      </c>
      <c r="I1527" s="6">
        <v>39</v>
      </c>
      <c r="J1527" s="6">
        <v>199</v>
      </c>
      <c r="K1527" s="6">
        <v>807</v>
      </c>
      <c r="L1527" s="6">
        <v>84</v>
      </c>
      <c r="M1527" s="10">
        <f t="shared" si="69"/>
        <v>960.71428571428567</v>
      </c>
      <c r="N1527" s="10">
        <f t="shared" si="70"/>
        <v>961</v>
      </c>
      <c r="O1527" s="6" t="s">
        <v>370</v>
      </c>
      <c r="P1527" s="6">
        <v>96</v>
      </c>
      <c r="Q1527" s="6">
        <v>42</v>
      </c>
      <c r="R1527" s="6">
        <v>35</v>
      </c>
      <c r="S1527" s="6">
        <v>173</v>
      </c>
      <c r="T1527" s="6" t="str">
        <f t="shared" si="71"/>
        <v>Primera</v>
      </c>
    </row>
    <row r="1528" spans="1:20">
      <c r="A1528" s="7" t="s">
        <v>3150</v>
      </c>
      <c r="B1528" s="7" t="s">
        <v>434</v>
      </c>
      <c r="C1528" s="8">
        <v>1</v>
      </c>
      <c r="D1528" s="7" t="s">
        <v>3150</v>
      </c>
      <c r="E1528" s="7" t="s">
        <v>3153</v>
      </c>
      <c r="F1528">
        <v>978</v>
      </c>
      <c r="G1528" s="6">
        <v>24720</v>
      </c>
      <c r="H1528" s="11" t="s">
        <v>3154</v>
      </c>
      <c r="I1528" s="6">
        <v>26</v>
      </c>
      <c r="J1528" s="6">
        <v>1</v>
      </c>
      <c r="K1528" s="6">
        <v>0</v>
      </c>
      <c r="L1528" s="6">
        <v>0</v>
      </c>
      <c r="M1528" s="10">
        <f t="shared" si="69"/>
        <v>0</v>
      </c>
      <c r="N1528" s="10">
        <f t="shared" si="70"/>
        <v>0</v>
      </c>
      <c r="O1528" s="6" t="s">
        <v>371</v>
      </c>
      <c r="P1528" s="6">
        <v>0</v>
      </c>
      <c r="Q1528" s="6">
        <v>0</v>
      </c>
      <c r="R1528" s="6">
        <v>0</v>
      </c>
      <c r="S1528" s="6">
        <v>0</v>
      </c>
      <c r="T1528" s="6" t="str">
        <f t="shared" si="71"/>
        <v>Octava</v>
      </c>
    </row>
    <row r="1529" spans="1:20">
      <c r="A1529" s="7" t="s">
        <v>3150</v>
      </c>
      <c r="B1529" s="7" t="s">
        <v>434</v>
      </c>
      <c r="C1529" s="8">
        <v>1</v>
      </c>
      <c r="D1529" s="7" t="s">
        <v>3150</v>
      </c>
      <c r="E1529" s="7" t="s">
        <v>3155</v>
      </c>
      <c r="F1529">
        <v>2267</v>
      </c>
      <c r="G1529" s="6">
        <v>19967</v>
      </c>
      <c r="H1529" s="11" t="s">
        <v>3156</v>
      </c>
      <c r="I1529" s="6">
        <v>18</v>
      </c>
      <c r="J1529" s="6">
        <v>33</v>
      </c>
      <c r="K1529" s="6">
        <v>146</v>
      </c>
      <c r="L1529" s="6">
        <v>69</v>
      </c>
      <c r="M1529" s="10">
        <f t="shared" si="69"/>
        <v>211.59420289855072</v>
      </c>
      <c r="N1529" s="10">
        <f t="shared" si="70"/>
        <v>212</v>
      </c>
      <c r="O1529" s="6" t="s">
        <v>370</v>
      </c>
      <c r="P1529" s="6">
        <v>9</v>
      </c>
      <c r="Q1529" s="6">
        <v>10</v>
      </c>
      <c r="R1529" s="6">
        <v>9</v>
      </c>
      <c r="S1529" s="6">
        <v>28</v>
      </c>
      <c r="T1529" s="6" t="str">
        <f t="shared" si="71"/>
        <v>Primera</v>
      </c>
    </row>
    <row r="1530" spans="1:20">
      <c r="A1530" s="7" t="s">
        <v>3150</v>
      </c>
      <c r="B1530" s="7" t="s">
        <v>451</v>
      </c>
      <c r="C1530" s="8">
        <v>1</v>
      </c>
      <c r="D1530" s="7" t="s">
        <v>3150</v>
      </c>
      <c r="E1530" s="7" t="s">
        <v>3157</v>
      </c>
      <c r="F1530">
        <v>1995</v>
      </c>
      <c r="G1530" s="6">
        <v>458</v>
      </c>
      <c r="H1530" s="11" t="s">
        <v>3158</v>
      </c>
      <c r="I1530" s="6">
        <v>37</v>
      </c>
      <c r="J1530" s="6">
        <v>49</v>
      </c>
      <c r="K1530" s="6">
        <v>102</v>
      </c>
      <c r="L1530" s="6">
        <v>52</v>
      </c>
      <c r="M1530" s="10">
        <f t="shared" si="69"/>
        <v>196.15384615384616</v>
      </c>
      <c r="N1530" s="10">
        <f t="shared" si="70"/>
        <v>197</v>
      </c>
      <c r="O1530" s="6" t="s">
        <v>153</v>
      </c>
      <c r="P1530" s="6">
        <v>1</v>
      </c>
      <c r="Q1530" s="6">
        <v>4</v>
      </c>
      <c r="R1530" s="6">
        <v>11</v>
      </c>
      <c r="S1530" s="6">
        <v>16</v>
      </c>
      <c r="T1530" s="6" t="str">
        <f t="shared" si="71"/>
        <v>Segunda</v>
      </c>
    </row>
    <row r="1531" spans="1:20">
      <c r="A1531" s="7" t="s">
        <v>3150</v>
      </c>
      <c r="B1531" s="7" t="s">
        <v>451</v>
      </c>
      <c r="C1531" s="8">
        <v>1</v>
      </c>
      <c r="D1531" s="7" t="s">
        <v>3150</v>
      </c>
      <c r="E1531" s="7" t="s">
        <v>3159</v>
      </c>
      <c r="F1531">
        <v>1736</v>
      </c>
      <c r="G1531" s="6">
        <v>11043</v>
      </c>
      <c r="H1531" s="11" t="s">
        <v>3160</v>
      </c>
      <c r="I1531" s="6">
        <v>25</v>
      </c>
      <c r="J1531" s="6">
        <v>75</v>
      </c>
      <c r="K1531" s="6">
        <v>183</v>
      </c>
      <c r="L1531" s="6">
        <v>46</v>
      </c>
      <c r="M1531" s="10">
        <f t="shared" si="69"/>
        <v>397.82608695652175</v>
      </c>
      <c r="N1531" s="10">
        <f t="shared" si="70"/>
        <v>398</v>
      </c>
      <c r="O1531" s="6" t="s">
        <v>256</v>
      </c>
      <c r="P1531" s="6">
        <v>4</v>
      </c>
      <c r="Q1531" s="6">
        <v>6</v>
      </c>
      <c r="R1531" s="6">
        <v>10</v>
      </c>
      <c r="S1531" s="6">
        <v>20</v>
      </c>
      <c r="T1531" s="6" t="str">
        <f t="shared" si="71"/>
        <v>Tercera</v>
      </c>
    </row>
    <row r="1532" spans="1:20">
      <c r="A1532" s="7" t="s">
        <v>3150</v>
      </c>
      <c r="B1532" s="7" t="s">
        <v>451</v>
      </c>
      <c r="C1532" s="8">
        <v>1</v>
      </c>
      <c r="D1532" s="7" t="s">
        <v>3150</v>
      </c>
      <c r="E1532" s="7" t="s">
        <v>3161</v>
      </c>
      <c r="F1532">
        <v>1920</v>
      </c>
      <c r="G1532" s="6">
        <v>16606</v>
      </c>
      <c r="H1532" s="11" t="s">
        <v>3162</v>
      </c>
      <c r="I1532" s="6">
        <v>22</v>
      </c>
      <c r="J1532" s="6">
        <v>77</v>
      </c>
      <c r="K1532" s="6">
        <v>233</v>
      </c>
      <c r="L1532" s="6">
        <v>52</v>
      </c>
      <c r="M1532" s="10">
        <f t="shared" si="69"/>
        <v>448.07692307692309</v>
      </c>
      <c r="N1532" s="10">
        <f t="shared" si="70"/>
        <v>449</v>
      </c>
      <c r="O1532" s="6" t="s">
        <v>157</v>
      </c>
      <c r="P1532" s="6">
        <v>7</v>
      </c>
      <c r="Q1532" s="6">
        <v>9</v>
      </c>
      <c r="R1532" s="6">
        <v>13</v>
      </c>
      <c r="S1532" s="6">
        <v>29</v>
      </c>
      <c r="T1532" s="6" t="str">
        <f t="shared" si="71"/>
        <v>Segunda</v>
      </c>
    </row>
    <row r="1533" spans="1:20">
      <c r="A1533" s="7" t="s">
        <v>3150</v>
      </c>
      <c r="B1533" s="7" t="s">
        <v>451</v>
      </c>
      <c r="C1533" s="8">
        <v>1</v>
      </c>
      <c r="D1533" s="7" t="s">
        <v>3150</v>
      </c>
      <c r="E1533" s="7" t="s">
        <v>3163</v>
      </c>
      <c r="F1533">
        <v>1800</v>
      </c>
      <c r="G1533" s="6">
        <v>11049</v>
      </c>
      <c r="H1533" s="11" t="s">
        <v>3164</v>
      </c>
      <c r="I1533" s="6">
        <v>28</v>
      </c>
      <c r="J1533" s="6">
        <v>70</v>
      </c>
      <c r="K1533" s="6">
        <v>195</v>
      </c>
      <c r="L1533" s="6">
        <v>60</v>
      </c>
      <c r="M1533" s="10">
        <f t="shared" si="69"/>
        <v>325</v>
      </c>
      <c r="N1533" s="10">
        <f t="shared" si="70"/>
        <v>325</v>
      </c>
      <c r="O1533" s="6" t="s">
        <v>18</v>
      </c>
      <c r="P1533" s="6">
        <v>6</v>
      </c>
      <c r="Q1533" s="6">
        <v>10</v>
      </c>
      <c r="R1533" s="6">
        <v>16</v>
      </c>
      <c r="S1533" s="6">
        <v>32</v>
      </c>
      <c r="T1533" s="6" t="str">
        <f t="shared" si="71"/>
        <v>Segunda</v>
      </c>
    </row>
    <row r="1534" spans="1:20">
      <c r="A1534" s="7" t="s">
        <v>3150</v>
      </c>
      <c r="B1534" s="7" t="s">
        <v>451</v>
      </c>
      <c r="C1534" s="8">
        <v>1</v>
      </c>
      <c r="D1534" s="7" t="s">
        <v>3150</v>
      </c>
      <c r="E1534" s="7" t="s">
        <v>3165</v>
      </c>
      <c r="F1534">
        <v>1798</v>
      </c>
      <c r="G1534" s="6">
        <v>25392</v>
      </c>
      <c r="H1534" s="11" t="s">
        <v>3166</v>
      </c>
      <c r="I1534" s="6">
        <v>22</v>
      </c>
      <c r="J1534" s="6">
        <v>110</v>
      </c>
      <c r="K1534" s="6">
        <v>313</v>
      </c>
      <c r="L1534" s="6">
        <v>56</v>
      </c>
      <c r="M1534" s="10">
        <f t="shared" si="69"/>
        <v>558.92857142857144</v>
      </c>
      <c r="N1534" s="10">
        <f t="shared" si="70"/>
        <v>559</v>
      </c>
      <c r="O1534" s="6" t="s">
        <v>18</v>
      </c>
      <c r="P1534" s="6">
        <v>12</v>
      </c>
      <c r="Q1534" s="6">
        <v>14</v>
      </c>
      <c r="R1534" s="6">
        <v>17</v>
      </c>
      <c r="S1534" s="6">
        <v>43</v>
      </c>
      <c r="T1534" s="6" t="str">
        <f t="shared" si="71"/>
        <v>Tercera</v>
      </c>
    </row>
    <row r="1535" spans="1:20">
      <c r="A1535" s="7" t="s">
        <v>3150</v>
      </c>
      <c r="B1535" s="7" t="s">
        <v>451</v>
      </c>
      <c r="C1535" s="8">
        <v>1</v>
      </c>
      <c r="D1535" s="7" t="s">
        <v>3150</v>
      </c>
      <c r="E1535" s="7" t="s">
        <v>3167</v>
      </c>
      <c r="F1535">
        <v>1684</v>
      </c>
      <c r="G1535" s="6">
        <v>13972</v>
      </c>
      <c r="H1535" s="11" t="s">
        <v>3168</v>
      </c>
      <c r="I1535" s="6">
        <v>24</v>
      </c>
      <c r="J1535" s="6">
        <v>5</v>
      </c>
      <c r="K1535" s="6">
        <v>21</v>
      </c>
      <c r="L1535" s="6">
        <v>60</v>
      </c>
      <c r="M1535" s="10">
        <f t="shared" si="69"/>
        <v>35</v>
      </c>
      <c r="N1535" s="10">
        <f t="shared" si="70"/>
        <v>35</v>
      </c>
      <c r="O1535" s="6" t="s">
        <v>372</v>
      </c>
      <c r="P1535" s="6">
        <v>1</v>
      </c>
      <c r="Q1535" s="6">
        <v>1</v>
      </c>
      <c r="R1535" s="6">
        <v>0</v>
      </c>
      <c r="S1535" s="6">
        <v>2</v>
      </c>
      <c r="T1535" s="6" t="str">
        <f t="shared" si="71"/>
        <v>Tercera</v>
      </c>
    </row>
    <row r="1536" spans="1:20">
      <c r="A1536" s="7" t="s">
        <v>3150</v>
      </c>
      <c r="B1536" s="7" t="s">
        <v>483</v>
      </c>
      <c r="C1536" s="8">
        <v>1</v>
      </c>
      <c r="D1536" s="7" t="s">
        <v>3150</v>
      </c>
      <c r="E1536" s="7" t="s">
        <v>3169</v>
      </c>
      <c r="F1536">
        <v>1408</v>
      </c>
      <c r="G1536" s="6">
        <v>19875</v>
      </c>
      <c r="H1536" s="11" t="s">
        <v>3170</v>
      </c>
      <c r="I1536" s="6">
        <v>21</v>
      </c>
      <c r="J1536" s="6">
        <v>1</v>
      </c>
      <c r="K1536" s="6">
        <v>2</v>
      </c>
      <c r="L1536" s="6">
        <v>50</v>
      </c>
      <c r="M1536" s="10">
        <f t="shared" si="69"/>
        <v>4</v>
      </c>
      <c r="N1536" s="10">
        <f t="shared" si="70"/>
        <v>4</v>
      </c>
      <c r="O1536" s="6" t="s">
        <v>373</v>
      </c>
      <c r="P1536" s="6">
        <v>0</v>
      </c>
      <c r="Q1536" s="6">
        <v>0</v>
      </c>
      <c r="R1536" s="6">
        <v>1</v>
      </c>
      <c r="S1536" s="6">
        <v>1</v>
      </c>
      <c r="T1536" s="6" t="str">
        <f t="shared" si="71"/>
        <v>Cuarta</v>
      </c>
    </row>
    <row r="1537" spans="1:20">
      <c r="A1537" s="7" t="s">
        <v>3150</v>
      </c>
      <c r="B1537" s="7" t="s">
        <v>483</v>
      </c>
      <c r="C1537" s="8">
        <v>1</v>
      </c>
      <c r="D1537" s="7" t="s">
        <v>3150</v>
      </c>
      <c r="E1537" s="7" t="s">
        <v>3171</v>
      </c>
      <c r="F1537">
        <v>1644</v>
      </c>
      <c r="G1537" s="6">
        <v>20005</v>
      </c>
      <c r="H1537" s="11" t="s">
        <v>3172</v>
      </c>
      <c r="I1537" s="6">
        <v>31</v>
      </c>
      <c r="J1537" s="6">
        <v>259</v>
      </c>
      <c r="K1537" s="6">
        <v>659</v>
      </c>
      <c r="L1537" s="6">
        <v>51</v>
      </c>
      <c r="M1537" s="10">
        <f t="shared" si="69"/>
        <v>1292.1568627450981</v>
      </c>
      <c r="N1537" s="10">
        <f t="shared" si="70"/>
        <v>1293</v>
      </c>
      <c r="O1537" s="6" t="s">
        <v>27</v>
      </c>
      <c r="P1537" s="6">
        <v>18</v>
      </c>
      <c r="Q1537" s="6">
        <v>18</v>
      </c>
      <c r="R1537" s="6">
        <v>60</v>
      </c>
      <c r="S1537" s="6">
        <v>96</v>
      </c>
      <c r="T1537" s="6" t="str">
        <f t="shared" si="71"/>
        <v>Tercera</v>
      </c>
    </row>
    <row r="1538" spans="1:20">
      <c r="A1538" s="7" t="s">
        <v>3150</v>
      </c>
      <c r="B1538" s="7" t="s">
        <v>483</v>
      </c>
      <c r="C1538" s="8">
        <v>1</v>
      </c>
      <c r="D1538" s="7" t="s">
        <v>3150</v>
      </c>
      <c r="E1538" s="7" t="s">
        <v>3173</v>
      </c>
      <c r="F1538">
        <v>1520</v>
      </c>
      <c r="G1538" s="6">
        <v>17883</v>
      </c>
      <c r="H1538" s="11" t="s">
        <v>3174</v>
      </c>
      <c r="I1538" s="6">
        <v>42</v>
      </c>
      <c r="J1538" s="6">
        <v>122</v>
      </c>
      <c r="K1538" s="6">
        <v>283</v>
      </c>
      <c r="L1538" s="6">
        <v>49</v>
      </c>
      <c r="M1538" s="10">
        <f t="shared" si="69"/>
        <v>577.55102040816325</v>
      </c>
      <c r="N1538" s="10">
        <f t="shared" si="70"/>
        <v>578</v>
      </c>
      <c r="O1538" s="6" t="s">
        <v>18</v>
      </c>
      <c r="P1538" s="6">
        <v>14</v>
      </c>
      <c r="Q1538" s="6">
        <v>6</v>
      </c>
      <c r="R1538" s="6">
        <v>21</v>
      </c>
      <c r="S1538" s="6">
        <v>41</v>
      </c>
      <c r="T1538" s="6" t="str">
        <f t="shared" si="71"/>
        <v>Cuarta</v>
      </c>
    </row>
    <row r="1539" spans="1:20">
      <c r="A1539" s="7" t="s">
        <v>3150</v>
      </c>
      <c r="B1539" s="7" t="s">
        <v>483</v>
      </c>
      <c r="C1539" s="8">
        <v>1</v>
      </c>
      <c r="D1539" s="7" t="s">
        <v>3150</v>
      </c>
      <c r="E1539" s="7" t="s">
        <v>3175</v>
      </c>
      <c r="F1539">
        <v>1466</v>
      </c>
      <c r="G1539" s="6">
        <v>9870</v>
      </c>
      <c r="H1539" s="11" t="s">
        <v>3176</v>
      </c>
      <c r="I1539" s="6">
        <v>38</v>
      </c>
      <c r="J1539" s="6">
        <v>231</v>
      </c>
      <c r="K1539" s="6">
        <v>337</v>
      </c>
      <c r="L1539" s="6">
        <v>34</v>
      </c>
      <c r="M1539" s="10">
        <f t="shared" ref="M1539:M1602" si="72">IF(K1539+L1539=0,0,(100*K1539/L1539))</f>
        <v>991.17647058823525</v>
      </c>
      <c r="N1539" s="10">
        <f t="shared" ref="N1539:N1602" si="73">ROUNDUP(M1539,0)</f>
        <v>992</v>
      </c>
      <c r="O1539" s="6" t="s">
        <v>122</v>
      </c>
      <c r="P1539" s="6">
        <v>9</v>
      </c>
      <c r="Q1539" s="6">
        <v>7</v>
      </c>
      <c r="R1539" s="6">
        <v>18</v>
      </c>
      <c r="S1539" s="6">
        <v>34</v>
      </c>
      <c r="T1539" s="6" t="str">
        <f t="shared" ref="T1539:T1602" si="74">IF(F1539&gt;2100,"Primera",
IF(F1539&gt;=1800,"Segunda",
IF(F1539&gt;=1600,"Tercera",
IF(F1539&gt;=1400,"Cuarta",
IF(F1539&gt;=1200,"Quinta",
IF(F1539&gt;=1080,"Sexta",
IF(F1539&gt;=980,"Septima",
"Octava")))))))</f>
        <v>Cuarta</v>
      </c>
    </row>
    <row r="1540" spans="1:20">
      <c r="A1540" s="7" t="s">
        <v>3150</v>
      </c>
      <c r="B1540" s="7" t="s">
        <v>483</v>
      </c>
      <c r="C1540" s="8">
        <v>1</v>
      </c>
      <c r="D1540" s="7" t="s">
        <v>3150</v>
      </c>
      <c r="E1540" s="7" t="s">
        <v>3177</v>
      </c>
      <c r="F1540">
        <v>1000</v>
      </c>
      <c r="G1540" s="6">
        <v>11297</v>
      </c>
      <c r="H1540" s="11" t="s">
        <v>3178</v>
      </c>
      <c r="I1540" s="6">
        <v>28</v>
      </c>
      <c r="J1540" s="6">
        <v>0</v>
      </c>
      <c r="K1540" s="6">
        <v>0</v>
      </c>
      <c r="L1540" s="6">
        <v>0</v>
      </c>
      <c r="M1540" s="10">
        <f t="shared" si="72"/>
        <v>0</v>
      </c>
      <c r="N1540" s="10">
        <f t="shared" si="73"/>
        <v>0</v>
      </c>
      <c r="P1540" s="6">
        <v>0</v>
      </c>
      <c r="Q1540" s="6">
        <v>0</v>
      </c>
      <c r="R1540" s="6">
        <v>0</v>
      </c>
      <c r="S1540" s="6">
        <v>0</v>
      </c>
      <c r="T1540" s="6" t="str">
        <f t="shared" si="74"/>
        <v>Septima</v>
      </c>
    </row>
    <row r="1541" spans="1:20">
      <c r="A1541" s="7" t="s">
        <v>3150</v>
      </c>
      <c r="B1541" s="7" t="s">
        <v>483</v>
      </c>
      <c r="C1541" s="8">
        <v>1</v>
      </c>
      <c r="D1541" s="7" t="s">
        <v>3150</v>
      </c>
      <c r="E1541" s="7" t="s">
        <v>3179</v>
      </c>
      <c r="F1541">
        <v>1467</v>
      </c>
      <c r="G1541" s="6">
        <v>16666</v>
      </c>
      <c r="H1541" s="11" t="s">
        <v>3180</v>
      </c>
      <c r="I1541" s="6">
        <v>26</v>
      </c>
      <c r="J1541" s="6">
        <v>81</v>
      </c>
      <c r="K1541" s="6">
        <v>188</v>
      </c>
      <c r="L1541" s="6">
        <v>54</v>
      </c>
      <c r="M1541" s="10">
        <f t="shared" si="72"/>
        <v>348.14814814814815</v>
      </c>
      <c r="N1541" s="10">
        <f t="shared" si="73"/>
        <v>349</v>
      </c>
      <c r="O1541" s="6" t="s">
        <v>374</v>
      </c>
      <c r="P1541" s="6">
        <v>2</v>
      </c>
      <c r="Q1541" s="6">
        <v>8</v>
      </c>
      <c r="R1541" s="6">
        <v>11</v>
      </c>
      <c r="S1541" s="6">
        <v>21</v>
      </c>
      <c r="T1541" s="6" t="str">
        <f t="shared" si="74"/>
        <v>Cuarta</v>
      </c>
    </row>
    <row r="1542" spans="1:20">
      <c r="A1542" s="7" t="s">
        <v>3150</v>
      </c>
      <c r="B1542" s="7" t="s">
        <v>496</v>
      </c>
      <c r="C1542" s="8">
        <v>1</v>
      </c>
      <c r="D1542" s="7" t="s">
        <v>3150</v>
      </c>
      <c r="E1542" s="7" t="s">
        <v>3175</v>
      </c>
      <c r="F1542">
        <v>1466</v>
      </c>
      <c r="G1542" s="6">
        <v>9870</v>
      </c>
      <c r="H1542" s="11" t="s">
        <v>3176</v>
      </c>
      <c r="I1542" s="6">
        <v>38</v>
      </c>
      <c r="J1542" s="6">
        <v>231</v>
      </c>
      <c r="K1542" s="6">
        <v>337</v>
      </c>
      <c r="L1542" s="6">
        <v>34</v>
      </c>
      <c r="M1542" s="10">
        <f t="shared" si="72"/>
        <v>991.17647058823525</v>
      </c>
      <c r="N1542" s="10">
        <f t="shared" si="73"/>
        <v>992</v>
      </c>
      <c r="O1542" s="6" t="s">
        <v>122</v>
      </c>
      <c r="P1542" s="6">
        <v>9</v>
      </c>
      <c r="Q1542" s="6">
        <v>7</v>
      </c>
      <c r="R1542" s="6">
        <v>18</v>
      </c>
      <c r="S1542" s="6">
        <v>34</v>
      </c>
      <c r="T1542" s="6" t="str">
        <f t="shared" si="74"/>
        <v>Cuarta</v>
      </c>
    </row>
    <row r="1543" spans="1:20">
      <c r="A1543" s="7" t="s">
        <v>3150</v>
      </c>
      <c r="B1543" s="7" t="s">
        <v>496</v>
      </c>
      <c r="C1543" s="8">
        <v>1</v>
      </c>
      <c r="D1543" s="7" t="s">
        <v>3150</v>
      </c>
      <c r="E1543" s="7" t="s">
        <v>3181</v>
      </c>
      <c r="F1543">
        <v>1512</v>
      </c>
      <c r="G1543" s="6">
        <v>26439</v>
      </c>
      <c r="H1543" s="11" t="s">
        <v>3182</v>
      </c>
      <c r="I1543" s="6">
        <v>16</v>
      </c>
      <c r="J1543" s="6">
        <v>40</v>
      </c>
      <c r="K1543" s="6">
        <v>115</v>
      </c>
      <c r="L1543" s="6">
        <v>51</v>
      </c>
      <c r="M1543" s="10">
        <f t="shared" si="72"/>
        <v>225.49019607843138</v>
      </c>
      <c r="N1543" s="10">
        <f t="shared" si="73"/>
        <v>226</v>
      </c>
      <c r="O1543" s="6" t="s">
        <v>12</v>
      </c>
      <c r="P1543" s="6">
        <v>9</v>
      </c>
      <c r="Q1543" s="6">
        <v>4</v>
      </c>
      <c r="R1543" s="6">
        <v>8</v>
      </c>
      <c r="S1543" s="6">
        <v>21</v>
      </c>
      <c r="T1543" s="6" t="str">
        <f t="shared" si="74"/>
        <v>Cuarta</v>
      </c>
    </row>
    <row r="1544" spans="1:20">
      <c r="A1544" s="7" t="s">
        <v>3150</v>
      </c>
      <c r="B1544" s="7" t="s">
        <v>496</v>
      </c>
      <c r="C1544" s="8">
        <v>1</v>
      </c>
      <c r="D1544" s="7" t="s">
        <v>3150</v>
      </c>
      <c r="E1544" s="7" t="s">
        <v>3177</v>
      </c>
      <c r="F1544">
        <v>1000</v>
      </c>
      <c r="G1544" s="6">
        <v>11297</v>
      </c>
      <c r="H1544" s="11" t="s">
        <v>3178</v>
      </c>
      <c r="I1544" s="6">
        <v>28</v>
      </c>
      <c r="J1544" s="6">
        <v>0</v>
      </c>
      <c r="K1544" s="6">
        <v>0</v>
      </c>
      <c r="L1544" s="6">
        <v>0</v>
      </c>
      <c r="M1544" s="10">
        <f t="shared" si="72"/>
        <v>0</v>
      </c>
      <c r="N1544" s="10">
        <f t="shared" si="73"/>
        <v>0</v>
      </c>
      <c r="P1544" s="6">
        <v>0</v>
      </c>
      <c r="Q1544" s="6">
        <v>0</v>
      </c>
      <c r="R1544" s="6">
        <v>0</v>
      </c>
      <c r="S1544" s="6">
        <v>0</v>
      </c>
      <c r="T1544" s="6" t="str">
        <f t="shared" si="74"/>
        <v>Septima</v>
      </c>
    </row>
    <row r="1545" spans="1:20">
      <c r="A1545" s="7" t="s">
        <v>3150</v>
      </c>
      <c r="B1545" s="7" t="s">
        <v>496</v>
      </c>
      <c r="C1545" s="8">
        <v>1</v>
      </c>
      <c r="D1545" s="7" t="s">
        <v>3150</v>
      </c>
      <c r="E1545" s="7" t="s">
        <v>3183</v>
      </c>
      <c r="F1545">
        <v>1523</v>
      </c>
      <c r="G1545" s="6">
        <v>26333</v>
      </c>
      <c r="H1545" s="11" t="s">
        <v>3184</v>
      </c>
      <c r="I1545" s="6">
        <v>19</v>
      </c>
      <c r="J1545" s="6">
        <v>16</v>
      </c>
      <c r="K1545" s="6">
        <v>41</v>
      </c>
      <c r="L1545" s="6">
        <v>59</v>
      </c>
      <c r="M1545" s="10">
        <f t="shared" si="72"/>
        <v>69.491525423728817</v>
      </c>
      <c r="N1545" s="10">
        <f t="shared" si="73"/>
        <v>70</v>
      </c>
      <c r="O1545" s="6" t="s">
        <v>37</v>
      </c>
      <c r="P1545" s="6">
        <v>3</v>
      </c>
      <c r="Q1545" s="6">
        <v>1</v>
      </c>
      <c r="R1545" s="6">
        <v>2</v>
      </c>
      <c r="S1545" s="6">
        <v>6</v>
      </c>
      <c r="T1545" s="6" t="str">
        <f t="shared" si="74"/>
        <v>Cuarta</v>
      </c>
    </row>
    <row r="1546" spans="1:20">
      <c r="A1546" s="7" t="s">
        <v>3150</v>
      </c>
      <c r="B1546" s="7" t="s">
        <v>496</v>
      </c>
      <c r="C1546" s="8">
        <v>1</v>
      </c>
      <c r="D1546" s="7" t="s">
        <v>3150</v>
      </c>
      <c r="E1546" s="7" t="s">
        <v>3185</v>
      </c>
      <c r="F1546">
        <v>1085</v>
      </c>
      <c r="G1546" s="6">
        <v>20788</v>
      </c>
      <c r="H1546" s="11" t="s">
        <v>3186</v>
      </c>
      <c r="I1546" s="6">
        <v>20</v>
      </c>
      <c r="J1546" s="6">
        <v>13</v>
      </c>
      <c r="K1546" s="6">
        <v>23</v>
      </c>
      <c r="L1546" s="6">
        <v>41</v>
      </c>
      <c r="M1546" s="10">
        <f t="shared" si="72"/>
        <v>56.097560975609753</v>
      </c>
      <c r="N1546" s="10">
        <f t="shared" si="73"/>
        <v>57</v>
      </c>
      <c r="O1546" s="6" t="s">
        <v>375</v>
      </c>
      <c r="P1546" s="6">
        <v>1</v>
      </c>
      <c r="Q1546" s="6">
        <v>0</v>
      </c>
      <c r="R1546" s="6">
        <v>2</v>
      </c>
      <c r="S1546" s="6">
        <v>3</v>
      </c>
      <c r="T1546" s="6" t="str">
        <f t="shared" si="74"/>
        <v>Sexta</v>
      </c>
    </row>
    <row r="1547" spans="1:20">
      <c r="A1547" s="7" t="s">
        <v>3150</v>
      </c>
      <c r="B1547" s="7" t="s">
        <v>496</v>
      </c>
      <c r="C1547" s="8">
        <v>1</v>
      </c>
      <c r="D1547" s="7" t="s">
        <v>3150</v>
      </c>
      <c r="E1547" s="7" t="s">
        <v>3187</v>
      </c>
      <c r="F1547">
        <v>1166</v>
      </c>
      <c r="G1547" s="6">
        <v>23046</v>
      </c>
      <c r="H1547" s="11" t="s">
        <v>3188</v>
      </c>
      <c r="I1547" s="6">
        <v>28</v>
      </c>
      <c r="J1547" s="6">
        <v>18</v>
      </c>
      <c r="K1547" s="6">
        <v>39</v>
      </c>
      <c r="L1547" s="6">
        <v>48</v>
      </c>
      <c r="M1547" s="10">
        <f t="shared" si="72"/>
        <v>81.25</v>
      </c>
      <c r="N1547" s="10">
        <f t="shared" si="73"/>
        <v>82</v>
      </c>
      <c r="O1547" s="6" t="s">
        <v>33</v>
      </c>
      <c r="P1547" s="6">
        <v>0</v>
      </c>
      <c r="Q1547" s="6">
        <v>0</v>
      </c>
      <c r="R1547" s="6">
        <v>5</v>
      </c>
      <c r="S1547" s="6">
        <v>5</v>
      </c>
      <c r="T1547" s="6" t="str">
        <f t="shared" si="74"/>
        <v>Sexta</v>
      </c>
    </row>
    <row r="1548" spans="1:20">
      <c r="A1548" s="7" t="s">
        <v>3150</v>
      </c>
      <c r="B1548" s="7" t="s">
        <v>496</v>
      </c>
      <c r="C1548" s="8">
        <v>1</v>
      </c>
      <c r="D1548" s="7" t="s">
        <v>3150</v>
      </c>
      <c r="E1548" s="7" t="s">
        <v>3189</v>
      </c>
      <c r="F1548">
        <v>1076</v>
      </c>
      <c r="G1548" s="6">
        <v>26554</v>
      </c>
      <c r="H1548" s="11" t="s">
        <v>3190</v>
      </c>
      <c r="I1548" s="6">
        <v>29</v>
      </c>
      <c r="J1548" s="6">
        <v>61</v>
      </c>
      <c r="K1548" s="6">
        <v>109</v>
      </c>
      <c r="L1548" s="6">
        <v>47</v>
      </c>
      <c r="M1548" s="10">
        <f t="shared" si="72"/>
        <v>231.91489361702128</v>
      </c>
      <c r="N1548" s="10">
        <f t="shared" si="73"/>
        <v>232</v>
      </c>
      <c r="O1548" s="6" t="s">
        <v>18</v>
      </c>
      <c r="P1548" s="6">
        <v>2</v>
      </c>
      <c r="Q1548" s="6">
        <v>3</v>
      </c>
      <c r="R1548" s="6">
        <v>15</v>
      </c>
      <c r="S1548" s="6">
        <v>20</v>
      </c>
      <c r="T1548" s="6" t="str">
        <f t="shared" si="74"/>
        <v>Septima</v>
      </c>
    </row>
    <row r="1549" spans="1:20">
      <c r="A1549" s="7" t="s">
        <v>3150</v>
      </c>
      <c r="B1549" s="7" t="s">
        <v>496</v>
      </c>
      <c r="C1549" s="8">
        <v>1</v>
      </c>
      <c r="D1549" s="7" t="s">
        <v>3150</v>
      </c>
      <c r="E1549" s="7" t="s">
        <v>3191</v>
      </c>
      <c r="F1549">
        <v>1086</v>
      </c>
      <c r="G1549" s="6">
        <v>28003</v>
      </c>
      <c r="H1549" s="11" t="s">
        <v>3192</v>
      </c>
      <c r="I1549" s="6">
        <v>59</v>
      </c>
      <c r="J1549" s="6">
        <v>26</v>
      </c>
      <c r="K1549" s="6">
        <v>51</v>
      </c>
      <c r="L1549" s="6">
        <v>42</v>
      </c>
      <c r="M1549" s="10">
        <f t="shared" si="72"/>
        <v>121.42857142857143</v>
      </c>
      <c r="N1549" s="10">
        <f t="shared" si="73"/>
        <v>122</v>
      </c>
      <c r="O1549" s="6" t="s">
        <v>131</v>
      </c>
      <c r="P1549" s="6">
        <v>2</v>
      </c>
      <c r="Q1549" s="6">
        <v>2</v>
      </c>
      <c r="R1549" s="6">
        <v>8</v>
      </c>
      <c r="S1549" s="6">
        <v>12</v>
      </c>
      <c r="T1549" s="6" t="str">
        <f t="shared" si="74"/>
        <v>Sexta</v>
      </c>
    </row>
    <row r="1550" spans="1:20">
      <c r="A1550" s="7" t="s">
        <v>3150</v>
      </c>
      <c r="B1550" s="7" t="s">
        <v>507</v>
      </c>
      <c r="C1550" s="8">
        <v>1</v>
      </c>
      <c r="D1550" s="7" t="s">
        <v>3150</v>
      </c>
      <c r="E1550" s="7" t="s">
        <v>3193</v>
      </c>
      <c r="F1550">
        <v>1332</v>
      </c>
      <c r="G1550" s="6">
        <v>8268</v>
      </c>
      <c r="H1550" s="11" t="s">
        <v>3194</v>
      </c>
      <c r="I1550" s="6">
        <v>30</v>
      </c>
      <c r="J1550" s="6">
        <v>120</v>
      </c>
      <c r="K1550" s="6">
        <v>282</v>
      </c>
      <c r="L1550" s="6">
        <v>46</v>
      </c>
      <c r="M1550" s="10">
        <f t="shared" si="72"/>
        <v>613.04347826086962</v>
      </c>
      <c r="N1550" s="10">
        <f t="shared" si="73"/>
        <v>614</v>
      </c>
      <c r="O1550" s="6" t="s">
        <v>135</v>
      </c>
      <c r="P1550" s="6">
        <v>9</v>
      </c>
      <c r="Q1550" s="6">
        <v>14</v>
      </c>
      <c r="R1550" s="6">
        <v>16</v>
      </c>
      <c r="S1550" s="6">
        <v>39</v>
      </c>
      <c r="T1550" s="6" t="str">
        <f t="shared" si="74"/>
        <v>Quinta</v>
      </c>
    </row>
    <row r="1551" spans="1:20">
      <c r="A1551" s="7" t="s">
        <v>3150</v>
      </c>
      <c r="B1551" s="7" t="s">
        <v>507</v>
      </c>
      <c r="C1551" s="8">
        <v>1</v>
      </c>
      <c r="D1551" s="7" t="s">
        <v>3150</v>
      </c>
      <c r="E1551" s="7" t="s">
        <v>3195</v>
      </c>
      <c r="F1551">
        <v>1000</v>
      </c>
      <c r="G1551" s="6">
        <v>3208</v>
      </c>
      <c r="H1551" s="11" t="s">
        <v>3196</v>
      </c>
      <c r="I1551" s="6">
        <v>50</v>
      </c>
      <c r="J1551" s="6">
        <v>0</v>
      </c>
      <c r="K1551" s="6">
        <v>0</v>
      </c>
      <c r="L1551" s="6">
        <v>0</v>
      </c>
      <c r="M1551" s="10">
        <f t="shared" si="72"/>
        <v>0</v>
      </c>
      <c r="N1551" s="10">
        <f t="shared" si="73"/>
        <v>0</v>
      </c>
      <c r="P1551" s="6">
        <v>0</v>
      </c>
      <c r="Q1551" s="6">
        <v>0</v>
      </c>
      <c r="R1551" s="6">
        <v>0</v>
      </c>
      <c r="S1551" s="6">
        <v>0</v>
      </c>
      <c r="T1551" s="6" t="str">
        <f t="shared" si="74"/>
        <v>Septima</v>
      </c>
    </row>
    <row r="1552" spans="1:20">
      <c r="A1552" s="7" t="s">
        <v>3150</v>
      </c>
      <c r="B1552" s="7" t="s">
        <v>507</v>
      </c>
      <c r="C1552" s="8">
        <v>1</v>
      </c>
      <c r="D1552" s="7" t="s">
        <v>3150</v>
      </c>
      <c r="E1552" s="7" t="s">
        <v>3197</v>
      </c>
      <c r="F1552">
        <v>1086</v>
      </c>
      <c r="G1552" s="6">
        <v>20747</v>
      </c>
      <c r="H1552" s="11" t="s">
        <v>3198</v>
      </c>
      <c r="I1552" s="6">
        <v>28</v>
      </c>
      <c r="J1552" s="6">
        <v>1</v>
      </c>
      <c r="K1552" s="6">
        <v>1</v>
      </c>
      <c r="L1552" s="6">
        <v>25</v>
      </c>
      <c r="M1552" s="10">
        <f t="shared" si="72"/>
        <v>4</v>
      </c>
      <c r="N1552" s="10">
        <f t="shared" si="73"/>
        <v>4</v>
      </c>
      <c r="O1552" s="6" t="s">
        <v>376</v>
      </c>
      <c r="P1552" s="6">
        <v>0</v>
      </c>
      <c r="Q1552" s="6">
        <v>0</v>
      </c>
      <c r="R1552" s="6">
        <v>0</v>
      </c>
      <c r="S1552" s="6">
        <v>0</v>
      </c>
      <c r="T1552" s="6" t="str">
        <f t="shared" si="74"/>
        <v>Sexta</v>
      </c>
    </row>
    <row r="1553" spans="1:20">
      <c r="A1553" s="7" t="s">
        <v>3150</v>
      </c>
      <c r="B1553" s="7" t="s">
        <v>507</v>
      </c>
      <c r="C1553" s="8">
        <v>1</v>
      </c>
      <c r="D1553" s="7" t="s">
        <v>3150</v>
      </c>
      <c r="E1553" s="7" t="s">
        <v>3199</v>
      </c>
      <c r="F1553">
        <v>1381</v>
      </c>
      <c r="G1553" s="6">
        <v>13933</v>
      </c>
      <c r="H1553" s="11" t="s">
        <v>3200</v>
      </c>
      <c r="I1553" s="6">
        <v>45</v>
      </c>
      <c r="J1553" s="6">
        <v>110</v>
      </c>
      <c r="K1553" s="6">
        <v>259</v>
      </c>
      <c r="L1553" s="6">
        <v>51</v>
      </c>
      <c r="M1553" s="10">
        <f t="shared" si="72"/>
        <v>507.84313725490193</v>
      </c>
      <c r="N1553" s="10">
        <f t="shared" si="73"/>
        <v>508</v>
      </c>
      <c r="O1553" s="6" t="s">
        <v>122</v>
      </c>
      <c r="P1553" s="6">
        <v>5</v>
      </c>
      <c r="Q1553" s="6">
        <v>12</v>
      </c>
      <c r="R1553" s="6">
        <v>21</v>
      </c>
      <c r="S1553" s="6">
        <v>38</v>
      </c>
      <c r="T1553" s="6" t="str">
        <f t="shared" si="74"/>
        <v>Quinta</v>
      </c>
    </row>
    <row r="1554" spans="1:20">
      <c r="A1554" s="7" t="s">
        <v>3150</v>
      </c>
      <c r="B1554" s="7" t="s">
        <v>507</v>
      </c>
      <c r="C1554" s="8">
        <v>1</v>
      </c>
      <c r="D1554" s="7" t="s">
        <v>3150</v>
      </c>
      <c r="E1554" s="7" t="s">
        <v>3201</v>
      </c>
      <c r="F1554">
        <v>1483</v>
      </c>
      <c r="G1554" s="6">
        <v>4816</v>
      </c>
      <c r="H1554" s="11" t="s">
        <v>3202</v>
      </c>
      <c r="I1554" s="6">
        <v>38</v>
      </c>
      <c r="J1554" s="6">
        <v>3</v>
      </c>
      <c r="K1554" s="6">
        <v>4</v>
      </c>
      <c r="L1554" s="6">
        <v>36</v>
      </c>
      <c r="M1554" s="10">
        <f t="shared" si="72"/>
        <v>11.111111111111111</v>
      </c>
      <c r="N1554" s="10">
        <f t="shared" si="73"/>
        <v>12</v>
      </c>
      <c r="O1554" s="6" t="s">
        <v>277</v>
      </c>
      <c r="P1554" s="6">
        <v>0</v>
      </c>
      <c r="Q1554" s="6">
        <v>0</v>
      </c>
      <c r="R1554" s="6">
        <v>0</v>
      </c>
      <c r="S1554" s="6">
        <v>0</v>
      </c>
      <c r="T1554" s="6" t="str">
        <f t="shared" si="74"/>
        <v>Cuarta</v>
      </c>
    </row>
    <row r="1555" spans="1:20">
      <c r="A1555" s="7" t="s">
        <v>3150</v>
      </c>
      <c r="B1555" s="7" t="s">
        <v>507</v>
      </c>
      <c r="C1555" s="8">
        <v>1</v>
      </c>
      <c r="D1555" s="7" t="s">
        <v>3150</v>
      </c>
      <c r="E1555" s="7" t="s">
        <v>3203</v>
      </c>
      <c r="F1555">
        <v>1215</v>
      </c>
      <c r="G1555" s="6">
        <v>26040</v>
      </c>
      <c r="H1555" s="11" t="s">
        <v>3204</v>
      </c>
      <c r="I1555" s="6">
        <v>33</v>
      </c>
      <c r="J1555" s="6">
        <v>10</v>
      </c>
      <c r="K1555" s="6">
        <v>20</v>
      </c>
      <c r="L1555" s="6">
        <v>45</v>
      </c>
      <c r="M1555" s="10">
        <f t="shared" si="72"/>
        <v>44.444444444444443</v>
      </c>
      <c r="N1555" s="10">
        <f t="shared" si="73"/>
        <v>45</v>
      </c>
      <c r="O1555" s="6" t="s">
        <v>18</v>
      </c>
      <c r="P1555" s="6">
        <v>1</v>
      </c>
      <c r="Q1555" s="6">
        <v>0</v>
      </c>
      <c r="R1555" s="6">
        <v>1</v>
      </c>
      <c r="S1555" s="6">
        <v>2</v>
      </c>
      <c r="T1555" s="6" t="str">
        <f t="shared" si="74"/>
        <v>Quinta</v>
      </c>
    </row>
    <row r="1556" spans="1:20">
      <c r="A1556" s="7" t="s">
        <v>3205</v>
      </c>
      <c r="B1556" s="7" t="s">
        <v>421</v>
      </c>
      <c r="C1556" s="8">
        <v>1</v>
      </c>
      <c r="D1556" s="7" t="s">
        <v>3206</v>
      </c>
      <c r="E1556" s="7" t="s">
        <v>3207</v>
      </c>
      <c r="F1556">
        <v>2280</v>
      </c>
      <c r="G1556" s="6">
        <v>14687</v>
      </c>
      <c r="H1556" s="11" t="s">
        <v>3208</v>
      </c>
      <c r="I1556" s="6">
        <v>19</v>
      </c>
      <c r="J1556" s="6">
        <v>14</v>
      </c>
      <c r="K1556" s="6">
        <v>54</v>
      </c>
      <c r="L1556" s="6">
        <v>81</v>
      </c>
      <c r="M1556" s="10">
        <f t="shared" si="72"/>
        <v>66.666666666666671</v>
      </c>
      <c r="N1556" s="10">
        <f t="shared" si="73"/>
        <v>67</v>
      </c>
      <c r="O1556" s="6" t="s">
        <v>61</v>
      </c>
      <c r="P1556" s="6">
        <v>6</v>
      </c>
      <c r="Q1556" s="6">
        <v>0</v>
      </c>
      <c r="R1556" s="6">
        <v>3</v>
      </c>
      <c r="S1556" s="6">
        <v>9</v>
      </c>
      <c r="T1556" s="6" t="str">
        <f t="shared" si="74"/>
        <v>Primera</v>
      </c>
    </row>
    <row r="1557" spans="1:20">
      <c r="A1557" s="7" t="s">
        <v>3205</v>
      </c>
      <c r="B1557" s="7" t="s">
        <v>421</v>
      </c>
      <c r="C1557" s="8">
        <v>1</v>
      </c>
      <c r="D1557" s="7" t="s">
        <v>3206</v>
      </c>
      <c r="E1557" s="7" t="s">
        <v>3209</v>
      </c>
      <c r="F1557">
        <v>2633</v>
      </c>
      <c r="G1557" s="6">
        <v>22160</v>
      </c>
      <c r="H1557" s="11" t="s">
        <v>3210</v>
      </c>
      <c r="I1557" s="6">
        <v>18</v>
      </c>
      <c r="J1557" s="6">
        <v>68</v>
      </c>
      <c r="K1557" s="6">
        <v>268</v>
      </c>
      <c r="L1557" s="6">
        <v>70</v>
      </c>
      <c r="M1557" s="10">
        <f t="shared" si="72"/>
        <v>382.85714285714283</v>
      </c>
      <c r="N1557" s="10">
        <f t="shared" si="73"/>
        <v>383</v>
      </c>
      <c r="O1557" s="6" t="s">
        <v>19</v>
      </c>
      <c r="P1557" s="6">
        <v>14</v>
      </c>
      <c r="Q1557" s="6">
        <v>9</v>
      </c>
      <c r="R1557" s="6">
        <v>11</v>
      </c>
      <c r="S1557" s="6">
        <v>34</v>
      </c>
      <c r="T1557" s="6" t="str">
        <f t="shared" si="74"/>
        <v>Primera</v>
      </c>
    </row>
    <row r="1558" spans="1:20">
      <c r="A1558" s="7" t="s">
        <v>3205</v>
      </c>
      <c r="B1558" s="7" t="s">
        <v>421</v>
      </c>
      <c r="C1558" s="8">
        <v>1</v>
      </c>
      <c r="D1558" s="7" t="s">
        <v>3206</v>
      </c>
      <c r="E1558" s="7" t="s">
        <v>3211</v>
      </c>
      <c r="F1558">
        <v>2184</v>
      </c>
      <c r="G1558" s="6">
        <v>17096</v>
      </c>
      <c r="H1558" s="11" t="s">
        <v>3212</v>
      </c>
      <c r="I1558" s="6">
        <v>17</v>
      </c>
      <c r="J1558" s="6">
        <v>21</v>
      </c>
      <c r="K1558" s="6">
        <v>101</v>
      </c>
      <c r="L1558" s="6">
        <v>58</v>
      </c>
      <c r="M1558" s="10">
        <f t="shared" si="72"/>
        <v>174.13793103448276</v>
      </c>
      <c r="N1558" s="10">
        <f t="shared" si="73"/>
        <v>175</v>
      </c>
      <c r="O1558" s="6" t="s">
        <v>19</v>
      </c>
      <c r="P1558" s="6">
        <v>6</v>
      </c>
      <c r="Q1558" s="6">
        <v>4</v>
      </c>
      <c r="R1558" s="6">
        <v>8</v>
      </c>
      <c r="S1558" s="6">
        <v>18</v>
      </c>
      <c r="T1558" s="6" t="str">
        <f t="shared" si="74"/>
        <v>Primera</v>
      </c>
    </row>
    <row r="1559" spans="1:20">
      <c r="A1559" s="7" t="s">
        <v>3205</v>
      </c>
      <c r="B1559" s="7" t="s">
        <v>421</v>
      </c>
      <c r="C1559" s="8">
        <v>1</v>
      </c>
      <c r="D1559" s="7" t="s">
        <v>3206</v>
      </c>
      <c r="E1559" s="7" t="s">
        <v>3213</v>
      </c>
      <c r="F1559">
        <v>2131</v>
      </c>
      <c r="G1559" s="6">
        <v>22622</v>
      </c>
      <c r="H1559" s="11" t="s">
        <v>3214</v>
      </c>
      <c r="I1559" s="6">
        <v>15</v>
      </c>
      <c r="J1559" s="6">
        <v>53</v>
      </c>
      <c r="K1559" s="6">
        <v>191</v>
      </c>
      <c r="L1559" s="6">
        <v>60</v>
      </c>
      <c r="M1559" s="10">
        <f t="shared" si="72"/>
        <v>318.33333333333331</v>
      </c>
      <c r="N1559" s="10">
        <f t="shared" si="73"/>
        <v>319</v>
      </c>
      <c r="O1559" s="6" t="s">
        <v>377</v>
      </c>
      <c r="P1559" s="6">
        <v>9</v>
      </c>
      <c r="Q1559" s="6">
        <v>6</v>
      </c>
      <c r="R1559" s="6">
        <v>13</v>
      </c>
      <c r="S1559" s="6">
        <v>28</v>
      </c>
      <c r="T1559" s="6" t="str">
        <f t="shared" si="74"/>
        <v>Primera</v>
      </c>
    </row>
    <row r="1560" spans="1:20">
      <c r="A1560" s="7" t="s">
        <v>3205</v>
      </c>
      <c r="B1560" s="7" t="s">
        <v>421</v>
      </c>
      <c r="C1560" s="8">
        <v>1</v>
      </c>
      <c r="D1560" s="7" t="s">
        <v>3206</v>
      </c>
      <c r="E1560" s="7" t="s">
        <v>3215</v>
      </c>
      <c r="F1560">
        <v>2160</v>
      </c>
      <c r="G1560" s="6">
        <v>9550</v>
      </c>
      <c r="H1560" s="11" t="s">
        <v>3216</v>
      </c>
      <c r="I1560" s="6">
        <v>21</v>
      </c>
      <c r="J1560" s="6">
        <v>45</v>
      </c>
      <c r="K1560" s="6">
        <v>146</v>
      </c>
      <c r="L1560" s="6">
        <v>61</v>
      </c>
      <c r="M1560" s="10">
        <f t="shared" si="72"/>
        <v>239.34426229508196</v>
      </c>
      <c r="N1560" s="10">
        <f t="shared" si="73"/>
        <v>240</v>
      </c>
      <c r="O1560" s="6" t="s">
        <v>62</v>
      </c>
      <c r="P1560" s="6">
        <v>8</v>
      </c>
      <c r="Q1560" s="6">
        <v>6</v>
      </c>
      <c r="R1560" s="6">
        <v>8</v>
      </c>
      <c r="S1560" s="6">
        <v>22</v>
      </c>
      <c r="T1560" s="6" t="str">
        <f t="shared" si="74"/>
        <v>Primera</v>
      </c>
    </row>
    <row r="1561" spans="1:20">
      <c r="A1561" s="7" t="s">
        <v>3205</v>
      </c>
      <c r="B1561" s="7" t="s">
        <v>421</v>
      </c>
      <c r="C1561" s="8">
        <v>2</v>
      </c>
      <c r="D1561" s="7" t="s">
        <v>3217</v>
      </c>
      <c r="E1561" s="7" t="s">
        <v>3218</v>
      </c>
      <c r="F1561">
        <v>1971</v>
      </c>
      <c r="G1561" s="6">
        <v>24408</v>
      </c>
      <c r="H1561" s="11" t="s">
        <v>3219</v>
      </c>
      <c r="I1561" s="6">
        <v>16</v>
      </c>
      <c r="J1561" s="6">
        <v>4</v>
      </c>
      <c r="K1561" s="6">
        <v>14</v>
      </c>
      <c r="L1561" s="6">
        <v>54</v>
      </c>
      <c r="M1561" s="10">
        <f t="shared" si="72"/>
        <v>25.925925925925927</v>
      </c>
      <c r="N1561" s="10">
        <f t="shared" si="73"/>
        <v>26</v>
      </c>
      <c r="O1561" s="6" t="s">
        <v>378</v>
      </c>
      <c r="P1561" s="6">
        <v>0</v>
      </c>
      <c r="Q1561" s="6">
        <v>1</v>
      </c>
      <c r="R1561" s="6">
        <v>0</v>
      </c>
      <c r="S1561" s="6">
        <v>1</v>
      </c>
      <c r="T1561" s="6" t="str">
        <f t="shared" si="74"/>
        <v>Segunda</v>
      </c>
    </row>
    <row r="1562" spans="1:20">
      <c r="A1562" s="7" t="s">
        <v>3205</v>
      </c>
      <c r="B1562" s="7" t="s">
        <v>421</v>
      </c>
      <c r="C1562" s="8">
        <v>2</v>
      </c>
      <c r="D1562" s="7" t="s">
        <v>3217</v>
      </c>
      <c r="E1562" s="7" t="s">
        <v>3220</v>
      </c>
      <c r="F1562">
        <v>2426</v>
      </c>
      <c r="G1562" s="6">
        <v>11281</v>
      </c>
      <c r="H1562" s="11" t="s">
        <v>3221</v>
      </c>
      <c r="I1562" s="6">
        <v>23</v>
      </c>
      <c r="J1562" s="6">
        <v>33</v>
      </c>
      <c r="K1562" s="6">
        <v>109</v>
      </c>
      <c r="L1562" s="6">
        <v>62</v>
      </c>
      <c r="M1562" s="10">
        <f t="shared" si="72"/>
        <v>175.80645161290323</v>
      </c>
      <c r="N1562" s="10">
        <f t="shared" si="73"/>
        <v>176</v>
      </c>
      <c r="O1562" s="6" t="s">
        <v>377</v>
      </c>
      <c r="P1562" s="6">
        <v>6</v>
      </c>
      <c r="Q1562" s="6">
        <v>3</v>
      </c>
      <c r="R1562" s="6">
        <v>6</v>
      </c>
      <c r="S1562" s="6">
        <v>15</v>
      </c>
      <c r="T1562" s="6" t="str">
        <f t="shared" si="74"/>
        <v>Primera</v>
      </c>
    </row>
    <row r="1563" spans="1:20">
      <c r="A1563" s="7" t="s">
        <v>3205</v>
      </c>
      <c r="B1563" s="7" t="s">
        <v>421</v>
      </c>
      <c r="C1563" s="8">
        <v>2</v>
      </c>
      <c r="D1563" s="7" t="s">
        <v>3217</v>
      </c>
      <c r="E1563" s="7" t="s">
        <v>3222</v>
      </c>
      <c r="F1563">
        <v>2436</v>
      </c>
      <c r="G1563" s="6">
        <v>760</v>
      </c>
      <c r="H1563" s="11" t="s">
        <v>3223</v>
      </c>
      <c r="I1563" s="6">
        <v>33</v>
      </c>
      <c r="J1563" s="6">
        <v>89</v>
      </c>
      <c r="K1563" s="6">
        <v>344</v>
      </c>
      <c r="L1563" s="6">
        <v>72</v>
      </c>
      <c r="M1563" s="10">
        <f t="shared" si="72"/>
        <v>477.77777777777777</v>
      </c>
      <c r="N1563" s="10">
        <f t="shared" si="73"/>
        <v>478</v>
      </c>
      <c r="O1563" s="6" t="s">
        <v>19</v>
      </c>
      <c r="P1563" s="6">
        <v>17</v>
      </c>
      <c r="Q1563" s="6">
        <v>15</v>
      </c>
      <c r="R1563" s="6">
        <v>29</v>
      </c>
      <c r="S1563" s="6">
        <v>61</v>
      </c>
      <c r="T1563" s="6" t="str">
        <f t="shared" si="74"/>
        <v>Primera</v>
      </c>
    </row>
    <row r="1564" spans="1:20">
      <c r="A1564" s="7" t="s">
        <v>3205</v>
      </c>
      <c r="B1564" s="7" t="s">
        <v>421</v>
      </c>
      <c r="C1564" s="8">
        <v>2</v>
      </c>
      <c r="D1564" s="7" t="s">
        <v>3217</v>
      </c>
      <c r="E1564" s="7" t="s">
        <v>3224</v>
      </c>
      <c r="F1564">
        <v>1239</v>
      </c>
      <c r="G1564" s="6">
        <v>16137</v>
      </c>
      <c r="H1564" s="11" t="s">
        <v>3225</v>
      </c>
      <c r="I1564" s="6">
        <v>25</v>
      </c>
      <c r="J1564" s="6">
        <v>2</v>
      </c>
      <c r="K1564" s="6">
        <v>2</v>
      </c>
      <c r="L1564" s="6">
        <v>29</v>
      </c>
      <c r="M1564" s="10">
        <f t="shared" si="72"/>
        <v>6.8965517241379306</v>
      </c>
      <c r="N1564" s="10">
        <f t="shared" si="73"/>
        <v>7</v>
      </c>
      <c r="O1564" s="6" t="s">
        <v>379</v>
      </c>
      <c r="P1564" s="6">
        <v>0</v>
      </c>
      <c r="Q1564" s="6">
        <v>0</v>
      </c>
      <c r="R1564" s="6">
        <v>0</v>
      </c>
      <c r="S1564" s="6">
        <v>0</v>
      </c>
      <c r="T1564" s="6" t="str">
        <f t="shared" si="74"/>
        <v>Quinta</v>
      </c>
    </row>
    <row r="1565" spans="1:20">
      <c r="A1565" s="7" t="s">
        <v>3205</v>
      </c>
      <c r="B1565" s="7" t="s">
        <v>421</v>
      </c>
      <c r="C1565" s="8">
        <v>2</v>
      </c>
      <c r="D1565" s="7" t="s">
        <v>3217</v>
      </c>
      <c r="E1565" s="7" t="s">
        <v>3226</v>
      </c>
      <c r="F1565">
        <v>1653</v>
      </c>
      <c r="G1565" s="6">
        <v>4983</v>
      </c>
      <c r="H1565" s="11" t="s">
        <v>3227</v>
      </c>
      <c r="I1565" s="6">
        <v>32</v>
      </c>
      <c r="J1565" s="6">
        <v>1</v>
      </c>
      <c r="K1565" s="6">
        <v>2</v>
      </c>
      <c r="L1565" s="6">
        <v>67</v>
      </c>
      <c r="M1565" s="10">
        <f t="shared" si="72"/>
        <v>2.9850746268656718</v>
      </c>
      <c r="N1565" s="10">
        <f t="shared" si="73"/>
        <v>3</v>
      </c>
      <c r="O1565" s="6" t="s">
        <v>380</v>
      </c>
      <c r="P1565" s="6">
        <v>0</v>
      </c>
      <c r="Q1565" s="6">
        <v>0</v>
      </c>
      <c r="R1565" s="6">
        <v>0</v>
      </c>
      <c r="S1565" s="6">
        <v>0</v>
      </c>
      <c r="T1565" s="6" t="str">
        <f t="shared" si="74"/>
        <v>Tercera</v>
      </c>
    </row>
    <row r="1566" spans="1:20">
      <c r="A1566" s="7" t="s">
        <v>3205</v>
      </c>
      <c r="B1566" s="7" t="s">
        <v>421</v>
      </c>
      <c r="C1566" s="8">
        <v>2</v>
      </c>
      <c r="D1566" s="7" t="s">
        <v>3217</v>
      </c>
      <c r="E1566" s="7" t="s">
        <v>3228</v>
      </c>
      <c r="F1566">
        <v>2218</v>
      </c>
      <c r="G1566" s="6">
        <v>15103</v>
      </c>
      <c r="H1566" s="11" t="s">
        <v>3229</v>
      </c>
      <c r="I1566" s="6">
        <v>16</v>
      </c>
      <c r="J1566" s="6">
        <v>74</v>
      </c>
      <c r="K1566" s="6">
        <v>333</v>
      </c>
      <c r="L1566" s="6">
        <v>59</v>
      </c>
      <c r="M1566" s="10">
        <f t="shared" si="72"/>
        <v>564.40677966101691</v>
      </c>
      <c r="N1566" s="10">
        <f t="shared" si="73"/>
        <v>565</v>
      </c>
      <c r="O1566" s="6" t="s">
        <v>19</v>
      </c>
      <c r="P1566" s="6">
        <v>23</v>
      </c>
      <c r="Q1566" s="6">
        <v>10</v>
      </c>
      <c r="R1566" s="6">
        <v>22</v>
      </c>
      <c r="S1566" s="6">
        <v>55</v>
      </c>
      <c r="T1566" s="6" t="str">
        <f t="shared" si="74"/>
        <v>Primera</v>
      </c>
    </row>
    <row r="1567" spans="1:20">
      <c r="A1567" s="7" t="s">
        <v>3205</v>
      </c>
      <c r="B1567" s="7" t="s">
        <v>451</v>
      </c>
      <c r="C1567" s="8">
        <v>1</v>
      </c>
      <c r="D1567" s="7" t="s">
        <v>3206</v>
      </c>
      <c r="E1567" s="7" t="s">
        <v>3230</v>
      </c>
      <c r="F1567">
        <v>2230</v>
      </c>
      <c r="G1567" s="6">
        <v>11328</v>
      </c>
      <c r="H1567" s="11" t="s">
        <v>3231</v>
      </c>
      <c r="I1567" s="6">
        <v>43</v>
      </c>
      <c r="J1567" s="6">
        <v>18</v>
      </c>
      <c r="K1567" s="6">
        <v>48</v>
      </c>
      <c r="L1567" s="6">
        <v>52</v>
      </c>
      <c r="M1567" s="10">
        <f t="shared" si="72"/>
        <v>92.307692307692307</v>
      </c>
      <c r="N1567" s="10">
        <f t="shared" si="73"/>
        <v>93</v>
      </c>
      <c r="O1567" s="6" t="s">
        <v>188</v>
      </c>
      <c r="P1567" s="6">
        <v>1</v>
      </c>
      <c r="Q1567" s="6">
        <v>0</v>
      </c>
      <c r="R1567" s="6">
        <v>2</v>
      </c>
      <c r="S1567" s="6">
        <v>3</v>
      </c>
      <c r="T1567" s="6" t="str">
        <f t="shared" si="74"/>
        <v>Primera</v>
      </c>
    </row>
    <row r="1568" spans="1:20">
      <c r="A1568" s="7" t="s">
        <v>3205</v>
      </c>
      <c r="B1568" s="7" t="s">
        <v>451</v>
      </c>
      <c r="C1568" s="8">
        <v>1</v>
      </c>
      <c r="D1568" s="7" t="s">
        <v>3206</v>
      </c>
      <c r="E1568" s="7" t="s">
        <v>3232</v>
      </c>
      <c r="F1568">
        <v>1981</v>
      </c>
      <c r="G1568" s="6">
        <v>9463</v>
      </c>
      <c r="H1568" s="11" t="s">
        <v>3233</v>
      </c>
      <c r="I1568" s="6">
        <v>31</v>
      </c>
      <c r="J1568" s="6">
        <v>121</v>
      </c>
      <c r="K1568" s="6">
        <v>347</v>
      </c>
      <c r="L1568" s="6">
        <v>57</v>
      </c>
      <c r="M1568" s="10">
        <f t="shared" si="72"/>
        <v>608.77192982456143</v>
      </c>
      <c r="N1568" s="10">
        <f t="shared" si="73"/>
        <v>609</v>
      </c>
      <c r="O1568" s="6" t="s">
        <v>377</v>
      </c>
      <c r="P1568" s="6">
        <v>6</v>
      </c>
      <c r="Q1568" s="6">
        <v>12</v>
      </c>
      <c r="R1568" s="6">
        <v>24</v>
      </c>
      <c r="S1568" s="6">
        <v>42</v>
      </c>
      <c r="T1568" s="6" t="str">
        <f t="shared" si="74"/>
        <v>Segunda</v>
      </c>
    </row>
    <row r="1569" spans="1:20">
      <c r="A1569" s="7" t="s">
        <v>3205</v>
      </c>
      <c r="B1569" s="7" t="s">
        <v>451</v>
      </c>
      <c r="C1569" s="8">
        <v>1</v>
      </c>
      <c r="D1569" s="7" t="s">
        <v>3206</v>
      </c>
      <c r="E1569" s="7" t="s">
        <v>3234</v>
      </c>
      <c r="F1569">
        <v>1986</v>
      </c>
      <c r="G1569" s="6">
        <v>23127</v>
      </c>
      <c r="H1569" s="11" t="s">
        <v>3235</v>
      </c>
      <c r="I1569" s="6">
        <v>20</v>
      </c>
      <c r="J1569" s="6">
        <v>16</v>
      </c>
      <c r="K1569" s="6">
        <v>77</v>
      </c>
      <c r="L1569" s="6">
        <v>84</v>
      </c>
      <c r="M1569" s="10">
        <f t="shared" si="72"/>
        <v>91.666666666666671</v>
      </c>
      <c r="N1569" s="10">
        <f t="shared" si="73"/>
        <v>92</v>
      </c>
      <c r="O1569" s="6" t="s">
        <v>27</v>
      </c>
      <c r="P1569" s="6">
        <v>8</v>
      </c>
      <c r="Q1569" s="6">
        <v>4</v>
      </c>
      <c r="R1569" s="6">
        <v>0</v>
      </c>
      <c r="S1569" s="6">
        <v>12</v>
      </c>
      <c r="T1569" s="6" t="str">
        <f t="shared" si="74"/>
        <v>Segunda</v>
      </c>
    </row>
    <row r="1570" spans="1:20">
      <c r="A1570" s="7" t="s">
        <v>3205</v>
      </c>
      <c r="B1570" s="7" t="s">
        <v>451</v>
      </c>
      <c r="C1570" s="8">
        <v>1</v>
      </c>
      <c r="D1570" s="7" t="s">
        <v>3206</v>
      </c>
      <c r="E1570" s="7" t="s">
        <v>3236</v>
      </c>
      <c r="F1570">
        <v>1980</v>
      </c>
      <c r="G1570" s="6">
        <v>22993</v>
      </c>
      <c r="H1570" s="11" t="s">
        <v>3237</v>
      </c>
      <c r="I1570" s="6">
        <v>14</v>
      </c>
      <c r="J1570" s="6">
        <v>24</v>
      </c>
      <c r="K1570" s="6">
        <v>88</v>
      </c>
      <c r="L1570" s="6">
        <v>69</v>
      </c>
      <c r="M1570" s="10">
        <f t="shared" si="72"/>
        <v>127.53623188405797</v>
      </c>
      <c r="N1570" s="10">
        <f t="shared" si="73"/>
        <v>128</v>
      </c>
      <c r="O1570" s="6" t="s">
        <v>19</v>
      </c>
      <c r="P1570" s="6">
        <v>6</v>
      </c>
      <c r="Q1570" s="6">
        <v>3</v>
      </c>
      <c r="R1570" s="6">
        <v>3</v>
      </c>
      <c r="S1570" s="6">
        <v>12</v>
      </c>
      <c r="T1570" s="6" t="str">
        <f t="shared" si="74"/>
        <v>Segunda</v>
      </c>
    </row>
    <row r="1571" spans="1:20">
      <c r="A1571" s="7" t="s">
        <v>3205</v>
      </c>
      <c r="B1571" s="7" t="s">
        <v>451</v>
      </c>
      <c r="C1571" s="8">
        <v>1</v>
      </c>
      <c r="D1571" s="7" t="s">
        <v>3206</v>
      </c>
      <c r="E1571" s="7" t="s">
        <v>3238</v>
      </c>
      <c r="F1571">
        <v>1832</v>
      </c>
      <c r="G1571" s="6">
        <v>23193</v>
      </c>
      <c r="H1571" s="11" t="s">
        <v>3239</v>
      </c>
      <c r="I1571" s="6">
        <v>18</v>
      </c>
      <c r="J1571" s="6">
        <v>12</v>
      </c>
      <c r="K1571" s="6">
        <v>60</v>
      </c>
      <c r="L1571" s="6">
        <v>83</v>
      </c>
      <c r="M1571" s="10">
        <f t="shared" si="72"/>
        <v>72.289156626506028</v>
      </c>
      <c r="N1571" s="10">
        <f t="shared" si="73"/>
        <v>73</v>
      </c>
      <c r="O1571" s="6" t="s">
        <v>27</v>
      </c>
      <c r="P1571" s="6">
        <v>5</v>
      </c>
      <c r="Q1571" s="6">
        <v>3</v>
      </c>
      <c r="R1571" s="6">
        <v>3</v>
      </c>
      <c r="S1571" s="6">
        <v>11</v>
      </c>
      <c r="T1571" s="6" t="str">
        <f t="shared" si="74"/>
        <v>Segunda</v>
      </c>
    </row>
    <row r="1572" spans="1:20">
      <c r="A1572" s="7" t="s">
        <v>3205</v>
      </c>
      <c r="B1572" s="7" t="s">
        <v>451</v>
      </c>
      <c r="C1572" s="8">
        <v>2</v>
      </c>
      <c r="D1572" s="7" t="s">
        <v>3217</v>
      </c>
      <c r="E1572" s="7" t="s">
        <v>3240</v>
      </c>
      <c r="F1572">
        <v>2009</v>
      </c>
      <c r="G1572" s="6">
        <v>12945</v>
      </c>
      <c r="H1572" s="11" t="s">
        <v>3241</v>
      </c>
      <c r="I1572" s="6">
        <v>41</v>
      </c>
      <c r="J1572" s="6">
        <v>281</v>
      </c>
      <c r="K1572" s="6">
        <v>918</v>
      </c>
      <c r="L1572" s="6">
        <v>61</v>
      </c>
      <c r="M1572" s="10">
        <f t="shared" si="72"/>
        <v>1504.9180327868853</v>
      </c>
      <c r="N1572" s="10">
        <f t="shared" si="73"/>
        <v>1505</v>
      </c>
      <c r="O1572" s="6" t="s">
        <v>69</v>
      </c>
      <c r="P1572" s="6">
        <v>31</v>
      </c>
      <c r="Q1572" s="6">
        <v>33</v>
      </c>
      <c r="R1572" s="6">
        <v>57</v>
      </c>
      <c r="S1572" s="6">
        <v>121</v>
      </c>
      <c r="T1572" s="6" t="str">
        <f t="shared" si="74"/>
        <v>Segunda</v>
      </c>
    </row>
    <row r="1573" spans="1:20">
      <c r="A1573" s="7" t="s">
        <v>3205</v>
      </c>
      <c r="B1573" s="7" t="s">
        <v>451</v>
      </c>
      <c r="C1573" s="8">
        <v>2</v>
      </c>
      <c r="D1573" s="7" t="s">
        <v>3217</v>
      </c>
      <c r="E1573" s="7" t="s">
        <v>3242</v>
      </c>
      <c r="F1573">
        <v>1222</v>
      </c>
      <c r="G1573" s="6">
        <v>16378</v>
      </c>
      <c r="H1573" s="11" t="s">
        <v>3243</v>
      </c>
      <c r="I1573" s="6">
        <v>40</v>
      </c>
      <c r="J1573" s="6">
        <v>1</v>
      </c>
      <c r="K1573" s="6">
        <v>0</v>
      </c>
      <c r="L1573" s="6">
        <v>0</v>
      </c>
      <c r="M1573" s="10">
        <f t="shared" si="72"/>
        <v>0</v>
      </c>
      <c r="N1573" s="10">
        <f t="shared" si="73"/>
        <v>0</v>
      </c>
      <c r="O1573" s="6" t="s">
        <v>381</v>
      </c>
      <c r="P1573" s="6">
        <v>0</v>
      </c>
      <c r="Q1573" s="6">
        <v>0</v>
      </c>
      <c r="R1573" s="6">
        <v>0</v>
      </c>
      <c r="S1573" s="6">
        <v>0</v>
      </c>
      <c r="T1573" s="6" t="str">
        <f t="shared" si="74"/>
        <v>Quinta</v>
      </c>
    </row>
    <row r="1574" spans="1:20">
      <c r="A1574" s="7" t="s">
        <v>3205</v>
      </c>
      <c r="B1574" s="7" t="s">
        <v>451</v>
      </c>
      <c r="C1574" s="8">
        <v>2</v>
      </c>
      <c r="D1574" s="7" t="s">
        <v>3217</v>
      </c>
      <c r="E1574" s="7" t="s">
        <v>3244</v>
      </c>
      <c r="F1574">
        <v>2045</v>
      </c>
      <c r="G1574" s="6">
        <v>23542</v>
      </c>
      <c r="H1574" s="11" t="s">
        <v>3245</v>
      </c>
      <c r="I1574" s="6">
        <v>16</v>
      </c>
      <c r="J1574" s="6">
        <v>30</v>
      </c>
      <c r="K1574" s="6">
        <v>120</v>
      </c>
      <c r="L1574" s="6">
        <v>72</v>
      </c>
      <c r="M1574" s="10">
        <f t="shared" si="72"/>
        <v>166.66666666666666</v>
      </c>
      <c r="N1574" s="10">
        <f t="shared" si="73"/>
        <v>167</v>
      </c>
      <c r="O1574" s="6" t="s">
        <v>19</v>
      </c>
      <c r="P1574" s="6">
        <v>12</v>
      </c>
      <c r="Q1574" s="6">
        <v>1</v>
      </c>
      <c r="R1574" s="6">
        <v>7</v>
      </c>
      <c r="S1574" s="6">
        <v>20</v>
      </c>
      <c r="T1574" s="6" t="str">
        <f t="shared" si="74"/>
        <v>Segunda</v>
      </c>
    </row>
    <row r="1575" spans="1:20">
      <c r="A1575" s="7" t="s">
        <v>3205</v>
      </c>
      <c r="B1575" s="7" t="s">
        <v>451</v>
      </c>
      <c r="C1575" s="8">
        <v>2</v>
      </c>
      <c r="D1575" s="7" t="s">
        <v>3217</v>
      </c>
      <c r="E1575" s="7" t="s">
        <v>3246</v>
      </c>
      <c r="F1575">
        <v>1998</v>
      </c>
      <c r="G1575" s="6">
        <v>17743</v>
      </c>
      <c r="H1575" s="11" t="s">
        <v>3247</v>
      </c>
      <c r="I1575" s="6">
        <v>21</v>
      </c>
      <c r="J1575" s="6">
        <v>34</v>
      </c>
      <c r="K1575" s="6">
        <v>145</v>
      </c>
      <c r="L1575" s="6">
        <v>71</v>
      </c>
      <c r="M1575" s="10">
        <f t="shared" si="72"/>
        <v>204.22535211267606</v>
      </c>
      <c r="N1575" s="10">
        <f t="shared" si="73"/>
        <v>205</v>
      </c>
      <c r="O1575" s="6" t="s">
        <v>109</v>
      </c>
      <c r="P1575" s="6">
        <v>7</v>
      </c>
      <c r="Q1575" s="6">
        <v>7</v>
      </c>
      <c r="R1575" s="6">
        <v>12</v>
      </c>
      <c r="S1575" s="6">
        <v>26</v>
      </c>
      <c r="T1575" s="6" t="str">
        <f t="shared" si="74"/>
        <v>Segunda</v>
      </c>
    </row>
    <row r="1576" spans="1:20">
      <c r="A1576" s="7" t="s">
        <v>3205</v>
      </c>
      <c r="B1576" s="7" t="s">
        <v>781</v>
      </c>
      <c r="C1576" s="8">
        <v>1</v>
      </c>
      <c r="D1576" s="7" t="s">
        <v>3205</v>
      </c>
      <c r="E1576" s="7" t="s">
        <v>3238</v>
      </c>
      <c r="F1576">
        <v>1832</v>
      </c>
      <c r="G1576" s="6">
        <v>23193</v>
      </c>
      <c r="H1576" s="11" t="s">
        <v>3239</v>
      </c>
      <c r="I1576" s="6">
        <v>18</v>
      </c>
      <c r="J1576" s="6">
        <v>12</v>
      </c>
      <c r="K1576" s="6">
        <v>60</v>
      </c>
      <c r="L1576" s="6">
        <v>83</v>
      </c>
      <c r="M1576" s="10">
        <f t="shared" si="72"/>
        <v>72.289156626506028</v>
      </c>
      <c r="N1576" s="10">
        <f t="shared" si="73"/>
        <v>73</v>
      </c>
      <c r="O1576" s="6" t="s">
        <v>27</v>
      </c>
      <c r="P1576" s="6">
        <v>5</v>
      </c>
      <c r="Q1576" s="6">
        <v>3</v>
      </c>
      <c r="R1576" s="6">
        <v>3</v>
      </c>
      <c r="S1576" s="6">
        <v>11</v>
      </c>
      <c r="T1576" s="6" t="str">
        <f t="shared" si="74"/>
        <v>Segunda</v>
      </c>
    </row>
    <row r="1577" spans="1:20">
      <c r="A1577" s="7" t="s">
        <v>3205</v>
      </c>
      <c r="B1577" s="7" t="s">
        <v>781</v>
      </c>
      <c r="C1577" s="8">
        <v>1</v>
      </c>
      <c r="D1577" s="7" t="s">
        <v>3205</v>
      </c>
      <c r="E1577" s="7" t="s">
        <v>3248</v>
      </c>
      <c r="F1577">
        <v>1715</v>
      </c>
      <c r="G1577" s="6">
        <v>13621</v>
      </c>
      <c r="H1577" s="11" t="s">
        <v>3249</v>
      </c>
      <c r="I1577" s="6">
        <v>22</v>
      </c>
      <c r="J1577" s="6">
        <v>22</v>
      </c>
      <c r="K1577" s="6">
        <v>76</v>
      </c>
      <c r="L1577" s="6">
        <v>59</v>
      </c>
      <c r="M1577" s="10">
        <f t="shared" si="72"/>
        <v>128.81355932203391</v>
      </c>
      <c r="N1577" s="10">
        <f t="shared" si="73"/>
        <v>129</v>
      </c>
      <c r="O1577" s="6" t="s">
        <v>109</v>
      </c>
      <c r="P1577" s="6">
        <v>2</v>
      </c>
      <c r="Q1577" s="6">
        <v>1</v>
      </c>
      <c r="R1577" s="6">
        <v>5</v>
      </c>
      <c r="S1577" s="6">
        <v>8</v>
      </c>
      <c r="T1577" s="6" t="str">
        <f t="shared" si="74"/>
        <v>Tercera</v>
      </c>
    </row>
    <row r="1578" spans="1:20">
      <c r="A1578" s="7" t="s">
        <v>3205</v>
      </c>
      <c r="B1578" s="7" t="s">
        <v>781</v>
      </c>
      <c r="C1578" s="8">
        <v>1</v>
      </c>
      <c r="D1578" s="7" t="s">
        <v>3205</v>
      </c>
      <c r="E1578" s="7" t="s">
        <v>3250</v>
      </c>
      <c r="F1578">
        <v>1781</v>
      </c>
      <c r="G1578" s="6">
        <v>25344</v>
      </c>
      <c r="H1578" s="11" t="s">
        <v>3251</v>
      </c>
      <c r="I1578" s="6">
        <v>52</v>
      </c>
      <c r="J1578" s="6">
        <v>16</v>
      </c>
      <c r="K1578" s="6">
        <v>58</v>
      </c>
      <c r="L1578" s="6">
        <v>71</v>
      </c>
      <c r="M1578" s="10">
        <f t="shared" si="72"/>
        <v>81.690140845070417</v>
      </c>
      <c r="N1578" s="10">
        <f t="shared" si="73"/>
        <v>82</v>
      </c>
      <c r="O1578" s="6" t="s">
        <v>70</v>
      </c>
      <c r="P1578" s="6">
        <v>1</v>
      </c>
      <c r="Q1578" s="6">
        <v>4</v>
      </c>
      <c r="R1578" s="6">
        <v>5</v>
      </c>
      <c r="S1578" s="6">
        <v>10</v>
      </c>
      <c r="T1578" s="6" t="str">
        <f t="shared" si="74"/>
        <v>Tercera</v>
      </c>
    </row>
    <row r="1579" spans="1:20">
      <c r="A1579" s="7" t="s">
        <v>3205</v>
      </c>
      <c r="B1579" s="7" t="s">
        <v>781</v>
      </c>
      <c r="C1579" s="8">
        <v>1</v>
      </c>
      <c r="D1579" s="7" t="s">
        <v>3205</v>
      </c>
      <c r="E1579" s="7" t="s">
        <v>3252</v>
      </c>
      <c r="F1579">
        <v>1693</v>
      </c>
      <c r="G1579" s="6">
        <v>19845</v>
      </c>
      <c r="H1579" s="11" t="s">
        <v>3253</v>
      </c>
      <c r="I1579" s="6">
        <v>19</v>
      </c>
      <c r="J1579" s="6">
        <v>25</v>
      </c>
      <c r="K1579" s="6">
        <v>97</v>
      </c>
      <c r="L1579" s="6">
        <v>73</v>
      </c>
      <c r="M1579" s="10">
        <f t="shared" si="72"/>
        <v>132.87671232876713</v>
      </c>
      <c r="N1579" s="10">
        <f t="shared" si="73"/>
        <v>133</v>
      </c>
      <c r="O1579" s="6" t="s">
        <v>18</v>
      </c>
      <c r="P1579" s="6">
        <v>6</v>
      </c>
      <c r="Q1579" s="6">
        <v>1</v>
      </c>
      <c r="R1579" s="6">
        <v>5</v>
      </c>
      <c r="S1579" s="6">
        <v>12</v>
      </c>
      <c r="T1579" s="6" t="str">
        <f t="shared" si="74"/>
        <v>Tercera</v>
      </c>
    </row>
    <row r="1580" spans="1:20">
      <c r="A1580" s="7" t="s">
        <v>3205</v>
      </c>
      <c r="B1580" s="7" t="s">
        <v>781</v>
      </c>
      <c r="C1580" s="8">
        <v>1</v>
      </c>
      <c r="D1580" s="7" t="s">
        <v>3205</v>
      </c>
      <c r="E1580" s="7" t="s">
        <v>3254</v>
      </c>
      <c r="F1580">
        <v>1000</v>
      </c>
      <c r="G1580" s="6">
        <v>10419</v>
      </c>
      <c r="H1580" s="11" t="s">
        <v>3255</v>
      </c>
      <c r="I1580" s="6">
        <v>29</v>
      </c>
      <c r="J1580" s="6">
        <v>0</v>
      </c>
      <c r="K1580" s="6">
        <v>0</v>
      </c>
      <c r="L1580" s="6">
        <v>0</v>
      </c>
      <c r="M1580" s="10">
        <f t="shared" si="72"/>
        <v>0</v>
      </c>
      <c r="N1580" s="10">
        <f t="shared" si="73"/>
        <v>0</v>
      </c>
      <c r="P1580" s="6">
        <v>0</v>
      </c>
      <c r="Q1580" s="6">
        <v>0</v>
      </c>
      <c r="R1580" s="6">
        <v>0</v>
      </c>
      <c r="S1580" s="6">
        <v>0</v>
      </c>
      <c r="T1580" s="6" t="str">
        <f t="shared" si="74"/>
        <v>Septima</v>
      </c>
    </row>
    <row r="1581" spans="1:20">
      <c r="A1581" s="7" t="s">
        <v>3205</v>
      </c>
      <c r="B1581" s="7" t="s">
        <v>781</v>
      </c>
      <c r="C1581" s="8">
        <v>1</v>
      </c>
      <c r="D1581" s="7" t="s">
        <v>3205</v>
      </c>
      <c r="E1581" s="7" t="s">
        <v>3256</v>
      </c>
      <c r="F1581">
        <v>1709</v>
      </c>
      <c r="G1581" s="6">
        <v>25971</v>
      </c>
      <c r="H1581" s="11" t="s">
        <v>3257</v>
      </c>
      <c r="I1581" s="6">
        <v>46</v>
      </c>
      <c r="J1581" s="6">
        <v>15</v>
      </c>
      <c r="K1581" s="6">
        <v>42</v>
      </c>
      <c r="L1581" s="6">
        <v>60</v>
      </c>
      <c r="M1581" s="10">
        <f t="shared" si="72"/>
        <v>70</v>
      </c>
      <c r="N1581" s="10">
        <f t="shared" si="73"/>
        <v>70</v>
      </c>
      <c r="O1581" s="6" t="s">
        <v>18</v>
      </c>
      <c r="P1581" s="6">
        <v>3</v>
      </c>
      <c r="Q1581" s="6">
        <v>2</v>
      </c>
      <c r="R1581" s="6">
        <v>2</v>
      </c>
      <c r="S1581" s="6">
        <v>7</v>
      </c>
      <c r="T1581" s="6" t="str">
        <f t="shared" si="74"/>
        <v>Tercera</v>
      </c>
    </row>
    <row r="1582" spans="1:20">
      <c r="A1582" s="7" t="s">
        <v>3205</v>
      </c>
      <c r="B1582" s="7" t="s">
        <v>468</v>
      </c>
      <c r="C1582" s="8">
        <v>1</v>
      </c>
      <c r="D1582" s="7" t="s">
        <v>3205</v>
      </c>
      <c r="E1582" s="7" t="s">
        <v>3258</v>
      </c>
      <c r="F1582">
        <v>1748</v>
      </c>
      <c r="G1582" s="6">
        <v>6956</v>
      </c>
      <c r="H1582" s="11" t="s">
        <v>3259</v>
      </c>
      <c r="I1582" s="6">
        <v>59</v>
      </c>
      <c r="J1582" s="6">
        <v>130</v>
      </c>
      <c r="K1582" s="6">
        <v>336</v>
      </c>
      <c r="L1582" s="6">
        <v>46</v>
      </c>
      <c r="M1582" s="10">
        <f t="shared" si="72"/>
        <v>730.43478260869563</v>
      </c>
      <c r="N1582" s="10">
        <f t="shared" si="73"/>
        <v>731</v>
      </c>
      <c r="O1582" s="6" t="s">
        <v>382</v>
      </c>
      <c r="P1582" s="6">
        <v>5</v>
      </c>
      <c r="Q1582" s="6">
        <v>9</v>
      </c>
      <c r="R1582" s="6">
        <v>9</v>
      </c>
      <c r="S1582" s="6">
        <v>23</v>
      </c>
      <c r="T1582" s="6" t="str">
        <f t="shared" si="74"/>
        <v>Tercera</v>
      </c>
    </row>
    <row r="1583" spans="1:20">
      <c r="A1583" s="7" t="s">
        <v>3205</v>
      </c>
      <c r="B1583" s="7" t="s">
        <v>468</v>
      </c>
      <c r="C1583" s="8">
        <v>1</v>
      </c>
      <c r="D1583" s="7" t="s">
        <v>3205</v>
      </c>
      <c r="E1583" s="7" t="s">
        <v>3256</v>
      </c>
      <c r="F1583">
        <v>1709</v>
      </c>
      <c r="G1583" s="6">
        <v>25971</v>
      </c>
      <c r="H1583" s="11" t="s">
        <v>3257</v>
      </c>
      <c r="I1583" s="6">
        <v>46</v>
      </c>
      <c r="J1583" s="6">
        <v>15</v>
      </c>
      <c r="K1583" s="6">
        <v>42</v>
      </c>
      <c r="L1583" s="6">
        <v>60</v>
      </c>
      <c r="M1583" s="10">
        <f t="shared" si="72"/>
        <v>70</v>
      </c>
      <c r="N1583" s="10">
        <f t="shared" si="73"/>
        <v>70</v>
      </c>
      <c r="O1583" s="6" t="s">
        <v>18</v>
      </c>
      <c r="P1583" s="6">
        <v>3</v>
      </c>
      <c r="Q1583" s="6">
        <v>2</v>
      </c>
      <c r="R1583" s="6">
        <v>2</v>
      </c>
      <c r="S1583" s="6">
        <v>7</v>
      </c>
      <c r="T1583" s="6" t="str">
        <f t="shared" si="74"/>
        <v>Tercera</v>
      </c>
    </row>
    <row r="1584" spans="1:20">
      <c r="A1584" s="7" t="s">
        <v>3205</v>
      </c>
      <c r="B1584" s="7" t="s">
        <v>468</v>
      </c>
      <c r="C1584" s="8">
        <v>1</v>
      </c>
      <c r="D1584" s="7" t="s">
        <v>3205</v>
      </c>
      <c r="E1584" s="7" t="s">
        <v>3260</v>
      </c>
      <c r="F1584">
        <v>1793</v>
      </c>
      <c r="G1584" s="6">
        <v>19037</v>
      </c>
      <c r="H1584" s="11" t="s">
        <v>3261</v>
      </c>
      <c r="I1584" s="6">
        <v>21</v>
      </c>
      <c r="J1584" s="6">
        <v>24</v>
      </c>
      <c r="K1584" s="6">
        <v>71</v>
      </c>
      <c r="L1584" s="6">
        <v>52</v>
      </c>
      <c r="M1584" s="10">
        <f t="shared" si="72"/>
        <v>136.53846153846155</v>
      </c>
      <c r="N1584" s="10">
        <f t="shared" si="73"/>
        <v>137</v>
      </c>
      <c r="O1584" s="6" t="s">
        <v>383</v>
      </c>
      <c r="P1584" s="6">
        <v>2</v>
      </c>
      <c r="Q1584" s="6">
        <v>3</v>
      </c>
      <c r="R1584" s="6">
        <v>2</v>
      </c>
      <c r="S1584" s="6">
        <v>7</v>
      </c>
      <c r="T1584" s="6" t="str">
        <f t="shared" si="74"/>
        <v>Tercera</v>
      </c>
    </row>
    <row r="1585" spans="1:20">
      <c r="A1585" s="7" t="s">
        <v>3205</v>
      </c>
      <c r="B1585" s="7" t="s">
        <v>468</v>
      </c>
      <c r="C1585" s="8">
        <v>1</v>
      </c>
      <c r="D1585" s="7" t="s">
        <v>3205</v>
      </c>
      <c r="E1585" s="7" t="s">
        <v>3262</v>
      </c>
      <c r="F1585">
        <v>1609</v>
      </c>
      <c r="G1585" s="6">
        <v>26555</v>
      </c>
      <c r="H1585" s="11" t="s">
        <v>3263</v>
      </c>
      <c r="I1585" s="6">
        <v>26</v>
      </c>
      <c r="J1585" s="6">
        <v>41</v>
      </c>
      <c r="K1585" s="6">
        <v>120</v>
      </c>
      <c r="L1585" s="6">
        <v>56</v>
      </c>
      <c r="M1585" s="10">
        <f t="shared" si="72"/>
        <v>214.28571428571428</v>
      </c>
      <c r="N1585" s="10">
        <f t="shared" si="73"/>
        <v>215</v>
      </c>
      <c r="O1585" s="6" t="s">
        <v>147</v>
      </c>
      <c r="P1585" s="6">
        <v>4</v>
      </c>
      <c r="Q1585" s="6">
        <v>2</v>
      </c>
      <c r="R1585" s="6">
        <v>8</v>
      </c>
      <c r="S1585" s="6">
        <v>14</v>
      </c>
      <c r="T1585" s="6" t="str">
        <f t="shared" si="74"/>
        <v>Tercera</v>
      </c>
    </row>
    <row r="1586" spans="1:20">
      <c r="A1586" s="7" t="s">
        <v>3205</v>
      </c>
      <c r="B1586" s="7" t="s">
        <v>468</v>
      </c>
      <c r="C1586" s="8">
        <v>1</v>
      </c>
      <c r="D1586" s="7" t="s">
        <v>3205</v>
      </c>
      <c r="E1586" s="7" t="s">
        <v>3264</v>
      </c>
      <c r="F1586">
        <v>1352</v>
      </c>
      <c r="G1586" s="6">
        <v>22268</v>
      </c>
      <c r="H1586" s="11" t="s">
        <v>3265</v>
      </c>
      <c r="I1586" s="6">
        <v>19</v>
      </c>
      <c r="J1586" s="6">
        <v>6</v>
      </c>
      <c r="K1586" s="6">
        <v>26</v>
      </c>
      <c r="L1586" s="6">
        <v>74</v>
      </c>
      <c r="M1586" s="10">
        <f t="shared" si="72"/>
        <v>35.135135135135137</v>
      </c>
      <c r="N1586" s="10">
        <f t="shared" si="73"/>
        <v>36</v>
      </c>
      <c r="O1586" s="6" t="s">
        <v>109</v>
      </c>
      <c r="P1586" s="6">
        <v>2</v>
      </c>
      <c r="Q1586" s="6">
        <v>2</v>
      </c>
      <c r="R1586" s="6">
        <v>0</v>
      </c>
      <c r="S1586" s="6">
        <v>4</v>
      </c>
      <c r="T1586" s="6" t="str">
        <f t="shared" si="74"/>
        <v>Quinta</v>
      </c>
    </row>
    <row r="1587" spans="1:20">
      <c r="A1587" s="7" t="s">
        <v>3205</v>
      </c>
      <c r="B1587" s="7" t="s">
        <v>468</v>
      </c>
      <c r="C1587" s="8">
        <v>1</v>
      </c>
      <c r="D1587" s="7" t="s">
        <v>3205</v>
      </c>
      <c r="E1587" s="7" t="s">
        <v>3266</v>
      </c>
      <c r="F1587">
        <v>1458</v>
      </c>
      <c r="G1587" s="6">
        <v>17934</v>
      </c>
      <c r="H1587" s="11" t="s">
        <v>3267</v>
      </c>
      <c r="I1587" s="6">
        <v>29</v>
      </c>
      <c r="J1587" s="6">
        <v>99</v>
      </c>
      <c r="K1587" s="6">
        <v>222</v>
      </c>
      <c r="L1587" s="6">
        <v>40</v>
      </c>
      <c r="M1587" s="10">
        <f t="shared" si="72"/>
        <v>555</v>
      </c>
      <c r="N1587" s="10">
        <f t="shared" si="73"/>
        <v>555</v>
      </c>
      <c r="O1587" s="6" t="s">
        <v>9</v>
      </c>
      <c r="P1587" s="6">
        <v>7</v>
      </c>
      <c r="Q1587" s="6">
        <v>4</v>
      </c>
      <c r="R1587" s="6">
        <v>11</v>
      </c>
      <c r="S1587" s="6">
        <v>22</v>
      </c>
      <c r="T1587" s="6" t="str">
        <f t="shared" si="74"/>
        <v>Cuarta</v>
      </c>
    </row>
    <row r="1588" spans="1:20">
      <c r="A1588" s="7" t="s">
        <v>3205</v>
      </c>
      <c r="B1588" s="7" t="s">
        <v>496</v>
      </c>
      <c r="C1588" s="8">
        <v>1</v>
      </c>
      <c r="D1588" s="7" t="s">
        <v>3205</v>
      </c>
      <c r="E1588" s="7" t="s">
        <v>3268</v>
      </c>
      <c r="F1588">
        <v>1381</v>
      </c>
      <c r="G1588" s="6">
        <v>15064</v>
      </c>
      <c r="H1588" s="11" t="s">
        <v>3269</v>
      </c>
      <c r="I1588" s="6">
        <v>32</v>
      </c>
      <c r="J1588" s="6">
        <v>52</v>
      </c>
      <c r="K1588" s="6">
        <v>148</v>
      </c>
      <c r="L1588" s="6">
        <v>55</v>
      </c>
      <c r="M1588" s="10">
        <f t="shared" si="72"/>
        <v>269.09090909090907</v>
      </c>
      <c r="N1588" s="10">
        <f t="shared" si="73"/>
        <v>270</v>
      </c>
      <c r="O1588" s="6" t="s">
        <v>114</v>
      </c>
      <c r="P1588" s="6">
        <v>5</v>
      </c>
      <c r="Q1588" s="6">
        <v>8</v>
      </c>
      <c r="R1588" s="6">
        <v>9</v>
      </c>
      <c r="S1588" s="6">
        <v>22</v>
      </c>
      <c r="T1588" s="6" t="str">
        <f t="shared" si="74"/>
        <v>Quinta</v>
      </c>
    </row>
    <row r="1589" spans="1:20">
      <c r="A1589" s="7" t="s">
        <v>3205</v>
      </c>
      <c r="B1589" s="7" t="s">
        <v>496</v>
      </c>
      <c r="C1589" s="8">
        <v>1</v>
      </c>
      <c r="D1589" s="7" t="s">
        <v>3205</v>
      </c>
      <c r="E1589" s="7" t="s">
        <v>3270</v>
      </c>
      <c r="F1589">
        <v>1222</v>
      </c>
      <c r="G1589" s="6">
        <v>17302</v>
      </c>
      <c r="H1589" s="11" t="s">
        <v>3271</v>
      </c>
      <c r="I1589" s="6">
        <v>26</v>
      </c>
      <c r="J1589" s="6">
        <v>1</v>
      </c>
      <c r="K1589" s="6">
        <v>0</v>
      </c>
      <c r="L1589" s="6">
        <v>0</v>
      </c>
      <c r="M1589" s="10">
        <f t="shared" si="72"/>
        <v>0</v>
      </c>
      <c r="N1589" s="10">
        <f t="shared" si="73"/>
        <v>0</v>
      </c>
      <c r="O1589" s="6" t="s">
        <v>384</v>
      </c>
      <c r="P1589" s="6">
        <v>0</v>
      </c>
      <c r="Q1589" s="6">
        <v>0</v>
      </c>
      <c r="R1589" s="6">
        <v>0</v>
      </c>
      <c r="S1589" s="6">
        <v>0</v>
      </c>
      <c r="T1589" s="6" t="str">
        <f t="shared" si="74"/>
        <v>Quinta</v>
      </c>
    </row>
    <row r="1590" spans="1:20">
      <c r="A1590" s="7" t="s">
        <v>3205</v>
      </c>
      <c r="B1590" s="7" t="s">
        <v>496</v>
      </c>
      <c r="C1590" s="8">
        <v>1</v>
      </c>
      <c r="D1590" s="7" t="s">
        <v>3205</v>
      </c>
      <c r="E1590" s="7" t="s">
        <v>3272</v>
      </c>
      <c r="F1590">
        <v>1502</v>
      </c>
      <c r="G1590" s="6">
        <v>16180</v>
      </c>
      <c r="H1590" s="11" t="s">
        <v>3273</v>
      </c>
      <c r="I1590" s="6">
        <v>31</v>
      </c>
      <c r="J1590" s="6">
        <v>25</v>
      </c>
      <c r="K1590" s="6">
        <v>64</v>
      </c>
      <c r="L1590" s="6">
        <v>58</v>
      </c>
      <c r="M1590" s="10">
        <f t="shared" si="72"/>
        <v>110.34482758620689</v>
      </c>
      <c r="N1590" s="10">
        <f t="shared" si="73"/>
        <v>111</v>
      </c>
      <c r="O1590" s="6" t="s">
        <v>256</v>
      </c>
      <c r="P1590" s="6">
        <v>2</v>
      </c>
      <c r="Q1590" s="6">
        <v>3</v>
      </c>
      <c r="R1590" s="6">
        <v>2</v>
      </c>
      <c r="S1590" s="6">
        <v>7</v>
      </c>
      <c r="T1590" s="6" t="str">
        <f t="shared" si="74"/>
        <v>Cuarta</v>
      </c>
    </row>
    <row r="1591" spans="1:20">
      <c r="A1591" s="7" t="s">
        <v>3205</v>
      </c>
      <c r="B1591" s="7" t="s">
        <v>496</v>
      </c>
      <c r="C1591" s="8">
        <v>1</v>
      </c>
      <c r="D1591" s="7" t="s">
        <v>3205</v>
      </c>
      <c r="E1591" s="7" t="s">
        <v>3274</v>
      </c>
      <c r="F1591">
        <v>1284</v>
      </c>
      <c r="G1591" s="6">
        <v>25689</v>
      </c>
      <c r="H1591" s="11" t="s">
        <v>3275</v>
      </c>
      <c r="I1591" s="6">
        <v>18</v>
      </c>
      <c r="J1591" s="6">
        <v>17</v>
      </c>
      <c r="K1591" s="6">
        <v>52</v>
      </c>
      <c r="L1591" s="6">
        <v>70</v>
      </c>
      <c r="M1591" s="10">
        <f t="shared" si="72"/>
        <v>74.285714285714292</v>
      </c>
      <c r="N1591" s="10">
        <f t="shared" si="73"/>
        <v>75</v>
      </c>
      <c r="O1591" s="6" t="s">
        <v>251</v>
      </c>
      <c r="P1591" s="6">
        <v>4</v>
      </c>
      <c r="Q1591" s="6">
        <v>3</v>
      </c>
      <c r="R1591" s="6">
        <v>2</v>
      </c>
      <c r="S1591" s="6">
        <v>9</v>
      </c>
      <c r="T1591" s="6" t="str">
        <f t="shared" si="74"/>
        <v>Quinta</v>
      </c>
    </row>
    <row r="1592" spans="1:20">
      <c r="A1592" s="7" t="s">
        <v>3205</v>
      </c>
      <c r="B1592" s="7" t="s">
        <v>496</v>
      </c>
      <c r="C1592" s="8">
        <v>1</v>
      </c>
      <c r="D1592" s="7" t="s">
        <v>3205</v>
      </c>
      <c r="E1592" s="7" t="s">
        <v>3276</v>
      </c>
      <c r="F1592">
        <v>1317</v>
      </c>
      <c r="G1592" s="6">
        <v>26276</v>
      </c>
      <c r="H1592" s="11" t="s">
        <v>3277</v>
      </c>
      <c r="I1592" s="6">
        <v>17</v>
      </c>
      <c r="J1592" s="6">
        <v>19</v>
      </c>
      <c r="K1592" s="6">
        <v>53</v>
      </c>
      <c r="L1592" s="6">
        <v>56</v>
      </c>
      <c r="M1592" s="10">
        <f t="shared" si="72"/>
        <v>94.642857142857139</v>
      </c>
      <c r="N1592" s="10">
        <f t="shared" si="73"/>
        <v>95</v>
      </c>
      <c r="O1592" s="6" t="s">
        <v>88</v>
      </c>
      <c r="P1592" s="6">
        <v>0</v>
      </c>
      <c r="Q1592" s="6">
        <v>3</v>
      </c>
      <c r="R1592" s="6">
        <v>4</v>
      </c>
      <c r="S1592" s="6">
        <v>7</v>
      </c>
      <c r="T1592" s="6" t="str">
        <f t="shared" si="74"/>
        <v>Quinta</v>
      </c>
    </row>
    <row r="1593" spans="1:20">
      <c r="A1593" s="7" t="s">
        <v>3205</v>
      </c>
      <c r="B1593" s="7" t="s">
        <v>496</v>
      </c>
      <c r="C1593" s="8">
        <v>1</v>
      </c>
      <c r="D1593" s="7" t="s">
        <v>3205</v>
      </c>
      <c r="E1593" s="7" t="s">
        <v>3278</v>
      </c>
      <c r="F1593">
        <v>1120</v>
      </c>
      <c r="G1593" s="6">
        <v>23250</v>
      </c>
      <c r="H1593" s="11" t="s">
        <v>3279</v>
      </c>
      <c r="I1593" s="6">
        <v>43</v>
      </c>
      <c r="J1593" s="6">
        <v>1</v>
      </c>
      <c r="K1593" s="6">
        <v>3</v>
      </c>
      <c r="L1593" s="6">
        <v>75</v>
      </c>
      <c r="M1593" s="10">
        <f t="shared" si="72"/>
        <v>4</v>
      </c>
      <c r="N1593" s="10">
        <f t="shared" si="73"/>
        <v>4</v>
      </c>
      <c r="O1593" s="6" t="s">
        <v>385</v>
      </c>
      <c r="P1593" s="6">
        <v>0</v>
      </c>
      <c r="Q1593" s="6">
        <v>0</v>
      </c>
      <c r="R1593" s="6">
        <v>0</v>
      </c>
      <c r="S1593" s="6">
        <v>0</v>
      </c>
      <c r="T1593" s="6" t="str">
        <f t="shared" si="74"/>
        <v>Sexta</v>
      </c>
    </row>
    <row r="1594" spans="1:20">
      <c r="A1594" s="7" t="s">
        <v>3205</v>
      </c>
      <c r="B1594" s="7" t="s">
        <v>496</v>
      </c>
      <c r="C1594" s="8">
        <v>1</v>
      </c>
      <c r="D1594" s="7" t="s">
        <v>3205</v>
      </c>
      <c r="E1594" s="7" t="s">
        <v>3280</v>
      </c>
      <c r="F1594">
        <v>1276</v>
      </c>
      <c r="G1594" s="6">
        <v>19284</v>
      </c>
      <c r="H1594" s="11" t="s">
        <v>3281</v>
      </c>
      <c r="I1594" s="6">
        <v>34</v>
      </c>
      <c r="J1594" s="6">
        <v>40</v>
      </c>
      <c r="K1594" s="6">
        <v>53</v>
      </c>
      <c r="L1594" s="6">
        <v>31</v>
      </c>
      <c r="M1594" s="10">
        <f t="shared" si="72"/>
        <v>170.96774193548387</v>
      </c>
      <c r="N1594" s="10">
        <f t="shared" si="73"/>
        <v>171</v>
      </c>
      <c r="O1594" s="6" t="s">
        <v>109</v>
      </c>
      <c r="P1594" s="6">
        <v>0</v>
      </c>
      <c r="Q1594" s="6">
        <v>1</v>
      </c>
      <c r="R1594" s="6">
        <v>2</v>
      </c>
      <c r="S1594" s="6">
        <v>3</v>
      </c>
      <c r="T1594" s="6" t="str">
        <f t="shared" si="74"/>
        <v>Quinta</v>
      </c>
    </row>
    <row r="1595" spans="1:20">
      <c r="A1595" s="7" t="s">
        <v>3205</v>
      </c>
      <c r="B1595" s="7" t="s">
        <v>507</v>
      </c>
      <c r="C1595" s="8">
        <v>1</v>
      </c>
      <c r="D1595" s="7" t="s">
        <v>3206</v>
      </c>
      <c r="E1595" s="7" t="s">
        <v>3282</v>
      </c>
      <c r="F1595">
        <v>1100</v>
      </c>
      <c r="G1595" s="6">
        <v>22164</v>
      </c>
      <c r="H1595" s="11" t="s">
        <v>3283</v>
      </c>
      <c r="I1595" s="6">
        <v>27</v>
      </c>
      <c r="J1595" s="6">
        <v>2</v>
      </c>
      <c r="K1595" s="6">
        <v>1</v>
      </c>
      <c r="L1595" s="6">
        <v>14</v>
      </c>
      <c r="M1595" s="10">
        <f t="shared" si="72"/>
        <v>7.1428571428571432</v>
      </c>
      <c r="N1595" s="10">
        <f t="shared" si="73"/>
        <v>8</v>
      </c>
      <c r="O1595" s="6" t="s">
        <v>386</v>
      </c>
      <c r="P1595" s="6">
        <v>0</v>
      </c>
      <c r="Q1595" s="6">
        <v>0</v>
      </c>
      <c r="R1595" s="6">
        <v>0</v>
      </c>
      <c r="S1595" s="6">
        <v>0</v>
      </c>
      <c r="T1595" s="6" t="str">
        <f t="shared" si="74"/>
        <v>Sexta</v>
      </c>
    </row>
    <row r="1596" spans="1:20">
      <c r="A1596" s="7" t="s">
        <v>3205</v>
      </c>
      <c r="B1596" s="7" t="s">
        <v>507</v>
      </c>
      <c r="C1596" s="8">
        <v>1</v>
      </c>
      <c r="D1596" s="7" t="s">
        <v>3206</v>
      </c>
      <c r="E1596" s="7" t="s">
        <v>3284</v>
      </c>
      <c r="F1596">
        <v>1246</v>
      </c>
      <c r="G1596" s="6">
        <v>6145</v>
      </c>
      <c r="H1596" s="11" t="s">
        <v>3285</v>
      </c>
      <c r="I1596" s="6">
        <v>35</v>
      </c>
      <c r="J1596" s="6">
        <v>16</v>
      </c>
      <c r="K1596" s="6">
        <v>43</v>
      </c>
      <c r="L1596" s="6">
        <v>59</v>
      </c>
      <c r="M1596" s="10">
        <f t="shared" si="72"/>
        <v>72.881355932203391</v>
      </c>
      <c r="N1596" s="10">
        <f t="shared" si="73"/>
        <v>73</v>
      </c>
      <c r="O1596" s="6" t="s">
        <v>18</v>
      </c>
      <c r="P1596" s="6">
        <v>2</v>
      </c>
      <c r="Q1596" s="6">
        <v>1</v>
      </c>
      <c r="R1596" s="6">
        <v>3</v>
      </c>
      <c r="S1596" s="6">
        <v>6</v>
      </c>
      <c r="T1596" s="6" t="str">
        <f t="shared" si="74"/>
        <v>Quinta</v>
      </c>
    </row>
    <row r="1597" spans="1:20">
      <c r="A1597" s="7" t="s">
        <v>3205</v>
      </c>
      <c r="B1597" s="7" t="s">
        <v>507</v>
      </c>
      <c r="C1597" s="8">
        <v>1</v>
      </c>
      <c r="D1597" s="7" t="s">
        <v>3206</v>
      </c>
      <c r="E1597" s="7" t="s">
        <v>3286</v>
      </c>
      <c r="F1597">
        <v>1206</v>
      </c>
      <c r="G1597" s="6">
        <v>26208</v>
      </c>
      <c r="H1597" s="11" t="s">
        <v>3287</v>
      </c>
      <c r="I1597" s="6">
        <v>22</v>
      </c>
      <c r="J1597" s="6">
        <v>28</v>
      </c>
      <c r="K1597" s="6">
        <v>74</v>
      </c>
      <c r="L1597" s="6">
        <v>52</v>
      </c>
      <c r="M1597" s="10">
        <f t="shared" si="72"/>
        <v>142.30769230769232</v>
      </c>
      <c r="N1597" s="10">
        <f t="shared" si="73"/>
        <v>143</v>
      </c>
      <c r="O1597" s="6" t="s">
        <v>114</v>
      </c>
      <c r="P1597" s="6">
        <v>1</v>
      </c>
      <c r="Q1597" s="6">
        <v>3</v>
      </c>
      <c r="R1597" s="6">
        <v>4</v>
      </c>
      <c r="S1597" s="6">
        <v>8</v>
      </c>
      <c r="T1597" s="6" t="str">
        <f t="shared" si="74"/>
        <v>Quinta</v>
      </c>
    </row>
    <row r="1598" spans="1:20">
      <c r="A1598" s="7" t="s">
        <v>3205</v>
      </c>
      <c r="B1598" s="7" t="s">
        <v>507</v>
      </c>
      <c r="C1598" s="8">
        <v>1</v>
      </c>
      <c r="D1598" s="7" t="s">
        <v>3206</v>
      </c>
      <c r="E1598" s="7" t="s">
        <v>3274</v>
      </c>
      <c r="F1598">
        <v>1284</v>
      </c>
      <c r="G1598" s="6">
        <v>25689</v>
      </c>
      <c r="H1598" s="11" t="s">
        <v>3275</v>
      </c>
      <c r="I1598" s="6">
        <v>18</v>
      </c>
      <c r="J1598" s="6">
        <v>17</v>
      </c>
      <c r="K1598" s="6">
        <v>52</v>
      </c>
      <c r="L1598" s="6">
        <v>70</v>
      </c>
      <c r="M1598" s="10">
        <f t="shared" si="72"/>
        <v>74.285714285714292</v>
      </c>
      <c r="N1598" s="10">
        <f t="shared" si="73"/>
        <v>75</v>
      </c>
      <c r="O1598" s="6" t="s">
        <v>251</v>
      </c>
      <c r="P1598" s="6">
        <v>4</v>
      </c>
      <c r="Q1598" s="6">
        <v>3</v>
      </c>
      <c r="R1598" s="6">
        <v>2</v>
      </c>
      <c r="S1598" s="6">
        <v>9</v>
      </c>
      <c r="T1598" s="6" t="str">
        <f t="shared" si="74"/>
        <v>Quinta</v>
      </c>
    </row>
    <row r="1599" spans="1:20">
      <c r="A1599" s="7" t="s">
        <v>3205</v>
      </c>
      <c r="B1599" s="7" t="s">
        <v>507</v>
      </c>
      <c r="C1599" s="8">
        <v>1</v>
      </c>
      <c r="D1599" s="7" t="s">
        <v>3206</v>
      </c>
      <c r="E1599" s="7" t="s">
        <v>3288</v>
      </c>
      <c r="F1599">
        <v>1246</v>
      </c>
      <c r="G1599" s="6">
        <v>25090</v>
      </c>
      <c r="H1599" s="11" t="s">
        <v>3289</v>
      </c>
      <c r="I1599" s="6">
        <v>35</v>
      </c>
      <c r="J1599" s="6">
        <v>24</v>
      </c>
      <c r="K1599" s="6">
        <v>75</v>
      </c>
      <c r="L1599" s="6">
        <v>52</v>
      </c>
      <c r="M1599" s="10">
        <f t="shared" si="72"/>
        <v>144.23076923076923</v>
      </c>
      <c r="N1599" s="10">
        <f t="shared" si="73"/>
        <v>145</v>
      </c>
      <c r="O1599" s="6" t="s">
        <v>144</v>
      </c>
      <c r="P1599" s="6">
        <v>2</v>
      </c>
      <c r="Q1599" s="6">
        <v>1</v>
      </c>
      <c r="R1599" s="6">
        <v>5</v>
      </c>
      <c r="S1599" s="6">
        <v>8</v>
      </c>
      <c r="T1599" s="6" t="str">
        <f t="shared" si="74"/>
        <v>Quinta</v>
      </c>
    </row>
    <row r="1600" spans="1:20">
      <c r="A1600" s="7" t="s">
        <v>3205</v>
      </c>
      <c r="B1600" s="7" t="s">
        <v>507</v>
      </c>
      <c r="C1600" s="8">
        <v>1</v>
      </c>
      <c r="D1600" s="7" t="s">
        <v>3206</v>
      </c>
      <c r="E1600" s="7" t="s">
        <v>3290</v>
      </c>
      <c r="F1600">
        <v>1141</v>
      </c>
      <c r="G1600" s="6">
        <v>26074</v>
      </c>
      <c r="H1600" s="11" t="s">
        <v>3291</v>
      </c>
      <c r="I1600" s="6">
        <v>15</v>
      </c>
      <c r="J1600" s="6">
        <v>10</v>
      </c>
      <c r="K1600" s="6">
        <v>27</v>
      </c>
      <c r="L1600" s="6">
        <v>64</v>
      </c>
      <c r="M1600" s="10">
        <f t="shared" si="72"/>
        <v>42.1875</v>
      </c>
      <c r="N1600" s="10">
        <f t="shared" si="73"/>
        <v>43</v>
      </c>
      <c r="O1600" s="6" t="s">
        <v>27</v>
      </c>
      <c r="P1600" s="6">
        <v>1</v>
      </c>
      <c r="Q1600" s="6">
        <v>0</v>
      </c>
      <c r="R1600" s="6">
        <v>2</v>
      </c>
      <c r="S1600" s="6">
        <v>3</v>
      </c>
      <c r="T1600" s="6" t="str">
        <f t="shared" si="74"/>
        <v>Sexta</v>
      </c>
    </row>
    <row r="1601" spans="1:20">
      <c r="A1601" s="7" t="s">
        <v>3205</v>
      </c>
      <c r="B1601" s="7" t="s">
        <v>507</v>
      </c>
      <c r="C1601" s="8">
        <v>1</v>
      </c>
      <c r="D1601" s="7" t="s">
        <v>3206</v>
      </c>
      <c r="E1601" s="7" t="s">
        <v>3292</v>
      </c>
      <c r="F1601">
        <v>1202</v>
      </c>
      <c r="G1601" s="6">
        <v>23304</v>
      </c>
      <c r="H1601" s="11" t="s">
        <v>3293</v>
      </c>
      <c r="I1601" s="6">
        <v>21</v>
      </c>
      <c r="J1601" s="6">
        <v>13</v>
      </c>
      <c r="K1601" s="6">
        <v>27</v>
      </c>
      <c r="L1601" s="6">
        <v>59</v>
      </c>
      <c r="M1601" s="10">
        <f t="shared" si="72"/>
        <v>45.762711864406782</v>
      </c>
      <c r="N1601" s="10">
        <f t="shared" si="73"/>
        <v>46</v>
      </c>
      <c r="O1601" s="6" t="s">
        <v>19</v>
      </c>
      <c r="P1601" s="6">
        <v>1</v>
      </c>
      <c r="Q1601" s="6">
        <v>0</v>
      </c>
      <c r="R1601" s="6">
        <v>0</v>
      </c>
      <c r="S1601" s="6">
        <v>1</v>
      </c>
      <c r="T1601" s="6" t="str">
        <f t="shared" si="74"/>
        <v>Quinta</v>
      </c>
    </row>
    <row r="1602" spans="1:20">
      <c r="A1602" s="7" t="s">
        <v>3205</v>
      </c>
      <c r="B1602" s="7" t="s">
        <v>507</v>
      </c>
      <c r="C1602" s="8">
        <v>2</v>
      </c>
      <c r="D1602" s="7" t="s">
        <v>3217</v>
      </c>
      <c r="E1602" s="7" t="s">
        <v>3294</v>
      </c>
      <c r="F1602">
        <v>1224</v>
      </c>
      <c r="G1602" s="6">
        <v>27260</v>
      </c>
      <c r="H1602" s="11" t="s">
        <v>3295</v>
      </c>
      <c r="I1602" s="6">
        <v>58</v>
      </c>
      <c r="J1602" s="6">
        <v>19</v>
      </c>
      <c r="K1602" s="6">
        <v>54</v>
      </c>
      <c r="L1602" s="6">
        <v>67</v>
      </c>
      <c r="M1602" s="10">
        <f t="shared" si="72"/>
        <v>80.597014925373131</v>
      </c>
      <c r="N1602" s="10">
        <f t="shared" si="73"/>
        <v>81</v>
      </c>
      <c r="O1602" s="6" t="s">
        <v>30</v>
      </c>
      <c r="P1602" s="6">
        <v>1</v>
      </c>
      <c r="Q1602" s="6">
        <v>2</v>
      </c>
      <c r="R1602" s="6">
        <v>3</v>
      </c>
      <c r="S1602" s="6">
        <v>6</v>
      </c>
      <c r="T1602" s="6" t="str">
        <f t="shared" si="74"/>
        <v>Quinta</v>
      </c>
    </row>
    <row r="1603" spans="1:20">
      <c r="A1603" s="7" t="s">
        <v>3205</v>
      </c>
      <c r="B1603" s="7" t="s">
        <v>507</v>
      </c>
      <c r="C1603" s="8">
        <v>2</v>
      </c>
      <c r="D1603" s="7" t="s">
        <v>3217</v>
      </c>
      <c r="E1603" s="7" t="s">
        <v>3296</v>
      </c>
      <c r="F1603">
        <v>1280</v>
      </c>
      <c r="G1603" s="6">
        <v>8884</v>
      </c>
      <c r="H1603" s="11" t="s">
        <v>3297</v>
      </c>
      <c r="I1603" s="6">
        <v>37</v>
      </c>
      <c r="J1603" s="6">
        <v>40</v>
      </c>
      <c r="K1603" s="6">
        <v>103</v>
      </c>
      <c r="L1603" s="6">
        <v>48</v>
      </c>
      <c r="M1603" s="10">
        <f t="shared" ref="M1603:M1666" si="75">IF(K1603+L1603=0,0,(100*K1603/L1603))</f>
        <v>214.58333333333334</v>
      </c>
      <c r="N1603" s="10">
        <f t="shared" ref="N1603:N1666" si="76">ROUNDUP(M1603,0)</f>
        <v>215</v>
      </c>
      <c r="O1603" s="6" t="s">
        <v>18</v>
      </c>
      <c r="P1603" s="6">
        <v>2</v>
      </c>
      <c r="Q1603" s="6">
        <v>2</v>
      </c>
      <c r="R1603" s="6">
        <v>5</v>
      </c>
      <c r="S1603" s="6">
        <v>9</v>
      </c>
      <c r="T1603" s="6" t="str">
        <f t="shared" ref="T1603:T1666" si="77">IF(F1603&gt;2100,"Primera",
IF(F1603&gt;=1800,"Segunda",
IF(F1603&gt;=1600,"Tercera",
IF(F1603&gt;=1400,"Cuarta",
IF(F1603&gt;=1200,"Quinta",
IF(F1603&gt;=1080,"Sexta",
IF(F1603&gt;=980,"Septima",
"Octava")))))))</f>
        <v>Quinta</v>
      </c>
    </row>
    <row r="1604" spans="1:20">
      <c r="A1604" s="7" t="s">
        <v>3205</v>
      </c>
      <c r="B1604" s="7" t="s">
        <v>507</v>
      </c>
      <c r="C1604" s="8">
        <v>2</v>
      </c>
      <c r="D1604" s="7" t="s">
        <v>3217</v>
      </c>
      <c r="E1604" s="7" t="s">
        <v>3298</v>
      </c>
      <c r="F1604">
        <v>1231</v>
      </c>
      <c r="G1604" s="6">
        <v>336</v>
      </c>
      <c r="H1604" s="11" t="s">
        <v>3299</v>
      </c>
      <c r="I1604" s="6">
        <v>49</v>
      </c>
      <c r="J1604" s="6">
        <v>64</v>
      </c>
      <c r="K1604" s="6">
        <v>193</v>
      </c>
      <c r="L1604" s="6">
        <v>56</v>
      </c>
      <c r="M1604" s="10">
        <f t="shared" si="75"/>
        <v>344.64285714285717</v>
      </c>
      <c r="N1604" s="10">
        <f t="shared" si="76"/>
        <v>345</v>
      </c>
      <c r="O1604" s="6" t="s">
        <v>18</v>
      </c>
      <c r="P1604" s="6">
        <v>7</v>
      </c>
      <c r="Q1604" s="6">
        <v>5</v>
      </c>
      <c r="R1604" s="6">
        <v>12</v>
      </c>
      <c r="S1604" s="6">
        <v>24</v>
      </c>
      <c r="T1604" s="6" t="str">
        <f t="shared" si="77"/>
        <v>Quinta</v>
      </c>
    </row>
    <row r="1605" spans="1:20">
      <c r="A1605" s="7" t="s">
        <v>3205</v>
      </c>
      <c r="B1605" s="7" t="s">
        <v>507</v>
      </c>
      <c r="C1605" s="8">
        <v>2</v>
      </c>
      <c r="D1605" s="7" t="s">
        <v>3217</v>
      </c>
      <c r="E1605" s="7" t="s">
        <v>3278</v>
      </c>
      <c r="F1605">
        <v>1120</v>
      </c>
      <c r="G1605" s="6">
        <v>23250</v>
      </c>
      <c r="H1605" s="11" t="s">
        <v>3279</v>
      </c>
      <c r="I1605" s="6">
        <v>43</v>
      </c>
      <c r="J1605" s="6">
        <v>1</v>
      </c>
      <c r="K1605" s="6">
        <v>3</v>
      </c>
      <c r="L1605" s="6">
        <v>75</v>
      </c>
      <c r="M1605" s="10">
        <f t="shared" si="75"/>
        <v>4</v>
      </c>
      <c r="N1605" s="10">
        <f t="shared" si="76"/>
        <v>4</v>
      </c>
      <c r="O1605" s="6" t="s">
        <v>385</v>
      </c>
      <c r="P1605" s="6">
        <v>0</v>
      </c>
      <c r="Q1605" s="6">
        <v>0</v>
      </c>
      <c r="R1605" s="6">
        <v>0</v>
      </c>
      <c r="S1605" s="6">
        <v>0</v>
      </c>
      <c r="T1605" s="6" t="str">
        <f t="shared" si="77"/>
        <v>Sexta</v>
      </c>
    </row>
    <row r="1606" spans="1:20">
      <c r="A1606" s="7" t="s">
        <v>3205</v>
      </c>
      <c r="B1606" s="7" t="s">
        <v>507</v>
      </c>
      <c r="C1606" s="8">
        <v>2</v>
      </c>
      <c r="D1606" s="7" t="s">
        <v>3217</v>
      </c>
      <c r="E1606" s="7" t="s">
        <v>3300</v>
      </c>
      <c r="F1606">
        <v>1157</v>
      </c>
      <c r="G1606" s="6">
        <v>15262</v>
      </c>
      <c r="H1606" s="11" t="s">
        <v>3301</v>
      </c>
      <c r="I1606" s="6">
        <v>56</v>
      </c>
      <c r="J1606" s="6">
        <v>26</v>
      </c>
      <c r="K1606" s="6">
        <v>34</v>
      </c>
      <c r="L1606" s="6">
        <v>29</v>
      </c>
      <c r="M1606" s="10">
        <f t="shared" si="75"/>
        <v>117.24137931034483</v>
      </c>
      <c r="N1606" s="10">
        <f t="shared" si="76"/>
        <v>118</v>
      </c>
      <c r="O1606" s="6" t="s">
        <v>387</v>
      </c>
      <c r="P1606" s="6">
        <v>0</v>
      </c>
      <c r="Q1606" s="6">
        <v>0</v>
      </c>
      <c r="R1606" s="6">
        <v>3</v>
      </c>
      <c r="S1606" s="6">
        <v>3</v>
      </c>
      <c r="T1606" s="6" t="str">
        <f t="shared" si="77"/>
        <v>Sexta</v>
      </c>
    </row>
    <row r="1607" spans="1:20">
      <c r="A1607" s="7" t="s">
        <v>3205</v>
      </c>
      <c r="B1607" s="7" t="s">
        <v>507</v>
      </c>
      <c r="C1607" s="8">
        <v>2</v>
      </c>
      <c r="D1607" s="7" t="s">
        <v>3217</v>
      </c>
      <c r="E1607" s="7" t="s">
        <v>3302</v>
      </c>
      <c r="F1607">
        <v>1168</v>
      </c>
      <c r="G1607" s="6">
        <v>25972</v>
      </c>
      <c r="H1607" s="11" t="s">
        <v>3303</v>
      </c>
      <c r="I1607" s="6">
        <v>16</v>
      </c>
      <c r="J1607" s="6">
        <v>16</v>
      </c>
      <c r="K1607" s="6">
        <v>41</v>
      </c>
      <c r="L1607" s="6">
        <v>57</v>
      </c>
      <c r="M1607" s="10">
        <f t="shared" si="75"/>
        <v>71.929824561403507</v>
      </c>
      <c r="N1607" s="10">
        <f t="shared" si="76"/>
        <v>72</v>
      </c>
      <c r="O1607" s="6" t="s">
        <v>18</v>
      </c>
      <c r="P1607" s="6">
        <v>2</v>
      </c>
      <c r="Q1607" s="6">
        <v>1</v>
      </c>
      <c r="R1607" s="6">
        <v>2</v>
      </c>
      <c r="S1607" s="6">
        <v>5</v>
      </c>
      <c r="T1607" s="6" t="str">
        <f t="shared" si="77"/>
        <v>Sexta</v>
      </c>
    </row>
    <row r="1608" spans="1:20">
      <c r="A1608" s="7" t="s">
        <v>3205</v>
      </c>
      <c r="B1608" s="7" t="s">
        <v>507</v>
      </c>
      <c r="C1608" s="8">
        <v>2</v>
      </c>
      <c r="D1608" s="7" t="s">
        <v>3217</v>
      </c>
      <c r="E1608" s="7" t="s">
        <v>3304</v>
      </c>
      <c r="F1608">
        <v>1091</v>
      </c>
      <c r="G1608" s="6">
        <v>27709</v>
      </c>
      <c r="H1608" s="11" t="s">
        <v>3305</v>
      </c>
      <c r="I1608" s="6">
        <v>25</v>
      </c>
      <c r="J1608" s="6">
        <v>3</v>
      </c>
      <c r="K1608" s="6">
        <v>12</v>
      </c>
      <c r="L1608" s="6">
        <v>80</v>
      </c>
      <c r="M1608" s="10">
        <f t="shared" si="75"/>
        <v>15</v>
      </c>
      <c r="N1608" s="10">
        <f t="shared" si="76"/>
        <v>15</v>
      </c>
      <c r="O1608" s="6" t="s">
        <v>299</v>
      </c>
      <c r="P1608" s="6">
        <v>0</v>
      </c>
      <c r="Q1608" s="6">
        <v>1</v>
      </c>
      <c r="R1608" s="6">
        <v>0</v>
      </c>
      <c r="S1608" s="6">
        <v>1</v>
      </c>
      <c r="T1608" s="6" t="str">
        <f t="shared" si="77"/>
        <v>Sexta</v>
      </c>
    </row>
    <row r="1609" spans="1:20">
      <c r="A1609" s="7" t="s">
        <v>3205</v>
      </c>
      <c r="B1609" s="7" t="s">
        <v>526</v>
      </c>
      <c r="C1609" s="8">
        <v>1</v>
      </c>
      <c r="D1609" s="7" t="s">
        <v>3205</v>
      </c>
      <c r="E1609" s="7" t="s">
        <v>3290</v>
      </c>
      <c r="F1609">
        <v>1141</v>
      </c>
      <c r="G1609" s="6">
        <v>26074</v>
      </c>
      <c r="H1609" s="11" t="s">
        <v>3291</v>
      </c>
      <c r="I1609" s="6">
        <v>15</v>
      </c>
      <c r="J1609" s="6">
        <v>10</v>
      </c>
      <c r="K1609" s="6">
        <v>27</v>
      </c>
      <c r="L1609" s="6">
        <v>64</v>
      </c>
      <c r="M1609" s="10">
        <f t="shared" si="75"/>
        <v>42.1875</v>
      </c>
      <c r="N1609" s="10">
        <f t="shared" si="76"/>
        <v>43</v>
      </c>
      <c r="O1609" s="6" t="s">
        <v>27</v>
      </c>
      <c r="P1609" s="6">
        <v>1</v>
      </c>
      <c r="Q1609" s="6">
        <v>0</v>
      </c>
      <c r="R1609" s="6">
        <v>2</v>
      </c>
      <c r="S1609" s="6">
        <v>3</v>
      </c>
      <c r="T1609" s="6" t="str">
        <f t="shared" si="77"/>
        <v>Sexta</v>
      </c>
    </row>
    <row r="1610" spans="1:20">
      <c r="A1610" s="7" t="s">
        <v>3205</v>
      </c>
      <c r="B1610" s="7" t="s">
        <v>526</v>
      </c>
      <c r="C1610" s="8">
        <v>1</v>
      </c>
      <c r="D1610" s="7" t="s">
        <v>3205</v>
      </c>
      <c r="E1610" s="7" t="s">
        <v>3302</v>
      </c>
      <c r="F1610">
        <v>1168</v>
      </c>
      <c r="G1610" s="6">
        <v>25972</v>
      </c>
      <c r="H1610" s="11" t="s">
        <v>3303</v>
      </c>
      <c r="I1610" s="6">
        <v>16</v>
      </c>
      <c r="J1610" s="6">
        <v>16</v>
      </c>
      <c r="K1610" s="6">
        <v>41</v>
      </c>
      <c r="L1610" s="6">
        <v>57</v>
      </c>
      <c r="M1610" s="10">
        <f t="shared" si="75"/>
        <v>71.929824561403507</v>
      </c>
      <c r="N1610" s="10">
        <f t="shared" si="76"/>
        <v>72</v>
      </c>
      <c r="O1610" s="6" t="s">
        <v>18</v>
      </c>
      <c r="P1610" s="6">
        <v>2</v>
      </c>
      <c r="Q1610" s="6">
        <v>1</v>
      </c>
      <c r="R1610" s="6">
        <v>2</v>
      </c>
      <c r="S1610" s="6">
        <v>5</v>
      </c>
      <c r="T1610" s="6" t="str">
        <f t="shared" si="77"/>
        <v>Sexta</v>
      </c>
    </row>
    <row r="1611" spans="1:20">
      <c r="A1611" s="7" t="s">
        <v>3205</v>
      </c>
      <c r="B1611" s="7" t="s">
        <v>526</v>
      </c>
      <c r="C1611" s="8">
        <v>1</v>
      </c>
      <c r="D1611" s="7" t="s">
        <v>3205</v>
      </c>
      <c r="E1611" s="7" t="s">
        <v>3306</v>
      </c>
      <c r="F1611">
        <v>1057</v>
      </c>
      <c r="G1611" s="6">
        <v>27446</v>
      </c>
      <c r="H1611" s="11" t="s">
        <v>3307</v>
      </c>
      <c r="I1611" s="6">
        <v>8</v>
      </c>
      <c r="J1611" s="6">
        <v>12</v>
      </c>
      <c r="K1611" s="6">
        <v>26</v>
      </c>
      <c r="L1611" s="6">
        <v>38</v>
      </c>
      <c r="M1611" s="10">
        <f t="shared" si="75"/>
        <v>68.421052631578945</v>
      </c>
      <c r="N1611" s="10">
        <f t="shared" si="76"/>
        <v>69</v>
      </c>
      <c r="O1611" s="6" t="s">
        <v>18</v>
      </c>
      <c r="P1611" s="6">
        <v>1</v>
      </c>
      <c r="Q1611" s="6">
        <v>0</v>
      </c>
      <c r="R1611" s="6">
        <v>2</v>
      </c>
      <c r="S1611" s="6">
        <v>3</v>
      </c>
      <c r="T1611" s="6" t="str">
        <f t="shared" si="77"/>
        <v>Septima</v>
      </c>
    </row>
    <row r="1612" spans="1:20">
      <c r="A1612" s="7" t="s">
        <v>3205</v>
      </c>
      <c r="B1612" s="7" t="s">
        <v>526</v>
      </c>
      <c r="C1612" s="8">
        <v>1</v>
      </c>
      <c r="D1612" s="7" t="s">
        <v>3205</v>
      </c>
      <c r="E1612" s="7" t="s">
        <v>3308</v>
      </c>
      <c r="F1612">
        <v>1103</v>
      </c>
      <c r="G1612" s="6">
        <v>27706</v>
      </c>
      <c r="H1612" s="11" t="s">
        <v>3309</v>
      </c>
      <c r="I1612" s="6">
        <v>14</v>
      </c>
      <c r="J1612" s="6">
        <v>14</v>
      </c>
      <c r="K1612" s="6">
        <v>39</v>
      </c>
      <c r="L1612" s="6">
        <v>46</v>
      </c>
      <c r="M1612" s="10">
        <f t="shared" si="75"/>
        <v>84.782608695652172</v>
      </c>
      <c r="N1612" s="10">
        <f t="shared" si="76"/>
        <v>85</v>
      </c>
      <c r="O1612" s="6" t="s">
        <v>18</v>
      </c>
      <c r="P1612" s="6">
        <v>1</v>
      </c>
      <c r="Q1612" s="6">
        <v>0</v>
      </c>
      <c r="R1612" s="6">
        <v>4</v>
      </c>
      <c r="S1612" s="6">
        <v>5</v>
      </c>
      <c r="T1612" s="6" t="str">
        <f t="shared" si="77"/>
        <v>Sexta</v>
      </c>
    </row>
    <row r="1613" spans="1:20">
      <c r="A1613" s="7" t="s">
        <v>3205</v>
      </c>
      <c r="B1613" s="7" t="s">
        <v>526</v>
      </c>
      <c r="C1613" s="8">
        <v>1</v>
      </c>
      <c r="D1613" s="7" t="s">
        <v>3205</v>
      </c>
      <c r="E1613" s="7" t="s">
        <v>3310</v>
      </c>
      <c r="F1613">
        <v>1009</v>
      </c>
      <c r="G1613" s="6">
        <v>26617</v>
      </c>
      <c r="H1613" s="11" t="s">
        <v>3311</v>
      </c>
      <c r="I1613" s="6">
        <v>17</v>
      </c>
      <c r="J1613" s="6">
        <v>5</v>
      </c>
      <c r="K1613" s="6">
        <v>7</v>
      </c>
      <c r="L1613" s="6">
        <v>33</v>
      </c>
      <c r="M1613" s="10">
        <f t="shared" si="75"/>
        <v>21.212121212121211</v>
      </c>
      <c r="N1613" s="10">
        <f t="shared" si="76"/>
        <v>22</v>
      </c>
      <c r="O1613" s="6" t="s">
        <v>203</v>
      </c>
      <c r="P1613" s="6">
        <v>0</v>
      </c>
      <c r="Q1613" s="6">
        <v>0</v>
      </c>
      <c r="R1613" s="6">
        <v>1</v>
      </c>
      <c r="S1613" s="6">
        <v>1</v>
      </c>
      <c r="T1613" s="6" t="str">
        <f t="shared" si="77"/>
        <v>Septima</v>
      </c>
    </row>
    <row r="1614" spans="1:20">
      <c r="A1614" s="7" t="s">
        <v>3312</v>
      </c>
      <c r="B1614" s="7" t="s">
        <v>483</v>
      </c>
      <c r="C1614" s="8">
        <v>1</v>
      </c>
      <c r="D1614" s="7" t="s">
        <v>3312</v>
      </c>
      <c r="E1614" s="7" t="s">
        <v>3313</v>
      </c>
      <c r="F1614">
        <v>1751</v>
      </c>
      <c r="G1614" s="6">
        <v>1148</v>
      </c>
      <c r="H1614" s="11" t="s">
        <v>3314</v>
      </c>
      <c r="I1614" s="6">
        <v>32</v>
      </c>
      <c r="J1614" s="6">
        <v>83</v>
      </c>
      <c r="K1614" s="6">
        <v>242</v>
      </c>
      <c r="L1614" s="6">
        <v>48</v>
      </c>
      <c r="M1614" s="10">
        <f t="shared" si="75"/>
        <v>504.16666666666669</v>
      </c>
      <c r="N1614" s="10">
        <f t="shared" si="76"/>
        <v>505</v>
      </c>
      <c r="O1614" s="6" t="s">
        <v>12</v>
      </c>
      <c r="P1614" s="6">
        <v>7</v>
      </c>
      <c r="Q1614" s="6">
        <v>4</v>
      </c>
      <c r="R1614" s="6">
        <v>18</v>
      </c>
      <c r="S1614" s="6">
        <v>29</v>
      </c>
      <c r="T1614" s="6" t="str">
        <f t="shared" si="77"/>
        <v>Tercera</v>
      </c>
    </row>
    <row r="1615" spans="1:20">
      <c r="A1615" s="7" t="s">
        <v>3312</v>
      </c>
      <c r="B1615" s="7" t="s">
        <v>483</v>
      </c>
      <c r="C1615" s="8">
        <v>1</v>
      </c>
      <c r="D1615" s="7" t="s">
        <v>3312</v>
      </c>
      <c r="E1615" s="7" t="s">
        <v>3315</v>
      </c>
      <c r="F1615">
        <v>1807</v>
      </c>
      <c r="G1615" s="6">
        <v>26546</v>
      </c>
      <c r="H1615" s="11" t="s">
        <v>3316</v>
      </c>
      <c r="I1615" s="6">
        <v>58</v>
      </c>
      <c r="J1615" s="6">
        <v>28</v>
      </c>
      <c r="K1615" s="6">
        <v>123</v>
      </c>
      <c r="L1615" s="6">
        <v>73</v>
      </c>
      <c r="M1615" s="10">
        <f t="shared" si="75"/>
        <v>168.49315068493149</v>
      </c>
      <c r="N1615" s="10">
        <f t="shared" si="76"/>
        <v>169</v>
      </c>
      <c r="O1615" s="6" t="s">
        <v>12</v>
      </c>
      <c r="P1615" s="6">
        <v>11</v>
      </c>
      <c r="Q1615" s="6">
        <v>5</v>
      </c>
      <c r="R1615" s="6">
        <v>2</v>
      </c>
      <c r="S1615" s="6">
        <v>18</v>
      </c>
      <c r="T1615" s="6" t="str">
        <f t="shared" si="77"/>
        <v>Segunda</v>
      </c>
    </row>
    <row r="1616" spans="1:20">
      <c r="A1616" s="7" t="s">
        <v>3312</v>
      </c>
      <c r="B1616" s="7" t="s">
        <v>483</v>
      </c>
      <c r="C1616" s="8">
        <v>1</v>
      </c>
      <c r="D1616" s="7" t="s">
        <v>3312</v>
      </c>
      <c r="E1616" s="7" t="s">
        <v>3317</v>
      </c>
      <c r="F1616">
        <v>1591</v>
      </c>
      <c r="G1616" s="6">
        <v>23050</v>
      </c>
      <c r="H1616" s="11" t="s">
        <v>3318</v>
      </c>
      <c r="I1616" s="6">
        <v>46</v>
      </c>
      <c r="J1616" s="6">
        <v>88</v>
      </c>
      <c r="K1616" s="6">
        <v>226</v>
      </c>
      <c r="L1616" s="6">
        <v>56</v>
      </c>
      <c r="M1616" s="10">
        <f t="shared" si="75"/>
        <v>403.57142857142856</v>
      </c>
      <c r="N1616" s="10">
        <f t="shared" si="76"/>
        <v>404</v>
      </c>
      <c r="O1616" s="6" t="s">
        <v>20</v>
      </c>
      <c r="P1616" s="6">
        <v>10</v>
      </c>
      <c r="Q1616" s="6">
        <v>9</v>
      </c>
      <c r="R1616" s="6">
        <v>15</v>
      </c>
      <c r="S1616" s="6">
        <v>34</v>
      </c>
      <c r="T1616" s="6" t="str">
        <f t="shared" si="77"/>
        <v>Cuarta</v>
      </c>
    </row>
    <row r="1617" spans="1:20">
      <c r="A1617" s="7" t="s">
        <v>3312</v>
      </c>
      <c r="B1617" s="7" t="s">
        <v>483</v>
      </c>
      <c r="C1617" s="8">
        <v>1</v>
      </c>
      <c r="D1617" s="7" t="s">
        <v>3312</v>
      </c>
      <c r="E1617" s="7" t="s">
        <v>3319</v>
      </c>
      <c r="F1617">
        <v>1651</v>
      </c>
      <c r="G1617" s="6">
        <v>26569</v>
      </c>
      <c r="H1617" s="11" t="s">
        <v>3320</v>
      </c>
      <c r="I1617" s="6">
        <v>33</v>
      </c>
      <c r="J1617" s="6">
        <v>77</v>
      </c>
      <c r="K1617" s="6">
        <v>217</v>
      </c>
      <c r="L1617" s="6">
        <v>58</v>
      </c>
      <c r="M1617" s="10">
        <f t="shared" si="75"/>
        <v>374.13793103448273</v>
      </c>
      <c r="N1617" s="10">
        <f t="shared" si="76"/>
        <v>375</v>
      </c>
      <c r="O1617" s="6" t="s">
        <v>12</v>
      </c>
      <c r="P1617" s="6">
        <v>9</v>
      </c>
      <c r="Q1617" s="6">
        <v>13</v>
      </c>
      <c r="R1617" s="6">
        <v>13</v>
      </c>
      <c r="S1617" s="6">
        <v>35</v>
      </c>
      <c r="T1617" s="6" t="str">
        <f t="shared" si="77"/>
        <v>Tercera</v>
      </c>
    </row>
    <row r="1618" spans="1:20">
      <c r="A1618" s="7" t="s">
        <v>3312</v>
      </c>
      <c r="B1618" s="7" t="s">
        <v>483</v>
      </c>
      <c r="C1618" s="8">
        <v>1</v>
      </c>
      <c r="D1618" s="7" t="s">
        <v>3312</v>
      </c>
      <c r="E1618" s="7" t="s">
        <v>3321</v>
      </c>
      <c r="F1618">
        <v>1574</v>
      </c>
      <c r="G1618" s="6">
        <v>7754</v>
      </c>
      <c r="H1618" s="11" t="s">
        <v>3322</v>
      </c>
      <c r="I1618" s="6">
        <v>52</v>
      </c>
      <c r="J1618" s="6">
        <v>217</v>
      </c>
      <c r="K1618" s="6">
        <v>566</v>
      </c>
      <c r="L1618" s="6">
        <v>44</v>
      </c>
      <c r="M1618" s="10">
        <f t="shared" si="75"/>
        <v>1286.3636363636363</v>
      </c>
      <c r="N1618" s="10">
        <f t="shared" si="76"/>
        <v>1287</v>
      </c>
      <c r="O1618" s="6" t="s">
        <v>18</v>
      </c>
      <c r="P1618" s="6">
        <v>3</v>
      </c>
      <c r="Q1618" s="6">
        <v>17</v>
      </c>
      <c r="R1618" s="6">
        <v>29</v>
      </c>
      <c r="S1618" s="6">
        <v>49</v>
      </c>
      <c r="T1618" s="6" t="str">
        <f t="shared" si="77"/>
        <v>Cuarta</v>
      </c>
    </row>
    <row r="1619" spans="1:20">
      <c r="A1619" s="7" t="s">
        <v>3312</v>
      </c>
      <c r="B1619" s="7" t="s">
        <v>483</v>
      </c>
      <c r="C1619" s="8">
        <v>1</v>
      </c>
      <c r="D1619" s="7" t="s">
        <v>3312</v>
      </c>
      <c r="E1619" s="7" t="s">
        <v>3323</v>
      </c>
      <c r="F1619">
        <v>1114</v>
      </c>
      <c r="G1619" s="6">
        <v>13741</v>
      </c>
      <c r="H1619" s="11" t="s">
        <v>3324</v>
      </c>
      <c r="I1619" s="6">
        <v>61</v>
      </c>
      <c r="J1619" s="6">
        <v>96</v>
      </c>
      <c r="K1619" s="6">
        <v>200</v>
      </c>
      <c r="L1619" s="6">
        <v>42</v>
      </c>
      <c r="M1619" s="10">
        <f t="shared" si="75"/>
        <v>476.1904761904762</v>
      </c>
      <c r="N1619" s="10">
        <f t="shared" si="76"/>
        <v>477</v>
      </c>
      <c r="O1619" s="6" t="s">
        <v>26</v>
      </c>
      <c r="P1619" s="6">
        <v>5</v>
      </c>
      <c r="Q1619" s="6">
        <v>4</v>
      </c>
      <c r="R1619" s="6">
        <v>8</v>
      </c>
      <c r="S1619" s="6">
        <v>17</v>
      </c>
      <c r="T1619" s="6" t="str">
        <f t="shared" si="77"/>
        <v>Sexta</v>
      </c>
    </row>
    <row r="1620" spans="1:20">
      <c r="A1620" s="7" t="s">
        <v>3312</v>
      </c>
      <c r="B1620" s="7" t="s">
        <v>496</v>
      </c>
      <c r="C1620" s="8">
        <v>1</v>
      </c>
      <c r="D1620" s="7" t="s">
        <v>3325</v>
      </c>
      <c r="E1620" s="7" t="s">
        <v>3326</v>
      </c>
      <c r="F1620">
        <v>1513</v>
      </c>
      <c r="G1620" s="6">
        <v>25794</v>
      </c>
      <c r="H1620" s="11" t="s">
        <v>3327</v>
      </c>
      <c r="I1620" s="6">
        <v>16</v>
      </c>
      <c r="J1620" s="6">
        <v>29</v>
      </c>
      <c r="K1620" s="6">
        <v>86</v>
      </c>
      <c r="L1620" s="6">
        <v>57</v>
      </c>
      <c r="M1620" s="10">
        <f t="shared" si="75"/>
        <v>150.87719298245614</v>
      </c>
      <c r="N1620" s="10">
        <f t="shared" si="76"/>
        <v>151</v>
      </c>
      <c r="O1620" s="6" t="s">
        <v>12</v>
      </c>
      <c r="P1620" s="6">
        <v>6</v>
      </c>
      <c r="Q1620" s="6">
        <v>2</v>
      </c>
      <c r="R1620" s="6">
        <v>0</v>
      </c>
      <c r="S1620" s="6">
        <v>8</v>
      </c>
      <c r="T1620" s="6" t="str">
        <f t="shared" si="77"/>
        <v>Cuarta</v>
      </c>
    </row>
    <row r="1621" spans="1:20">
      <c r="A1621" s="7" t="s">
        <v>3312</v>
      </c>
      <c r="B1621" s="7" t="s">
        <v>496</v>
      </c>
      <c r="C1621" s="8">
        <v>1</v>
      </c>
      <c r="D1621" s="7" t="s">
        <v>3325</v>
      </c>
      <c r="E1621" s="7" t="s">
        <v>3328</v>
      </c>
      <c r="F1621">
        <v>1430</v>
      </c>
      <c r="G1621" s="6">
        <v>21236</v>
      </c>
      <c r="H1621" s="11" t="s">
        <v>3329</v>
      </c>
      <c r="I1621" s="6">
        <v>47</v>
      </c>
      <c r="J1621" s="6">
        <v>29</v>
      </c>
      <c r="K1621" s="6">
        <v>89</v>
      </c>
      <c r="L1621" s="6">
        <v>59</v>
      </c>
      <c r="M1621" s="10">
        <f t="shared" si="75"/>
        <v>150.84745762711864</v>
      </c>
      <c r="N1621" s="10">
        <f t="shared" si="76"/>
        <v>151</v>
      </c>
      <c r="O1621" s="6" t="s">
        <v>12</v>
      </c>
      <c r="P1621" s="6">
        <v>3</v>
      </c>
      <c r="Q1621" s="6">
        <v>7</v>
      </c>
      <c r="R1621" s="6">
        <v>3</v>
      </c>
      <c r="S1621" s="6">
        <v>13</v>
      </c>
      <c r="T1621" s="6" t="str">
        <f t="shared" si="77"/>
        <v>Cuarta</v>
      </c>
    </row>
    <row r="1622" spans="1:20">
      <c r="A1622" s="7" t="s">
        <v>3312</v>
      </c>
      <c r="B1622" s="7" t="s">
        <v>496</v>
      </c>
      <c r="C1622" s="8">
        <v>1</v>
      </c>
      <c r="D1622" s="7" t="s">
        <v>3325</v>
      </c>
      <c r="E1622" s="7" t="s">
        <v>3330</v>
      </c>
      <c r="F1622">
        <v>1638</v>
      </c>
      <c r="G1622" s="6">
        <v>25798</v>
      </c>
      <c r="H1622" s="11" t="s">
        <v>3331</v>
      </c>
      <c r="I1622" s="6">
        <v>16</v>
      </c>
      <c r="J1622" s="6">
        <v>41</v>
      </c>
      <c r="K1622" s="6">
        <v>132</v>
      </c>
      <c r="L1622" s="6">
        <v>65</v>
      </c>
      <c r="M1622" s="10">
        <f t="shared" si="75"/>
        <v>203.07692307692307</v>
      </c>
      <c r="N1622" s="10">
        <f t="shared" si="76"/>
        <v>204</v>
      </c>
      <c r="O1622" s="6" t="s">
        <v>12</v>
      </c>
      <c r="P1622" s="6">
        <v>4</v>
      </c>
      <c r="Q1622" s="6">
        <v>6</v>
      </c>
      <c r="R1622" s="6">
        <v>11</v>
      </c>
      <c r="S1622" s="6">
        <v>21</v>
      </c>
      <c r="T1622" s="6" t="str">
        <f t="shared" si="77"/>
        <v>Tercera</v>
      </c>
    </row>
    <row r="1623" spans="1:20">
      <c r="A1623" s="7" t="s">
        <v>3312</v>
      </c>
      <c r="B1623" s="7" t="s">
        <v>496</v>
      </c>
      <c r="C1623" s="8">
        <v>1</v>
      </c>
      <c r="D1623" s="7" t="s">
        <v>3325</v>
      </c>
      <c r="E1623" s="7" t="s">
        <v>3332</v>
      </c>
      <c r="F1623">
        <v>1473</v>
      </c>
      <c r="G1623" s="6">
        <v>20800</v>
      </c>
      <c r="H1623" s="11" t="s">
        <v>3333</v>
      </c>
      <c r="I1623" s="6">
        <v>21</v>
      </c>
      <c r="J1623" s="6">
        <v>38</v>
      </c>
      <c r="K1623" s="6">
        <v>117</v>
      </c>
      <c r="L1623" s="6">
        <v>49</v>
      </c>
      <c r="M1623" s="10">
        <f t="shared" si="75"/>
        <v>238.77551020408163</v>
      </c>
      <c r="N1623" s="10">
        <f t="shared" si="76"/>
        <v>239</v>
      </c>
      <c r="O1623" s="6" t="s">
        <v>118</v>
      </c>
      <c r="P1623" s="6">
        <v>3</v>
      </c>
      <c r="Q1623" s="6">
        <v>5</v>
      </c>
      <c r="R1623" s="6">
        <v>5</v>
      </c>
      <c r="S1623" s="6">
        <v>13</v>
      </c>
      <c r="T1623" s="6" t="str">
        <f t="shared" si="77"/>
        <v>Cuarta</v>
      </c>
    </row>
    <row r="1624" spans="1:20">
      <c r="A1624" s="7" t="s">
        <v>3312</v>
      </c>
      <c r="B1624" s="7" t="s">
        <v>496</v>
      </c>
      <c r="C1624" s="8">
        <v>1</v>
      </c>
      <c r="D1624" s="7" t="s">
        <v>3325</v>
      </c>
      <c r="E1624" s="7" t="s">
        <v>3334</v>
      </c>
      <c r="F1624">
        <v>1395</v>
      </c>
      <c r="G1624" s="6">
        <v>21235</v>
      </c>
      <c r="H1624" s="11" t="s">
        <v>3335</v>
      </c>
      <c r="I1624" s="6">
        <v>43</v>
      </c>
      <c r="J1624" s="6">
        <v>43</v>
      </c>
      <c r="K1624" s="6">
        <v>110</v>
      </c>
      <c r="L1624" s="6">
        <v>59</v>
      </c>
      <c r="M1624" s="10">
        <f t="shared" si="75"/>
        <v>186.4406779661017</v>
      </c>
      <c r="N1624" s="10">
        <f t="shared" si="76"/>
        <v>187</v>
      </c>
      <c r="O1624" s="6" t="s">
        <v>69</v>
      </c>
      <c r="P1624" s="6">
        <v>2</v>
      </c>
      <c r="Q1624" s="6">
        <v>10</v>
      </c>
      <c r="R1624" s="6">
        <v>8</v>
      </c>
      <c r="S1624" s="6">
        <v>20</v>
      </c>
      <c r="T1624" s="6" t="str">
        <f t="shared" si="77"/>
        <v>Quinta</v>
      </c>
    </row>
    <row r="1625" spans="1:20">
      <c r="A1625" s="7" t="s">
        <v>3312</v>
      </c>
      <c r="B1625" s="7" t="s">
        <v>496</v>
      </c>
      <c r="C1625" s="8">
        <v>1</v>
      </c>
      <c r="D1625" s="7" t="s">
        <v>3325</v>
      </c>
      <c r="E1625" s="7" t="s">
        <v>3336</v>
      </c>
      <c r="F1625">
        <v>1407</v>
      </c>
      <c r="G1625" s="6">
        <v>25504</v>
      </c>
      <c r="H1625" s="9" t="s">
        <v>3337</v>
      </c>
      <c r="I1625" s="6">
        <v>37</v>
      </c>
      <c r="J1625" s="6">
        <v>64</v>
      </c>
      <c r="K1625" s="6">
        <v>153</v>
      </c>
      <c r="L1625" s="6">
        <v>53</v>
      </c>
      <c r="M1625" s="10">
        <f t="shared" si="75"/>
        <v>288.67924528301887</v>
      </c>
      <c r="N1625" s="10">
        <f t="shared" si="76"/>
        <v>289</v>
      </c>
      <c r="O1625" s="6" t="s">
        <v>12</v>
      </c>
      <c r="P1625" s="6">
        <v>2</v>
      </c>
      <c r="Q1625" s="6">
        <v>5</v>
      </c>
      <c r="R1625" s="6">
        <v>11</v>
      </c>
      <c r="S1625" s="6">
        <v>18</v>
      </c>
      <c r="T1625" s="6" t="str">
        <f t="shared" si="77"/>
        <v>Cuarta</v>
      </c>
    </row>
    <row r="1626" spans="1:20">
      <c r="A1626" s="7" t="s">
        <v>3312</v>
      </c>
      <c r="B1626" s="7" t="s">
        <v>496</v>
      </c>
      <c r="C1626" s="8">
        <v>1</v>
      </c>
      <c r="D1626" s="7" t="s">
        <v>3325</v>
      </c>
      <c r="E1626" s="7" t="s">
        <v>3338</v>
      </c>
      <c r="F1626">
        <v>1206</v>
      </c>
      <c r="G1626" s="6">
        <v>29408</v>
      </c>
      <c r="H1626" s="11" t="s">
        <v>3339</v>
      </c>
      <c r="I1626" s="6">
        <v>48</v>
      </c>
      <c r="J1626" s="6">
        <v>6</v>
      </c>
      <c r="K1626" s="6">
        <v>22</v>
      </c>
      <c r="L1626" s="6">
        <v>76</v>
      </c>
      <c r="M1626" s="10">
        <f t="shared" si="75"/>
        <v>28.94736842105263</v>
      </c>
      <c r="N1626" s="10">
        <f t="shared" si="76"/>
        <v>29</v>
      </c>
      <c r="O1626" s="6" t="s">
        <v>26</v>
      </c>
      <c r="P1626" s="6">
        <v>1</v>
      </c>
      <c r="Q1626" s="6">
        <v>1</v>
      </c>
      <c r="R1626" s="6">
        <v>1</v>
      </c>
      <c r="S1626" s="6">
        <v>3</v>
      </c>
      <c r="T1626" s="6" t="str">
        <f t="shared" si="77"/>
        <v>Quinta</v>
      </c>
    </row>
    <row r="1627" spans="1:20">
      <c r="A1627" s="7" t="s">
        <v>3312</v>
      </c>
      <c r="B1627" s="7" t="s">
        <v>496</v>
      </c>
      <c r="C1627" s="8">
        <v>2</v>
      </c>
      <c r="D1627" s="7" t="s">
        <v>3340</v>
      </c>
      <c r="E1627" s="7" t="s">
        <v>3341</v>
      </c>
      <c r="F1627">
        <v>1528</v>
      </c>
      <c r="G1627" s="6">
        <v>2194</v>
      </c>
      <c r="H1627" s="11" t="s">
        <v>3342</v>
      </c>
      <c r="I1627" s="6">
        <v>62</v>
      </c>
      <c r="J1627" s="6">
        <v>1</v>
      </c>
      <c r="K1627" s="6">
        <v>0</v>
      </c>
      <c r="L1627" s="6">
        <v>0</v>
      </c>
      <c r="M1627" s="10">
        <f t="shared" si="75"/>
        <v>0</v>
      </c>
      <c r="N1627" s="10">
        <f t="shared" si="76"/>
        <v>0</v>
      </c>
      <c r="O1627" s="6" t="s">
        <v>388</v>
      </c>
      <c r="P1627" s="6">
        <v>0</v>
      </c>
      <c r="Q1627" s="6">
        <v>0</v>
      </c>
      <c r="R1627" s="6">
        <v>0</v>
      </c>
      <c r="S1627" s="6">
        <v>0</v>
      </c>
      <c r="T1627" s="6" t="str">
        <f t="shared" si="77"/>
        <v>Cuarta</v>
      </c>
    </row>
    <row r="1628" spans="1:20">
      <c r="A1628" s="7" t="s">
        <v>3312</v>
      </c>
      <c r="B1628" s="7" t="s">
        <v>496</v>
      </c>
      <c r="C1628" s="8">
        <v>2</v>
      </c>
      <c r="D1628" s="7" t="s">
        <v>3340</v>
      </c>
      <c r="E1628" s="7" t="s">
        <v>3343</v>
      </c>
      <c r="F1628">
        <v>1558</v>
      </c>
      <c r="G1628" s="6">
        <v>24534</v>
      </c>
      <c r="H1628" s="11" t="s">
        <v>3344</v>
      </c>
      <c r="I1628" s="6">
        <v>52</v>
      </c>
      <c r="J1628" s="6">
        <v>73</v>
      </c>
      <c r="K1628" s="6">
        <v>206</v>
      </c>
      <c r="L1628" s="6">
        <v>59</v>
      </c>
      <c r="M1628" s="10">
        <f t="shared" si="75"/>
        <v>349.15254237288133</v>
      </c>
      <c r="N1628" s="10">
        <f t="shared" si="76"/>
        <v>350</v>
      </c>
      <c r="O1628" s="6" t="s">
        <v>12</v>
      </c>
      <c r="P1628" s="6">
        <v>8</v>
      </c>
      <c r="Q1628" s="6">
        <v>8</v>
      </c>
      <c r="R1628" s="6">
        <v>17</v>
      </c>
      <c r="S1628" s="6">
        <v>33</v>
      </c>
      <c r="T1628" s="6" t="str">
        <f t="shared" si="77"/>
        <v>Cuarta</v>
      </c>
    </row>
    <row r="1629" spans="1:20">
      <c r="A1629" s="7" t="s">
        <v>3312</v>
      </c>
      <c r="B1629" s="7" t="s">
        <v>496</v>
      </c>
      <c r="C1629" s="8">
        <v>2</v>
      </c>
      <c r="D1629" s="7" t="s">
        <v>3340</v>
      </c>
      <c r="E1629" s="7" t="s">
        <v>3345</v>
      </c>
      <c r="F1629">
        <v>1000</v>
      </c>
      <c r="G1629" s="6">
        <v>13286</v>
      </c>
      <c r="H1629" s="11" t="s">
        <v>3346</v>
      </c>
      <c r="I1629" s="6">
        <v>62</v>
      </c>
      <c r="J1629" s="6">
        <v>0</v>
      </c>
      <c r="K1629" s="6">
        <v>0</v>
      </c>
      <c r="L1629" s="6">
        <v>0</v>
      </c>
      <c r="M1629" s="10">
        <f t="shared" si="75"/>
        <v>0</v>
      </c>
      <c r="N1629" s="10">
        <f t="shared" si="76"/>
        <v>0</v>
      </c>
      <c r="P1629" s="6">
        <v>0</v>
      </c>
      <c r="Q1629" s="6">
        <v>0</v>
      </c>
      <c r="R1629" s="6">
        <v>0</v>
      </c>
      <c r="S1629" s="6">
        <v>0</v>
      </c>
      <c r="T1629" s="6" t="str">
        <f t="shared" si="77"/>
        <v>Septima</v>
      </c>
    </row>
    <row r="1630" spans="1:20">
      <c r="A1630" s="7" t="s">
        <v>3312</v>
      </c>
      <c r="B1630" s="7" t="s">
        <v>496</v>
      </c>
      <c r="C1630" s="8">
        <v>2</v>
      </c>
      <c r="D1630" s="7" t="s">
        <v>3340</v>
      </c>
      <c r="E1630" s="7" t="s">
        <v>3347</v>
      </c>
      <c r="F1630">
        <v>1505</v>
      </c>
      <c r="G1630" s="6">
        <v>26214</v>
      </c>
      <c r="H1630" s="11" t="s">
        <v>3348</v>
      </c>
      <c r="I1630" s="6">
        <v>37</v>
      </c>
      <c r="J1630" s="6">
        <v>49</v>
      </c>
      <c r="K1630" s="6">
        <v>121</v>
      </c>
      <c r="L1630" s="6">
        <v>55</v>
      </c>
      <c r="M1630" s="10">
        <f t="shared" si="75"/>
        <v>220</v>
      </c>
      <c r="N1630" s="10">
        <f t="shared" si="76"/>
        <v>220</v>
      </c>
      <c r="O1630" s="6" t="s">
        <v>12</v>
      </c>
      <c r="P1630" s="6">
        <v>3</v>
      </c>
      <c r="Q1630" s="6">
        <v>5</v>
      </c>
      <c r="R1630" s="6">
        <v>2</v>
      </c>
      <c r="S1630" s="6">
        <v>10</v>
      </c>
      <c r="T1630" s="6" t="str">
        <f t="shared" si="77"/>
        <v>Cuarta</v>
      </c>
    </row>
    <row r="1631" spans="1:20">
      <c r="A1631" s="7" t="s">
        <v>3312</v>
      </c>
      <c r="B1631" s="7" t="s">
        <v>496</v>
      </c>
      <c r="C1631" s="8">
        <v>2</v>
      </c>
      <c r="D1631" s="7" t="s">
        <v>3340</v>
      </c>
      <c r="E1631" s="7" t="s">
        <v>3349</v>
      </c>
      <c r="F1631">
        <v>1446</v>
      </c>
      <c r="G1631" s="6">
        <v>23862</v>
      </c>
      <c r="H1631" s="13" t="s">
        <v>3582</v>
      </c>
      <c r="I1631" s="6">
        <v>57</v>
      </c>
      <c r="J1631" s="6">
        <v>93</v>
      </c>
      <c r="K1631" s="6">
        <v>192</v>
      </c>
      <c r="L1631" s="6">
        <v>48</v>
      </c>
      <c r="M1631" s="10">
        <f t="shared" si="75"/>
        <v>400</v>
      </c>
      <c r="N1631" s="10">
        <f t="shared" si="76"/>
        <v>400</v>
      </c>
      <c r="O1631" s="12">
        <v>46096</v>
      </c>
      <c r="P1631" s="6">
        <v>2</v>
      </c>
      <c r="Q1631" s="6">
        <v>9</v>
      </c>
      <c r="R1631" s="6">
        <v>8</v>
      </c>
      <c r="S1631" s="6">
        <v>19</v>
      </c>
      <c r="T1631" s="6" t="str">
        <f t="shared" si="77"/>
        <v>Cuarta</v>
      </c>
    </row>
    <row r="1632" spans="1:20">
      <c r="A1632" s="7" t="s">
        <v>3312</v>
      </c>
      <c r="B1632" s="7" t="s">
        <v>496</v>
      </c>
      <c r="C1632" s="8">
        <v>2</v>
      </c>
      <c r="D1632" s="7" t="s">
        <v>3340</v>
      </c>
      <c r="E1632" s="7" t="s">
        <v>3350</v>
      </c>
      <c r="F1632">
        <v>1365</v>
      </c>
      <c r="G1632" s="6">
        <v>25636</v>
      </c>
      <c r="H1632" s="11" t="s">
        <v>3351</v>
      </c>
      <c r="I1632" s="6">
        <v>34</v>
      </c>
      <c r="J1632" s="6">
        <v>28</v>
      </c>
      <c r="K1632" s="6">
        <v>75</v>
      </c>
      <c r="L1632" s="6">
        <v>52</v>
      </c>
      <c r="M1632" s="10">
        <f t="shared" si="75"/>
        <v>144.23076923076923</v>
      </c>
      <c r="N1632" s="10">
        <f t="shared" si="76"/>
        <v>145</v>
      </c>
      <c r="O1632" s="6" t="s">
        <v>12</v>
      </c>
      <c r="P1632" s="6">
        <v>3</v>
      </c>
      <c r="Q1632" s="6">
        <v>1</v>
      </c>
      <c r="R1632" s="6">
        <v>5</v>
      </c>
      <c r="S1632" s="6">
        <v>9</v>
      </c>
      <c r="T1632" s="6" t="str">
        <f t="shared" si="77"/>
        <v>Quinta</v>
      </c>
    </row>
    <row r="1633" spans="1:20">
      <c r="A1633" s="7" t="s">
        <v>3312</v>
      </c>
      <c r="B1633" s="7" t="s">
        <v>496</v>
      </c>
      <c r="C1633" s="8">
        <v>2</v>
      </c>
      <c r="D1633" s="7" t="s">
        <v>3340</v>
      </c>
      <c r="E1633" s="7" t="s">
        <v>3352</v>
      </c>
      <c r="F1633">
        <v>1342</v>
      </c>
      <c r="G1633" s="6">
        <v>26323</v>
      </c>
      <c r="H1633" s="11" t="s">
        <v>3353</v>
      </c>
      <c r="I1633" s="6">
        <v>52</v>
      </c>
      <c r="J1633" s="6">
        <v>14</v>
      </c>
      <c r="K1633" s="6">
        <v>55</v>
      </c>
      <c r="L1633" s="6">
        <v>77</v>
      </c>
      <c r="M1633" s="10">
        <f t="shared" si="75"/>
        <v>71.428571428571431</v>
      </c>
      <c r="N1633" s="10">
        <f t="shared" si="76"/>
        <v>72</v>
      </c>
      <c r="O1633" s="6" t="s">
        <v>69</v>
      </c>
      <c r="P1633" s="6">
        <v>4</v>
      </c>
      <c r="Q1633" s="6">
        <v>1</v>
      </c>
      <c r="R1633" s="6">
        <v>5</v>
      </c>
      <c r="S1633" s="6">
        <v>10</v>
      </c>
      <c r="T1633" s="6" t="str">
        <f t="shared" si="77"/>
        <v>Quinta</v>
      </c>
    </row>
    <row r="1634" spans="1:20">
      <c r="A1634" s="7" t="s">
        <v>3312</v>
      </c>
      <c r="B1634" s="7" t="s">
        <v>507</v>
      </c>
      <c r="C1634" s="8">
        <v>1</v>
      </c>
      <c r="D1634" s="7" t="s">
        <v>3325</v>
      </c>
      <c r="E1634" s="7" t="s">
        <v>3336</v>
      </c>
      <c r="F1634">
        <v>1407</v>
      </c>
      <c r="G1634" s="6">
        <v>25504</v>
      </c>
      <c r="H1634" s="11" t="s">
        <v>3337</v>
      </c>
      <c r="I1634" s="6">
        <v>37</v>
      </c>
      <c r="J1634" s="6">
        <v>64</v>
      </c>
      <c r="K1634" s="6">
        <v>153</v>
      </c>
      <c r="L1634" s="6">
        <v>53</v>
      </c>
      <c r="M1634" s="10">
        <f t="shared" si="75"/>
        <v>288.67924528301887</v>
      </c>
      <c r="N1634" s="10">
        <f t="shared" si="76"/>
        <v>289</v>
      </c>
      <c r="O1634" s="6" t="s">
        <v>12</v>
      </c>
      <c r="P1634" s="6">
        <v>2</v>
      </c>
      <c r="Q1634" s="6">
        <v>5</v>
      </c>
      <c r="R1634" s="6">
        <v>11</v>
      </c>
      <c r="S1634" s="6">
        <v>18</v>
      </c>
      <c r="T1634" s="6" t="str">
        <f t="shared" si="77"/>
        <v>Cuarta</v>
      </c>
    </row>
    <row r="1635" spans="1:20">
      <c r="A1635" s="7" t="s">
        <v>3312</v>
      </c>
      <c r="B1635" s="7" t="s">
        <v>507</v>
      </c>
      <c r="C1635" s="8">
        <v>1</v>
      </c>
      <c r="D1635" s="7" t="s">
        <v>3325</v>
      </c>
      <c r="E1635" s="7" t="s">
        <v>3354</v>
      </c>
      <c r="F1635">
        <v>1272</v>
      </c>
      <c r="G1635" s="6">
        <v>14723</v>
      </c>
      <c r="H1635" s="11" t="s">
        <v>3355</v>
      </c>
      <c r="I1635" s="6">
        <v>50</v>
      </c>
      <c r="J1635" s="6">
        <v>71</v>
      </c>
      <c r="K1635" s="6">
        <v>170</v>
      </c>
      <c r="L1635" s="6">
        <v>58</v>
      </c>
      <c r="M1635" s="10">
        <f t="shared" si="75"/>
        <v>293.10344827586209</v>
      </c>
      <c r="N1635" s="10">
        <f t="shared" si="76"/>
        <v>294</v>
      </c>
      <c r="O1635" s="6" t="s">
        <v>27</v>
      </c>
      <c r="P1635" s="6">
        <v>3</v>
      </c>
      <c r="Q1635" s="6">
        <v>5</v>
      </c>
      <c r="R1635" s="6">
        <v>13</v>
      </c>
      <c r="S1635" s="6">
        <v>21</v>
      </c>
      <c r="T1635" s="6" t="str">
        <f t="shared" si="77"/>
        <v>Quinta</v>
      </c>
    </row>
    <row r="1636" spans="1:20">
      <c r="A1636" s="7" t="s">
        <v>3312</v>
      </c>
      <c r="B1636" s="7" t="s">
        <v>507</v>
      </c>
      <c r="C1636" s="8">
        <v>1</v>
      </c>
      <c r="D1636" s="7" t="s">
        <v>3325</v>
      </c>
      <c r="E1636" s="7" t="s">
        <v>3350</v>
      </c>
      <c r="F1636">
        <v>1365</v>
      </c>
      <c r="G1636" s="6">
        <v>25636</v>
      </c>
      <c r="H1636" s="11" t="s">
        <v>3351</v>
      </c>
      <c r="I1636" s="6">
        <v>34</v>
      </c>
      <c r="J1636" s="6">
        <v>28</v>
      </c>
      <c r="K1636" s="6">
        <v>75</v>
      </c>
      <c r="L1636" s="6">
        <v>52</v>
      </c>
      <c r="M1636" s="10">
        <f t="shared" si="75"/>
        <v>144.23076923076923</v>
      </c>
      <c r="N1636" s="10">
        <f t="shared" si="76"/>
        <v>145</v>
      </c>
      <c r="O1636" s="6" t="s">
        <v>12</v>
      </c>
      <c r="P1636" s="6">
        <v>3</v>
      </c>
      <c r="Q1636" s="6">
        <v>1</v>
      </c>
      <c r="R1636" s="6">
        <v>5</v>
      </c>
      <c r="S1636" s="6">
        <v>9</v>
      </c>
      <c r="T1636" s="6" t="str">
        <f t="shared" si="77"/>
        <v>Quinta</v>
      </c>
    </row>
    <row r="1637" spans="1:20">
      <c r="A1637" s="7" t="s">
        <v>3312</v>
      </c>
      <c r="B1637" s="7" t="s">
        <v>507</v>
      </c>
      <c r="C1637" s="8">
        <v>1</v>
      </c>
      <c r="D1637" s="7" t="s">
        <v>3325</v>
      </c>
      <c r="E1637" s="7" t="s">
        <v>3356</v>
      </c>
      <c r="F1637">
        <v>1289</v>
      </c>
      <c r="G1637" s="6">
        <v>28335</v>
      </c>
      <c r="H1637" s="11" t="s">
        <v>3357</v>
      </c>
      <c r="I1637" s="6">
        <v>41</v>
      </c>
      <c r="J1637" s="6">
        <v>44</v>
      </c>
      <c r="K1637" s="6">
        <v>129</v>
      </c>
      <c r="L1637" s="6">
        <v>54</v>
      </c>
      <c r="M1637" s="10">
        <f t="shared" si="75"/>
        <v>238.88888888888889</v>
      </c>
      <c r="N1637" s="10">
        <f t="shared" si="76"/>
        <v>239</v>
      </c>
      <c r="O1637" s="6" t="s">
        <v>12</v>
      </c>
      <c r="P1637" s="6">
        <v>7</v>
      </c>
      <c r="Q1637" s="6">
        <v>6</v>
      </c>
      <c r="R1637" s="6">
        <v>9</v>
      </c>
      <c r="S1637" s="6">
        <v>22</v>
      </c>
      <c r="T1637" s="6" t="str">
        <f t="shared" si="77"/>
        <v>Quinta</v>
      </c>
    </row>
    <row r="1638" spans="1:20">
      <c r="A1638" s="7" t="s">
        <v>3312</v>
      </c>
      <c r="B1638" s="7" t="s">
        <v>507</v>
      </c>
      <c r="C1638" s="8">
        <v>1</v>
      </c>
      <c r="D1638" s="7" t="s">
        <v>3325</v>
      </c>
      <c r="E1638" s="7" t="s">
        <v>3358</v>
      </c>
      <c r="F1638">
        <v>1252</v>
      </c>
      <c r="G1638" s="6">
        <v>26090</v>
      </c>
      <c r="H1638" s="11" t="s">
        <v>3359</v>
      </c>
      <c r="I1638" s="6">
        <v>39</v>
      </c>
      <c r="J1638" s="6">
        <v>17</v>
      </c>
      <c r="K1638" s="6">
        <v>43</v>
      </c>
      <c r="L1638" s="6">
        <v>53</v>
      </c>
      <c r="M1638" s="10">
        <f t="shared" si="75"/>
        <v>81.132075471698116</v>
      </c>
      <c r="N1638" s="10">
        <f t="shared" si="76"/>
        <v>82</v>
      </c>
      <c r="O1638" s="6" t="s">
        <v>304</v>
      </c>
      <c r="P1638" s="6">
        <v>2</v>
      </c>
      <c r="Q1638" s="6">
        <v>3</v>
      </c>
      <c r="R1638" s="6">
        <v>2</v>
      </c>
      <c r="S1638" s="6">
        <v>7</v>
      </c>
      <c r="T1638" s="6" t="str">
        <f t="shared" si="77"/>
        <v>Quinta</v>
      </c>
    </row>
    <row r="1639" spans="1:20">
      <c r="A1639" s="7" t="s">
        <v>3312</v>
      </c>
      <c r="B1639" s="7" t="s">
        <v>507</v>
      </c>
      <c r="C1639" s="8">
        <v>1</v>
      </c>
      <c r="D1639" s="7" t="s">
        <v>3325</v>
      </c>
      <c r="E1639" s="7" t="s">
        <v>3360</v>
      </c>
      <c r="F1639">
        <v>1087</v>
      </c>
      <c r="G1639" s="6">
        <v>29192</v>
      </c>
      <c r="H1639" s="11" t="s">
        <v>3361</v>
      </c>
      <c r="I1639" s="6">
        <v>26</v>
      </c>
      <c r="J1639" s="6">
        <v>5</v>
      </c>
      <c r="K1639" s="6">
        <v>16</v>
      </c>
      <c r="L1639" s="6">
        <v>53</v>
      </c>
      <c r="M1639" s="10">
        <f t="shared" si="75"/>
        <v>30.188679245283019</v>
      </c>
      <c r="N1639" s="10">
        <f t="shared" si="76"/>
        <v>31</v>
      </c>
      <c r="O1639" s="6" t="s">
        <v>90</v>
      </c>
      <c r="P1639" s="6">
        <v>0</v>
      </c>
      <c r="Q1639" s="6">
        <v>1</v>
      </c>
      <c r="R1639" s="6">
        <v>1</v>
      </c>
      <c r="S1639" s="6">
        <v>2</v>
      </c>
      <c r="T1639" s="6" t="str">
        <f t="shared" si="77"/>
        <v>Sexta</v>
      </c>
    </row>
    <row r="1640" spans="1:20">
      <c r="A1640" s="7" t="s">
        <v>3312</v>
      </c>
      <c r="B1640" s="7" t="s">
        <v>507</v>
      </c>
      <c r="C1640" s="8">
        <v>1</v>
      </c>
      <c r="D1640" s="7" t="s">
        <v>3325</v>
      </c>
      <c r="E1640" s="7" t="s">
        <v>3362</v>
      </c>
      <c r="F1640">
        <v>1088</v>
      </c>
      <c r="G1640" s="6">
        <v>26606</v>
      </c>
      <c r="H1640" s="11" t="s">
        <v>3363</v>
      </c>
      <c r="I1640" s="6">
        <v>32</v>
      </c>
      <c r="J1640" s="6">
        <v>17</v>
      </c>
      <c r="K1640" s="6">
        <v>27</v>
      </c>
      <c r="L1640" s="6">
        <v>40</v>
      </c>
      <c r="M1640" s="10">
        <f t="shared" si="75"/>
        <v>67.5</v>
      </c>
      <c r="N1640" s="10">
        <f t="shared" si="76"/>
        <v>68</v>
      </c>
      <c r="O1640" s="6" t="s">
        <v>26</v>
      </c>
      <c r="P1640" s="6">
        <v>1</v>
      </c>
      <c r="Q1640" s="6">
        <v>1</v>
      </c>
      <c r="R1640" s="6">
        <v>2</v>
      </c>
      <c r="S1640" s="6">
        <v>4</v>
      </c>
      <c r="T1640" s="6" t="str">
        <f t="shared" si="77"/>
        <v>Sexta</v>
      </c>
    </row>
    <row r="1641" spans="1:20">
      <c r="A1641" s="7" t="s">
        <v>3312</v>
      </c>
      <c r="B1641" s="7" t="s">
        <v>507</v>
      </c>
      <c r="C1641" s="8">
        <v>2</v>
      </c>
      <c r="D1641" s="7" t="s">
        <v>3340</v>
      </c>
      <c r="E1641" s="7" t="s">
        <v>3364</v>
      </c>
      <c r="F1641">
        <v>1213</v>
      </c>
      <c r="G1641" s="6">
        <v>27435</v>
      </c>
      <c r="H1641" s="11" t="s">
        <v>2938</v>
      </c>
      <c r="I1641" s="6">
        <v>63</v>
      </c>
      <c r="J1641" s="6">
        <v>78</v>
      </c>
      <c r="K1641" s="6">
        <v>164</v>
      </c>
      <c r="L1641" s="6">
        <v>54</v>
      </c>
      <c r="M1641" s="10">
        <f t="shared" si="75"/>
        <v>303.7037037037037</v>
      </c>
      <c r="N1641" s="10">
        <f t="shared" si="76"/>
        <v>304</v>
      </c>
      <c r="O1641" s="6" t="s">
        <v>93</v>
      </c>
      <c r="P1641" s="6">
        <v>4</v>
      </c>
      <c r="Q1641" s="6">
        <v>6</v>
      </c>
      <c r="R1641" s="6">
        <v>19</v>
      </c>
      <c r="S1641" s="6">
        <v>29</v>
      </c>
      <c r="T1641" s="6" t="str">
        <f t="shared" si="77"/>
        <v>Quinta</v>
      </c>
    </row>
    <row r="1642" spans="1:20">
      <c r="A1642" s="7" t="s">
        <v>3312</v>
      </c>
      <c r="B1642" s="7" t="s">
        <v>507</v>
      </c>
      <c r="C1642" s="8">
        <v>2</v>
      </c>
      <c r="D1642" s="7" t="s">
        <v>3340</v>
      </c>
      <c r="E1642" s="7" t="s">
        <v>3349</v>
      </c>
      <c r="F1642">
        <v>1446</v>
      </c>
      <c r="G1642" s="6">
        <v>23862</v>
      </c>
      <c r="H1642" s="13" t="s">
        <v>3582</v>
      </c>
      <c r="I1642" s="6">
        <v>57</v>
      </c>
      <c r="J1642" s="6">
        <v>93</v>
      </c>
      <c r="K1642" s="6">
        <v>192</v>
      </c>
      <c r="L1642" s="6">
        <v>48</v>
      </c>
      <c r="M1642" s="10">
        <f t="shared" si="75"/>
        <v>400</v>
      </c>
      <c r="N1642" s="10">
        <f t="shared" si="76"/>
        <v>400</v>
      </c>
      <c r="O1642" s="12">
        <v>46096</v>
      </c>
      <c r="P1642" s="6">
        <v>2</v>
      </c>
      <c r="Q1642" s="6">
        <v>9</v>
      </c>
      <c r="R1642" s="6">
        <v>8</v>
      </c>
      <c r="S1642" s="6">
        <v>19</v>
      </c>
      <c r="T1642" s="6" t="str">
        <f t="shared" si="77"/>
        <v>Cuarta</v>
      </c>
    </row>
    <row r="1643" spans="1:20">
      <c r="A1643" s="7" t="s">
        <v>3312</v>
      </c>
      <c r="B1643" s="7" t="s">
        <v>507</v>
      </c>
      <c r="C1643" s="8">
        <v>2</v>
      </c>
      <c r="D1643" s="7" t="s">
        <v>3340</v>
      </c>
      <c r="E1643" s="7" t="s">
        <v>3352</v>
      </c>
      <c r="F1643">
        <v>1342</v>
      </c>
      <c r="G1643" s="6">
        <v>26323</v>
      </c>
      <c r="H1643" s="11" t="s">
        <v>3353</v>
      </c>
      <c r="I1643" s="6">
        <v>52</v>
      </c>
      <c r="J1643" s="6">
        <v>14</v>
      </c>
      <c r="K1643" s="6">
        <v>55</v>
      </c>
      <c r="L1643" s="6">
        <v>77</v>
      </c>
      <c r="M1643" s="10">
        <f t="shared" si="75"/>
        <v>71.428571428571431</v>
      </c>
      <c r="N1643" s="10">
        <f t="shared" si="76"/>
        <v>72</v>
      </c>
      <c r="O1643" s="6" t="s">
        <v>69</v>
      </c>
      <c r="P1643" s="6">
        <v>4</v>
      </c>
      <c r="Q1643" s="6">
        <v>1</v>
      </c>
      <c r="R1643" s="6">
        <v>5</v>
      </c>
      <c r="S1643" s="6">
        <v>10</v>
      </c>
      <c r="T1643" s="6" t="str">
        <f t="shared" si="77"/>
        <v>Quinta</v>
      </c>
    </row>
    <row r="1644" spans="1:20">
      <c r="A1644" s="7" t="s">
        <v>3312</v>
      </c>
      <c r="B1644" s="7" t="s">
        <v>507</v>
      </c>
      <c r="C1644" s="8">
        <v>2</v>
      </c>
      <c r="D1644" s="7" t="s">
        <v>3340</v>
      </c>
      <c r="E1644" s="7" t="s">
        <v>3365</v>
      </c>
      <c r="F1644">
        <v>1087</v>
      </c>
      <c r="G1644" s="6">
        <v>23262</v>
      </c>
      <c r="H1644" s="11" t="s">
        <v>3366</v>
      </c>
      <c r="I1644" s="6">
        <v>48</v>
      </c>
      <c r="J1644" s="6">
        <v>11</v>
      </c>
      <c r="K1644" s="6">
        <v>21</v>
      </c>
      <c r="L1644" s="6">
        <v>51</v>
      </c>
      <c r="M1644" s="10">
        <f t="shared" si="75"/>
        <v>41.176470588235297</v>
      </c>
      <c r="N1644" s="10">
        <f t="shared" si="76"/>
        <v>42</v>
      </c>
      <c r="O1644" s="6" t="s">
        <v>131</v>
      </c>
      <c r="P1644" s="6">
        <v>1</v>
      </c>
      <c r="Q1644" s="6">
        <v>0</v>
      </c>
      <c r="R1644" s="6">
        <v>1</v>
      </c>
      <c r="S1644" s="6">
        <v>2</v>
      </c>
      <c r="T1644" s="6" t="str">
        <f t="shared" si="77"/>
        <v>Sexta</v>
      </c>
    </row>
    <row r="1645" spans="1:20">
      <c r="A1645" s="7" t="s">
        <v>3312</v>
      </c>
      <c r="B1645" s="7" t="s">
        <v>507</v>
      </c>
      <c r="C1645" s="8">
        <v>2</v>
      </c>
      <c r="D1645" s="7" t="s">
        <v>3340</v>
      </c>
      <c r="E1645" s="7" t="s">
        <v>3367</v>
      </c>
      <c r="F1645">
        <v>1069</v>
      </c>
      <c r="G1645" s="6">
        <v>546</v>
      </c>
      <c r="H1645" s="11" t="s">
        <v>3368</v>
      </c>
      <c r="I1645" s="6">
        <v>63</v>
      </c>
      <c r="J1645" s="6">
        <v>25</v>
      </c>
      <c r="K1645" s="6">
        <v>57</v>
      </c>
      <c r="L1645" s="6">
        <v>48</v>
      </c>
      <c r="M1645" s="10">
        <f t="shared" si="75"/>
        <v>118.75</v>
      </c>
      <c r="N1645" s="10">
        <f t="shared" si="76"/>
        <v>119</v>
      </c>
      <c r="O1645" s="6" t="s">
        <v>19</v>
      </c>
      <c r="P1645" s="6">
        <v>2</v>
      </c>
      <c r="Q1645" s="6">
        <v>1</v>
      </c>
      <c r="R1645" s="6">
        <v>4</v>
      </c>
      <c r="S1645" s="6">
        <v>7</v>
      </c>
      <c r="T1645" s="6" t="str">
        <f t="shared" si="77"/>
        <v>Septima</v>
      </c>
    </row>
    <row r="1646" spans="1:20">
      <c r="A1646" s="7" t="s">
        <v>3312</v>
      </c>
      <c r="B1646" s="7" t="s">
        <v>507</v>
      </c>
      <c r="C1646" s="8">
        <v>2</v>
      </c>
      <c r="D1646" s="7" t="s">
        <v>3340</v>
      </c>
      <c r="E1646" s="7" t="s">
        <v>3369</v>
      </c>
      <c r="F1646">
        <v>1160</v>
      </c>
      <c r="G1646" s="6">
        <v>26413</v>
      </c>
      <c r="H1646" s="11" t="s">
        <v>3370</v>
      </c>
      <c r="I1646" s="6">
        <v>49</v>
      </c>
      <c r="J1646" s="6">
        <v>33</v>
      </c>
      <c r="K1646" s="6">
        <v>48</v>
      </c>
      <c r="L1646" s="6">
        <v>36</v>
      </c>
      <c r="M1646" s="10">
        <f t="shared" si="75"/>
        <v>133.33333333333334</v>
      </c>
      <c r="N1646" s="10">
        <f t="shared" si="76"/>
        <v>134</v>
      </c>
      <c r="O1646" s="6" t="s">
        <v>27</v>
      </c>
      <c r="P1646" s="6">
        <v>1</v>
      </c>
      <c r="Q1646" s="6">
        <v>2</v>
      </c>
      <c r="R1646" s="6">
        <v>3</v>
      </c>
      <c r="S1646" s="6">
        <v>6</v>
      </c>
      <c r="T1646" s="6" t="str">
        <f t="shared" si="77"/>
        <v>Sexta</v>
      </c>
    </row>
    <row r="1647" spans="1:20">
      <c r="A1647" s="7" t="s">
        <v>3312</v>
      </c>
      <c r="B1647" s="7" t="s">
        <v>507</v>
      </c>
      <c r="C1647" s="8">
        <v>2</v>
      </c>
      <c r="D1647" s="7" t="s">
        <v>3340</v>
      </c>
      <c r="E1647" s="7" t="s">
        <v>3371</v>
      </c>
      <c r="F1647">
        <v>1105</v>
      </c>
      <c r="G1647" s="6">
        <v>23207</v>
      </c>
      <c r="H1647" s="11" t="s">
        <v>3372</v>
      </c>
      <c r="I1647" s="6">
        <v>45</v>
      </c>
      <c r="J1647" s="6">
        <v>49</v>
      </c>
      <c r="K1647" s="6">
        <v>111</v>
      </c>
      <c r="L1647" s="6">
        <v>51</v>
      </c>
      <c r="M1647" s="10">
        <f t="shared" si="75"/>
        <v>217.64705882352942</v>
      </c>
      <c r="N1647" s="10">
        <f t="shared" si="76"/>
        <v>218</v>
      </c>
      <c r="O1647" s="6" t="s">
        <v>304</v>
      </c>
      <c r="P1647" s="6">
        <v>3</v>
      </c>
      <c r="Q1647" s="6">
        <v>6</v>
      </c>
      <c r="R1647" s="6">
        <v>6</v>
      </c>
      <c r="S1647" s="6">
        <v>15</v>
      </c>
      <c r="T1647" s="6" t="str">
        <f t="shared" si="77"/>
        <v>Sexta</v>
      </c>
    </row>
    <row r="1648" spans="1:20">
      <c r="A1648" s="7" t="s">
        <v>3312</v>
      </c>
      <c r="B1648" s="7" t="s">
        <v>526</v>
      </c>
      <c r="C1648" s="8">
        <v>1</v>
      </c>
      <c r="D1648" s="7" t="s">
        <v>3325</v>
      </c>
      <c r="E1648" s="7" t="s">
        <v>3373</v>
      </c>
      <c r="F1648">
        <v>1168</v>
      </c>
      <c r="G1648" s="6">
        <v>28852</v>
      </c>
      <c r="H1648" s="11" t="s">
        <v>3374</v>
      </c>
      <c r="I1648" s="6">
        <v>26</v>
      </c>
      <c r="J1648" s="6">
        <v>5</v>
      </c>
      <c r="K1648" s="6">
        <v>18</v>
      </c>
      <c r="L1648" s="6">
        <v>72</v>
      </c>
      <c r="M1648" s="10">
        <f t="shared" si="75"/>
        <v>25</v>
      </c>
      <c r="N1648" s="10">
        <f t="shared" si="76"/>
        <v>25</v>
      </c>
      <c r="O1648" s="6" t="s">
        <v>26</v>
      </c>
      <c r="P1648" s="6">
        <v>0</v>
      </c>
      <c r="Q1648" s="6">
        <v>1</v>
      </c>
      <c r="R1648" s="6">
        <v>1</v>
      </c>
      <c r="S1648" s="6">
        <v>2</v>
      </c>
      <c r="T1648" s="6" t="str">
        <f t="shared" si="77"/>
        <v>Sexta</v>
      </c>
    </row>
    <row r="1649" spans="1:20">
      <c r="A1649" s="7" t="s">
        <v>3312</v>
      </c>
      <c r="B1649" s="7" t="s">
        <v>526</v>
      </c>
      <c r="C1649" s="8">
        <v>1</v>
      </c>
      <c r="D1649" s="7" t="s">
        <v>3325</v>
      </c>
      <c r="E1649" s="7" t="s">
        <v>3338</v>
      </c>
      <c r="F1649">
        <v>1206</v>
      </c>
      <c r="G1649" s="6">
        <v>29408</v>
      </c>
      <c r="H1649" s="11" t="s">
        <v>3339</v>
      </c>
      <c r="I1649" s="6">
        <v>48</v>
      </c>
      <c r="J1649" s="6">
        <v>6</v>
      </c>
      <c r="K1649" s="6">
        <v>22</v>
      </c>
      <c r="L1649" s="6">
        <v>76</v>
      </c>
      <c r="M1649" s="10">
        <f t="shared" si="75"/>
        <v>28.94736842105263</v>
      </c>
      <c r="N1649" s="10">
        <f t="shared" si="76"/>
        <v>29</v>
      </c>
      <c r="O1649" s="6" t="s">
        <v>26</v>
      </c>
      <c r="P1649" s="6">
        <v>1</v>
      </c>
      <c r="Q1649" s="6">
        <v>1</v>
      </c>
      <c r="R1649" s="6">
        <v>1</v>
      </c>
      <c r="S1649" s="6">
        <v>3</v>
      </c>
      <c r="T1649" s="6" t="str">
        <f t="shared" si="77"/>
        <v>Quinta</v>
      </c>
    </row>
    <row r="1650" spans="1:20">
      <c r="A1650" s="7" t="s">
        <v>3312</v>
      </c>
      <c r="B1650" s="7" t="s">
        <v>526</v>
      </c>
      <c r="C1650" s="8">
        <v>1</v>
      </c>
      <c r="D1650" s="7" t="s">
        <v>3325</v>
      </c>
      <c r="E1650" s="7" t="s">
        <v>3375</v>
      </c>
      <c r="F1650">
        <v>1098</v>
      </c>
      <c r="G1650" s="6">
        <v>26601</v>
      </c>
      <c r="H1650" s="11" t="s">
        <v>3376</v>
      </c>
      <c r="I1650" s="6">
        <v>31</v>
      </c>
      <c r="J1650" s="6">
        <v>28</v>
      </c>
      <c r="K1650" s="6">
        <v>53</v>
      </c>
      <c r="L1650" s="6">
        <v>45</v>
      </c>
      <c r="M1650" s="10">
        <f t="shared" si="75"/>
        <v>117.77777777777777</v>
      </c>
      <c r="N1650" s="10">
        <f t="shared" si="76"/>
        <v>118</v>
      </c>
      <c r="O1650" s="6" t="s">
        <v>90</v>
      </c>
      <c r="P1650" s="6">
        <v>1</v>
      </c>
      <c r="Q1650" s="6">
        <v>5</v>
      </c>
      <c r="R1650" s="6">
        <v>2</v>
      </c>
      <c r="S1650" s="6">
        <v>8</v>
      </c>
      <c r="T1650" s="6" t="str">
        <f t="shared" si="77"/>
        <v>Sexta</v>
      </c>
    </row>
    <row r="1651" spans="1:20">
      <c r="A1651" s="7" t="s">
        <v>3312</v>
      </c>
      <c r="B1651" s="7" t="s">
        <v>526</v>
      </c>
      <c r="C1651" s="8">
        <v>1</v>
      </c>
      <c r="D1651" s="7" t="s">
        <v>3325</v>
      </c>
      <c r="E1651" s="7" t="s">
        <v>3377</v>
      </c>
      <c r="F1651">
        <v>943</v>
      </c>
      <c r="G1651" s="6">
        <v>9367</v>
      </c>
      <c r="H1651" s="11" t="s">
        <v>3378</v>
      </c>
      <c r="I1651" s="6">
        <v>48</v>
      </c>
      <c r="J1651" s="6">
        <v>9</v>
      </c>
      <c r="K1651" s="6">
        <v>3</v>
      </c>
      <c r="L1651" s="6">
        <v>11</v>
      </c>
      <c r="M1651" s="10">
        <f t="shared" si="75"/>
        <v>27.272727272727273</v>
      </c>
      <c r="N1651" s="10">
        <f t="shared" si="76"/>
        <v>28</v>
      </c>
      <c r="O1651" s="6" t="s">
        <v>26</v>
      </c>
      <c r="P1651" s="6">
        <v>0</v>
      </c>
      <c r="Q1651" s="6">
        <v>0</v>
      </c>
      <c r="R1651" s="6">
        <v>0</v>
      </c>
      <c r="S1651" s="6">
        <v>0</v>
      </c>
      <c r="T1651" s="6" t="str">
        <f t="shared" si="77"/>
        <v>Octava</v>
      </c>
    </row>
    <row r="1652" spans="1:20">
      <c r="A1652" s="7" t="s">
        <v>3312</v>
      </c>
      <c r="B1652" s="7" t="s">
        <v>526</v>
      </c>
      <c r="C1652" s="8">
        <v>1</v>
      </c>
      <c r="D1652" s="7" t="s">
        <v>3325</v>
      </c>
      <c r="E1652" s="7" t="s">
        <v>3379</v>
      </c>
      <c r="F1652">
        <v>1102</v>
      </c>
      <c r="G1652" s="6">
        <v>22720</v>
      </c>
      <c r="H1652" s="11" t="s">
        <v>3380</v>
      </c>
      <c r="I1652" s="6">
        <v>35</v>
      </c>
      <c r="J1652" s="6">
        <v>56</v>
      </c>
      <c r="K1652" s="6">
        <v>65</v>
      </c>
      <c r="L1652" s="6">
        <v>28</v>
      </c>
      <c r="M1652" s="10">
        <f t="shared" si="75"/>
        <v>232.14285714285714</v>
      </c>
      <c r="N1652" s="10">
        <f t="shared" si="76"/>
        <v>233</v>
      </c>
      <c r="O1652" s="6" t="s">
        <v>131</v>
      </c>
      <c r="P1652" s="6">
        <v>1</v>
      </c>
      <c r="Q1652" s="6">
        <v>2</v>
      </c>
      <c r="R1652" s="6">
        <v>7</v>
      </c>
      <c r="S1652" s="6">
        <v>10</v>
      </c>
      <c r="T1652" s="6" t="str">
        <f t="shared" si="77"/>
        <v>Sexta</v>
      </c>
    </row>
    <row r="1653" spans="1:20">
      <c r="A1653" s="7" t="s">
        <v>3312</v>
      </c>
      <c r="B1653" s="7" t="s">
        <v>526</v>
      </c>
      <c r="C1653" s="8">
        <v>1</v>
      </c>
      <c r="D1653" s="7" t="s">
        <v>3325</v>
      </c>
      <c r="E1653" s="7" t="s">
        <v>3360</v>
      </c>
      <c r="F1653">
        <v>1087</v>
      </c>
      <c r="G1653" s="6">
        <v>29192</v>
      </c>
      <c r="H1653" s="11" t="s">
        <v>3361</v>
      </c>
      <c r="I1653" s="6">
        <v>26</v>
      </c>
      <c r="J1653" s="6">
        <v>5</v>
      </c>
      <c r="K1653" s="6">
        <v>16</v>
      </c>
      <c r="L1653" s="6">
        <v>53</v>
      </c>
      <c r="M1653" s="10">
        <f t="shared" si="75"/>
        <v>30.188679245283019</v>
      </c>
      <c r="N1653" s="10">
        <f t="shared" si="76"/>
        <v>31</v>
      </c>
      <c r="O1653" s="6" t="s">
        <v>90</v>
      </c>
      <c r="P1653" s="6">
        <v>0</v>
      </c>
      <c r="Q1653" s="6">
        <v>1</v>
      </c>
      <c r="R1653" s="6">
        <v>1</v>
      </c>
      <c r="S1653" s="6">
        <v>2</v>
      </c>
      <c r="T1653" s="6" t="str">
        <f t="shared" si="77"/>
        <v>Sexta</v>
      </c>
    </row>
    <row r="1654" spans="1:20">
      <c r="A1654" s="7" t="s">
        <v>3312</v>
      </c>
      <c r="B1654" s="7" t="s">
        <v>526</v>
      </c>
      <c r="C1654" s="8">
        <v>1</v>
      </c>
      <c r="D1654" s="7" t="s">
        <v>3325</v>
      </c>
      <c r="E1654" s="7" t="s">
        <v>3362</v>
      </c>
      <c r="F1654">
        <v>1088</v>
      </c>
      <c r="G1654" s="6">
        <v>26606</v>
      </c>
      <c r="H1654" s="11" t="s">
        <v>3363</v>
      </c>
      <c r="I1654" s="6">
        <v>32</v>
      </c>
      <c r="J1654" s="6">
        <v>17</v>
      </c>
      <c r="K1654" s="6">
        <v>27</v>
      </c>
      <c r="L1654" s="6">
        <v>40</v>
      </c>
      <c r="M1654" s="10">
        <f t="shared" si="75"/>
        <v>67.5</v>
      </c>
      <c r="N1654" s="10">
        <f t="shared" si="76"/>
        <v>68</v>
      </c>
      <c r="O1654" s="6" t="s">
        <v>26</v>
      </c>
      <c r="P1654" s="6">
        <v>1</v>
      </c>
      <c r="Q1654" s="6">
        <v>1</v>
      </c>
      <c r="R1654" s="6">
        <v>2</v>
      </c>
      <c r="S1654" s="6">
        <v>4</v>
      </c>
      <c r="T1654" s="6" t="str">
        <f t="shared" si="77"/>
        <v>Sexta</v>
      </c>
    </row>
    <row r="1655" spans="1:20">
      <c r="A1655" s="7" t="s">
        <v>3312</v>
      </c>
      <c r="B1655" s="7" t="s">
        <v>526</v>
      </c>
      <c r="C1655" s="8">
        <v>2</v>
      </c>
      <c r="D1655" s="7" t="s">
        <v>3340</v>
      </c>
      <c r="E1655" s="7" t="s">
        <v>3381</v>
      </c>
      <c r="F1655">
        <v>1043</v>
      </c>
      <c r="G1655" s="6">
        <v>848</v>
      </c>
      <c r="H1655" s="11" t="s">
        <v>3382</v>
      </c>
      <c r="I1655" s="6">
        <v>62</v>
      </c>
      <c r="J1655" s="6">
        <v>53</v>
      </c>
      <c r="K1655" s="6">
        <v>90</v>
      </c>
      <c r="L1655" s="6">
        <v>38</v>
      </c>
      <c r="M1655" s="10">
        <f t="shared" si="75"/>
        <v>236.84210526315789</v>
      </c>
      <c r="N1655" s="10">
        <f t="shared" si="76"/>
        <v>237</v>
      </c>
      <c r="O1655" s="6" t="s">
        <v>69</v>
      </c>
      <c r="P1655" s="6">
        <v>2</v>
      </c>
      <c r="Q1655" s="6">
        <v>2</v>
      </c>
      <c r="R1655" s="6">
        <v>8</v>
      </c>
      <c r="S1655" s="6">
        <v>12</v>
      </c>
      <c r="T1655" s="6" t="str">
        <f t="shared" si="77"/>
        <v>Septima</v>
      </c>
    </row>
    <row r="1656" spans="1:20">
      <c r="A1656" s="7" t="s">
        <v>3312</v>
      </c>
      <c r="B1656" s="7" t="s">
        <v>526</v>
      </c>
      <c r="C1656" s="8">
        <v>2</v>
      </c>
      <c r="D1656" s="7" t="s">
        <v>3340</v>
      </c>
      <c r="E1656" s="7" t="s">
        <v>3383</v>
      </c>
      <c r="F1656">
        <v>1930</v>
      </c>
      <c r="G1656" s="6">
        <v>109</v>
      </c>
      <c r="H1656" s="11" t="s">
        <v>3384</v>
      </c>
      <c r="I1656" s="6">
        <v>68</v>
      </c>
      <c r="J1656" s="6">
        <v>28</v>
      </c>
      <c r="K1656" s="6">
        <v>75</v>
      </c>
      <c r="L1656" s="6">
        <v>49</v>
      </c>
      <c r="M1656" s="10">
        <f t="shared" si="75"/>
        <v>153.0612244897959</v>
      </c>
      <c r="N1656" s="10">
        <f t="shared" si="76"/>
        <v>154</v>
      </c>
      <c r="O1656" s="6" t="s">
        <v>389</v>
      </c>
      <c r="P1656" s="6">
        <v>1</v>
      </c>
      <c r="Q1656" s="6">
        <v>2</v>
      </c>
      <c r="R1656" s="6">
        <v>2</v>
      </c>
      <c r="S1656" s="6">
        <v>5</v>
      </c>
      <c r="T1656" s="6" t="str">
        <f t="shared" si="77"/>
        <v>Segunda</v>
      </c>
    </row>
    <row r="1657" spans="1:20">
      <c r="A1657" s="7" t="s">
        <v>3312</v>
      </c>
      <c r="B1657" s="7" t="s">
        <v>526</v>
      </c>
      <c r="C1657" s="8">
        <v>2</v>
      </c>
      <c r="D1657" s="7" t="s">
        <v>3340</v>
      </c>
      <c r="E1657" s="7" t="s">
        <v>3385</v>
      </c>
      <c r="F1657">
        <v>987</v>
      </c>
      <c r="G1657" s="6">
        <v>17018</v>
      </c>
      <c r="H1657" s="11" t="s">
        <v>3386</v>
      </c>
      <c r="I1657" s="6">
        <v>35</v>
      </c>
      <c r="J1657" s="6">
        <v>6</v>
      </c>
      <c r="K1657" s="6">
        <v>14</v>
      </c>
      <c r="L1657" s="6">
        <v>56</v>
      </c>
      <c r="M1657" s="10">
        <f t="shared" si="75"/>
        <v>25</v>
      </c>
      <c r="N1657" s="10">
        <f t="shared" si="76"/>
        <v>25</v>
      </c>
      <c r="O1657" s="6" t="s">
        <v>69</v>
      </c>
      <c r="P1657" s="6">
        <v>0</v>
      </c>
      <c r="Q1657" s="6">
        <v>0</v>
      </c>
      <c r="R1657" s="6">
        <v>1</v>
      </c>
      <c r="S1657" s="6">
        <v>1</v>
      </c>
      <c r="T1657" s="6" t="str">
        <f t="shared" si="77"/>
        <v>Septima</v>
      </c>
    </row>
    <row r="1658" spans="1:20">
      <c r="A1658" s="7" t="s">
        <v>3312</v>
      </c>
      <c r="B1658" s="7" t="s">
        <v>526</v>
      </c>
      <c r="C1658" s="8">
        <v>2</v>
      </c>
      <c r="D1658" s="7" t="s">
        <v>3340</v>
      </c>
      <c r="E1658" s="7" t="s">
        <v>3387</v>
      </c>
      <c r="F1658">
        <v>1368</v>
      </c>
      <c r="G1658" s="6">
        <v>5461</v>
      </c>
      <c r="H1658" s="11" t="s">
        <v>3388</v>
      </c>
      <c r="I1658" s="6">
        <v>38</v>
      </c>
      <c r="J1658" s="6">
        <v>1</v>
      </c>
      <c r="K1658" s="6">
        <v>0</v>
      </c>
      <c r="L1658" s="6">
        <v>0</v>
      </c>
      <c r="M1658" s="10">
        <f t="shared" si="75"/>
        <v>0</v>
      </c>
      <c r="N1658" s="10">
        <f t="shared" si="76"/>
        <v>0</v>
      </c>
      <c r="O1658" s="6" t="s">
        <v>390</v>
      </c>
      <c r="P1658" s="6">
        <v>0</v>
      </c>
      <c r="Q1658" s="6">
        <v>0</v>
      </c>
      <c r="R1658" s="6">
        <v>0</v>
      </c>
      <c r="S1658" s="6">
        <v>0</v>
      </c>
      <c r="T1658" s="6" t="str">
        <f t="shared" si="77"/>
        <v>Quinta</v>
      </c>
    </row>
    <row r="1659" spans="1:20">
      <c r="A1659" s="7" t="s">
        <v>3312</v>
      </c>
      <c r="B1659" s="7" t="s">
        <v>526</v>
      </c>
      <c r="C1659" s="8">
        <v>2</v>
      </c>
      <c r="D1659" s="7" t="s">
        <v>3340</v>
      </c>
      <c r="E1659" s="7" t="s">
        <v>3323</v>
      </c>
      <c r="F1659">
        <v>1114</v>
      </c>
      <c r="G1659" s="6">
        <v>13741</v>
      </c>
      <c r="H1659" s="11" t="s">
        <v>3324</v>
      </c>
      <c r="I1659" s="6">
        <v>61</v>
      </c>
      <c r="J1659" s="6">
        <v>96</v>
      </c>
      <c r="K1659" s="6">
        <v>200</v>
      </c>
      <c r="L1659" s="6">
        <v>42</v>
      </c>
      <c r="M1659" s="10">
        <f t="shared" si="75"/>
        <v>476.1904761904762</v>
      </c>
      <c r="N1659" s="10">
        <f t="shared" si="76"/>
        <v>477</v>
      </c>
      <c r="O1659" s="6" t="s">
        <v>26</v>
      </c>
      <c r="P1659" s="6">
        <v>5</v>
      </c>
      <c r="Q1659" s="6">
        <v>4</v>
      </c>
      <c r="R1659" s="6">
        <v>8</v>
      </c>
      <c r="S1659" s="6">
        <v>17</v>
      </c>
      <c r="T1659" s="6" t="str">
        <f t="shared" si="77"/>
        <v>Sexta</v>
      </c>
    </row>
    <row r="1660" spans="1:20">
      <c r="A1660" s="7" t="s">
        <v>3312</v>
      </c>
      <c r="B1660" s="7" t="s">
        <v>526</v>
      </c>
      <c r="C1660" s="8">
        <v>2</v>
      </c>
      <c r="D1660" s="7" t="s">
        <v>3340</v>
      </c>
      <c r="E1660" s="7" t="s">
        <v>3389</v>
      </c>
      <c r="F1660">
        <v>1010</v>
      </c>
      <c r="G1660" s="6">
        <v>26002</v>
      </c>
      <c r="H1660" s="11" t="s">
        <v>3390</v>
      </c>
      <c r="I1660" s="6">
        <v>27</v>
      </c>
      <c r="J1660" s="6">
        <v>7</v>
      </c>
      <c r="K1660" s="6">
        <v>11</v>
      </c>
      <c r="L1660" s="6">
        <v>37</v>
      </c>
      <c r="M1660" s="10">
        <f t="shared" si="75"/>
        <v>29.72972972972973</v>
      </c>
      <c r="N1660" s="10">
        <f t="shared" si="76"/>
        <v>30</v>
      </c>
      <c r="O1660" s="6" t="s">
        <v>131</v>
      </c>
      <c r="P1660" s="6">
        <v>0</v>
      </c>
      <c r="Q1660" s="6">
        <v>0</v>
      </c>
      <c r="R1660" s="6">
        <v>2</v>
      </c>
      <c r="S1660" s="6">
        <v>2</v>
      </c>
      <c r="T1660" s="6" t="str">
        <f t="shared" si="77"/>
        <v>Septima</v>
      </c>
    </row>
    <row r="1661" spans="1:20">
      <c r="A1661" s="7" t="s">
        <v>3391</v>
      </c>
      <c r="B1661" s="7" t="s">
        <v>468</v>
      </c>
      <c r="C1661" s="8">
        <v>1</v>
      </c>
      <c r="D1661" s="7" t="s">
        <v>3391</v>
      </c>
      <c r="E1661" s="7" t="s">
        <v>3392</v>
      </c>
      <c r="F1661">
        <v>1895</v>
      </c>
      <c r="G1661" s="6">
        <v>15936</v>
      </c>
      <c r="H1661" s="11" t="s">
        <v>3393</v>
      </c>
      <c r="I1661" s="6">
        <v>51</v>
      </c>
      <c r="J1661" s="6">
        <v>61</v>
      </c>
      <c r="K1661" s="6">
        <v>171</v>
      </c>
      <c r="L1661" s="6">
        <v>64</v>
      </c>
      <c r="M1661" s="10">
        <f t="shared" si="75"/>
        <v>267.1875</v>
      </c>
      <c r="N1661" s="10">
        <f t="shared" si="76"/>
        <v>268</v>
      </c>
      <c r="O1661" s="6" t="s">
        <v>21</v>
      </c>
      <c r="P1661" s="6">
        <v>9</v>
      </c>
      <c r="Q1661" s="6">
        <v>5</v>
      </c>
      <c r="R1661" s="6">
        <v>7</v>
      </c>
      <c r="S1661" s="6">
        <v>21</v>
      </c>
      <c r="T1661" s="6" t="str">
        <f t="shared" si="77"/>
        <v>Segunda</v>
      </c>
    </row>
    <row r="1662" spans="1:20">
      <c r="A1662" s="7" t="s">
        <v>3391</v>
      </c>
      <c r="B1662" s="7" t="s">
        <v>468</v>
      </c>
      <c r="C1662" s="8">
        <v>1</v>
      </c>
      <c r="D1662" s="7" t="s">
        <v>3391</v>
      </c>
      <c r="E1662" s="7" t="s">
        <v>3394</v>
      </c>
      <c r="F1662">
        <v>1786</v>
      </c>
      <c r="G1662" s="6">
        <v>4704</v>
      </c>
      <c r="H1662" s="11" t="s">
        <v>3395</v>
      </c>
      <c r="I1662" s="6">
        <v>61</v>
      </c>
      <c r="J1662" s="6">
        <v>47</v>
      </c>
      <c r="K1662" s="6">
        <v>121</v>
      </c>
      <c r="L1662" s="6">
        <v>56</v>
      </c>
      <c r="M1662" s="10">
        <f t="shared" si="75"/>
        <v>216.07142857142858</v>
      </c>
      <c r="N1662" s="10">
        <f t="shared" si="76"/>
        <v>217</v>
      </c>
      <c r="O1662" s="6" t="s">
        <v>81</v>
      </c>
      <c r="P1662" s="6">
        <v>4</v>
      </c>
      <c r="Q1662" s="6">
        <v>2</v>
      </c>
      <c r="R1662" s="6">
        <v>7</v>
      </c>
      <c r="S1662" s="6">
        <v>13</v>
      </c>
      <c r="T1662" s="6" t="str">
        <f t="shared" si="77"/>
        <v>Tercera</v>
      </c>
    </row>
    <row r="1663" spans="1:20">
      <c r="A1663" s="7" t="s">
        <v>3391</v>
      </c>
      <c r="B1663" s="7" t="s">
        <v>468</v>
      </c>
      <c r="C1663" s="8">
        <v>1</v>
      </c>
      <c r="D1663" s="7" t="s">
        <v>3391</v>
      </c>
      <c r="E1663" s="7" t="s">
        <v>3396</v>
      </c>
      <c r="F1663">
        <v>1533</v>
      </c>
      <c r="G1663" s="6">
        <v>13311</v>
      </c>
      <c r="H1663" s="11" t="s">
        <v>3397</v>
      </c>
      <c r="I1663" s="6">
        <v>54</v>
      </c>
      <c r="J1663" s="6">
        <v>192</v>
      </c>
      <c r="K1663" s="6">
        <v>517</v>
      </c>
      <c r="L1663" s="6">
        <v>61</v>
      </c>
      <c r="M1663" s="10">
        <f t="shared" si="75"/>
        <v>847.54098360655735</v>
      </c>
      <c r="N1663" s="10">
        <f t="shared" si="76"/>
        <v>848</v>
      </c>
      <c r="O1663" s="6" t="s">
        <v>13</v>
      </c>
      <c r="P1663" s="6">
        <v>20</v>
      </c>
      <c r="Q1663" s="6">
        <v>16</v>
      </c>
      <c r="R1663" s="6">
        <v>36</v>
      </c>
      <c r="S1663" s="6">
        <v>72</v>
      </c>
      <c r="T1663" s="6" t="str">
        <f t="shared" si="77"/>
        <v>Cuarta</v>
      </c>
    </row>
    <row r="1664" spans="1:20">
      <c r="A1664" s="7" t="s">
        <v>3391</v>
      </c>
      <c r="B1664" s="7" t="s">
        <v>468</v>
      </c>
      <c r="C1664" s="8">
        <v>1</v>
      </c>
      <c r="D1664" s="7" t="s">
        <v>3391</v>
      </c>
      <c r="E1664" s="7" t="s">
        <v>3398</v>
      </c>
      <c r="F1664">
        <v>1456</v>
      </c>
      <c r="G1664" s="6">
        <v>5799</v>
      </c>
      <c r="H1664" s="11" t="s">
        <v>3399</v>
      </c>
      <c r="I1664" s="6">
        <v>53</v>
      </c>
      <c r="J1664" s="6">
        <v>71</v>
      </c>
      <c r="K1664" s="6">
        <v>165</v>
      </c>
      <c r="L1664" s="6">
        <v>56</v>
      </c>
      <c r="M1664" s="10">
        <f t="shared" si="75"/>
        <v>294.64285714285717</v>
      </c>
      <c r="N1664" s="10">
        <f t="shared" si="76"/>
        <v>295</v>
      </c>
      <c r="O1664" s="6" t="s">
        <v>36</v>
      </c>
      <c r="P1664" s="6">
        <v>2</v>
      </c>
      <c r="Q1664" s="6">
        <v>4</v>
      </c>
      <c r="R1664" s="6">
        <v>9</v>
      </c>
      <c r="S1664" s="6">
        <v>15</v>
      </c>
      <c r="T1664" s="6" t="str">
        <f t="shared" si="77"/>
        <v>Cuarta</v>
      </c>
    </row>
    <row r="1665" spans="1:20">
      <c r="A1665" s="7" t="s">
        <v>3391</v>
      </c>
      <c r="B1665" s="7" t="s">
        <v>468</v>
      </c>
      <c r="C1665" s="8">
        <v>1</v>
      </c>
      <c r="D1665" s="7" t="s">
        <v>3391</v>
      </c>
      <c r="E1665" s="7" t="s">
        <v>3400</v>
      </c>
      <c r="F1665">
        <v>1483</v>
      </c>
      <c r="G1665" s="6">
        <v>24520</v>
      </c>
      <c r="H1665" s="11" t="s">
        <v>3401</v>
      </c>
      <c r="I1665" s="6">
        <v>69</v>
      </c>
      <c r="J1665" s="6">
        <v>39</v>
      </c>
      <c r="K1665" s="6">
        <v>114</v>
      </c>
      <c r="L1665" s="6">
        <v>58</v>
      </c>
      <c r="M1665" s="10">
        <f t="shared" si="75"/>
        <v>196.55172413793105</v>
      </c>
      <c r="N1665" s="10">
        <f t="shared" si="76"/>
        <v>197</v>
      </c>
      <c r="O1665" s="6" t="s">
        <v>114</v>
      </c>
      <c r="P1665" s="6">
        <v>5</v>
      </c>
      <c r="Q1665" s="6">
        <v>2</v>
      </c>
      <c r="R1665" s="6">
        <v>9</v>
      </c>
      <c r="S1665" s="6">
        <v>16</v>
      </c>
      <c r="T1665" s="6" t="str">
        <f t="shared" si="77"/>
        <v>Cuarta</v>
      </c>
    </row>
    <row r="1666" spans="1:20">
      <c r="A1666" s="7" t="s">
        <v>3391</v>
      </c>
      <c r="B1666" s="7" t="s">
        <v>468</v>
      </c>
      <c r="C1666" s="8">
        <v>1</v>
      </c>
      <c r="D1666" s="7" t="s">
        <v>3391</v>
      </c>
      <c r="E1666" s="7" t="s">
        <v>3402</v>
      </c>
      <c r="F1666">
        <v>1528</v>
      </c>
      <c r="G1666" s="6">
        <v>8482</v>
      </c>
      <c r="H1666" s="11" t="s">
        <v>3403</v>
      </c>
      <c r="I1666" s="6">
        <v>56</v>
      </c>
      <c r="J1666" s="6">
        <v>105</v>
      </c>
      <c r="K1666" s="6">
        <v>241</v>
      </c>
      <c r="L1666" s="6">
        <v>55</v>
      </c>
      <c r="M1666" s="10">
        <f t="shared" si="75"/>
        <v>438.18181818181819</v>
      </c>
      <c r="N1666" s="10">
        <f t="shared" si="76"/>
        <v>439</v>
      </c>
      <c r="O1666" s="6" t="s">
        <v>18</v>
      </c>
      <c r="P1666" s="6">
        <v>5</v>
      </c>
      <c r="Q1666" s="6">
        <v>2</v>
      </c>
      <c r="R1666" s="6">
        <v>17</v>
      </c>
      <c r="S1666" s="6">
        <v>24</v>
      </c>
      <c r="T1666" s="6" t="str">
        <f t="shared" si="77"/>
        <v>Cuarta</v>
      </c>
    </row>
    <row r="1667" spans="1:20">
      <c r="A1667" s="7" t="s">
        <v>3391</v>
      </c>
      <c r="B1667" s="7" t="s">
        <v>468</v>
      </c>
      <c r="C1667" s="8">
        <v>1</v>
      </c>
      <c r="D1667" s="7" t="s">
        <v>3391</v>
      </c>
      <c r="E1667" s="7" t="s">
        <v>3404</v>
      </c>
      <c r="F1667">
        <v>1236</v>
      </c>
      <c r="G1667" s="6">
        <v>27952</v>
      </c>
      <c r="H1667" s="11" t="s">
        <v>3405</v>
      </c>
      <c r="I1667" s="6">
        <v>50</v>
      </c>
      <c r="J1667" s="6">
        <v>9</v>
      </c>
      <c r="K1667" s="6">
        <v>22</v>
      </c>
      <c r="L1667" s="6">
        <v>51</v>
      </c>
      <c r="M1667" s="10">
        <f t="shared" ref="M1667:M1730" si="78">IF(K1667+L1667=0,0,(100*K1667/L1667))</f>
        <v>43.137254901960787</v>
      </c>
      <c r="N1667" s="10">
        <f t="shared" ref="N1667:N1730" si="79">ROUNDUP(M1667,0)</f>
        <v>44</v>
      </c>
      <c r="O1667" s="6" t="s">
        <v>391</v>
      </c>
      <c r="P1667" s="6">
        <v>0</v>
      </c>
      <c r="Q1667" s="6">
        <v>2</v>
      </c>
      <c r="R1667" s="6">
        <v>1</v>
      </c>
      <c r="S1667" s="6">
        <v>3</v>
      </c>
      <c r="T1667" s="6" t="str">
        <f t="shared" ref="T1667:T1730" si="80">IF(F1667&gt;2100,"Primera",
IF(F1667&gt;=1800,"Segunda",
IF(F1667&gt;=1600,"Tercera",
IF(F1667&gt;=1400,"Cuarta",
IF(F1667&gt;=1200,"Quinta",
IF(F1667&gt;=1080,"Sexta",
IF(F1667&gt;=980,"Septima",
"Octava")))))))</f>
        <v>Quinta</v>
      </c>
    </row>
    <row r="1668" spans="1:20">
      <c r="A1668" s="7" t="s">
        <v>3391</v>
      </c>
      <c r="B1668" s="7" t="s">
        <v>507</v>
      </c>
      <c r="C1668" s="8">
        <v>1</v>
      </c>
      <c r="D1668" s="7" t="s">
        <v>3391</v>
      </c>
      <c r="E1668" s="7" t="s">
        <v>3404</v>
      </c>
      <c r="F1668">
        <v>1236</v>
      </c>
      <c r="G1668" s="6">
        <v>27952</v>
      </c>
      <c r="H1668" s="11" t="s">
        <v>3405</v>
      </c>
      <c r="I1668" s="6">
        <v>50</v>
      </c>
      <c r="J1668" s="6">
        <v>9</v>
      </c>
      <c r="K1668" s="6">
        <v>22</v>
      </c>
      <c r="L1668" s="6">
        <v>51</v>
      </c>
      <c r="M1668" s="10">
        <f t="shared" si="78"/>
        <v>43.137254901960787</v>
      </c>
      <c r="N1668" s="10">
        <f t="shared" si="79"/>
        <v>44</v>
      </c>
      <c r="O1668" s="6" t="s">
        <v>391</v>
      </c>
      <c r="P1668" s="6">
        <v>0</v>
      </c>
      <c r="Q1668" s="6">
        <v>2</v>
      </c>
      <c r="R1668" s="6">
        <v>1</v>
      </c>
      <c r="S1668" s="6">
        <v>3</v>
      </c>
      <c r="T1668" s="6" t="str">
        <f t="shared" si="80"/>
        <v>Quinta</v>
      </c>
    </row>
    <row r="1669" spans="1:20">
      <c r="A1669" s="7" t="s">
        <v>3391</v>
      </c>
      <c r="B1669" s="7" t="s">
        <v>507</v>
      </c>
      <c r="C1669" s="8">
        <v>1</v>
      </c>
      <c r="D1669" s="7" t="s">
        <v>3391</v>
      </c>
      <c r="E1669" s="7" t="s">
        <v>3406</v>
      </c>
      <c r="F1669">
        <v>1325</v>
      </c>
      <c r="G1669" s="6">
        <v>14725</v>
      </c>
      <c r="H1669" s="11" t="s">
        <v>3407</v>
      </c>
      <c r="I1669" s="6">
        <v>66</v>
      </c>
      <c r="J1669" s="6">
        <v>5</v>
      </c>
      <c r="K1669" s="6">
        <v>10</v>
      </c>
      <c r="L1669" s="6">
        <v>50</v>
      </c>
      <c r="M1669" s="10">
        <f t="shared" si="78"/>
        <v>20</v>
      </c>
      <c r="N1669" s="10">
        <f t="shared" si="79"/>
        <v>20</v>
      </c>
      <c r="O1669" s="6" t="s">
        <v>392</v>
      </c>
      <c r="P1669" s="6">
        <v>0</v>
      </c>
      <c r="Q1669" s="6">
        <v>1</v>
      </c>
      <c r="R1669" s="6">
        <v>0</v>
      </c>
      <c r="S1669" s="6">
        <v>1</v>
      </c>
      <c r="T1669" s="6" t="str">
        <f t="shared" si="80"/>
        <v>Quinta</v>
      </c>
    </row>
    <row r="1670" spans="1:20">
      <c r="A1670" s="7" t="s">
        <v>3391</v>
      </c>
      <c r="B1670" s="7" t="s">
        <v>507</v>
      </c>
      <c r="C1670" s="8">
        <v>1</v>
      </c>
      <c r="D1670" s="7" t="s">
        <v>3391</v>
      </c>
      <c r="E1670" s="7" t="s">
        <v>3408</v>
      </c>
      <c r="F1670">
        <v>1269</v>
      </c>
      <c r="G1670" s="6">
        <v>23308</v>
      </c>
      <c r="H1670" s="11" t="s">
        <v>3409</v>
      </c>
      <c r="I1670" s="6">
        <v>56</v>
      </c>
      <c r="J1670" s="6">
        <v>38</v>
      </c>
      <c r="K1670" s="6">
        <v>80</v>
      </c>
      <c r="L1670" s="6">
        <v>52</v>
      </c>
      <c r="M1670" s="10">
        <f t="shared" si="78"/>
        <v>153.84615384615384</v>
      </c>
      <c r="N1670" s="10">
        <f t="shared" si="79"/>
        <v>154</v>
      </c>
      <c r="O1670" s="6" t="s">
        <v>20</v>
      </c>
      <c r="P1670" s="6">
        <v>1</v>
      </c>
      <c r="Q1670" s="6">
        <v>1</v>
      </c>
      <c r="R1670" s="6">
        <v>5</v>
      </c>
      <c r="S1670" s="6">
        <v>7</v>
      </c>
      <c r="T1670" s="6" t="str">
        <f t="shared" si="80"/>
        <v>Quinta</v>
      </c>
    </row>
    <row r="1671" spans="1:20">
      <c r="A1671" s="7" t="s">
        <v>3391</v>
      </c>
      <c r="B1671" s="7" t="s">
        <v>507</v>
      </c>
      <c r="C1671" s="8">
        <v>1</v>
      </c>
      <c r="D1671" s="7" t="s">
        <v>3391</v>
      </c>
      <c r="E1671" s="7" t="s">
        <v>3410</v>
      </c>
      <c r="F1671">
        <v>1000</v>
      </c>
      <c r="G1671" s="6">
        <v>20787</v>
      </c>
      <c r="H1671" s="11" t="s">
        <v>3411</v>
      </c>
      <c r="I1671" s="6">
        <v>46</v>
      </c>
      <c r="J1671" s="6">
        <v>0</v>
      </c>
      <c r="K1671" s="6">
        <v>0</v>
      </c>
      <c r="L1671" s="6">
        <v>0</v>
      </c>
      <c r="M1671" s="10">
        <f t="shared" si="78"/>
        <v>0</v>
      </c>
      <c r="N1671" s="10">
        <f t="shared" si="79"/>
        <v>0</v>
      </c>
      <c r="P1671" s="6">
        <v>0</v>
      </c>
      <c r="Q1671" s="6">
        <v>0</v>
      </c>
      <c r="R1671" s="6">
        <v>0</v>
      </c>
      <c r="S1671" s="6">
        <v>0</v>
      </c>
      <c r="T1671" s="6" t="str">
        <f t="shared" si="80"/>
        <v>Septima</v>
      </c>
    </row>
    <row r="1672" spans="1:20">
      <c r="A1672" s="7" t="s">
        <v>3391</v>
      </c>
      <c r="B1672" s="7" t="s">
        <v>507</v>
      </c>
      <c r="C1672" s="8">
        <v>1</v>
      </c>
      <c r="D1672" s="7" t="s">
        <v>3391</v>
      </c>
      <c r="E1672" s="7" t="s">
        <v>3412</v>
      </c>
      <c r="F1672">
        <v>1574</v>
      </c>
      <c r="G1672" s="6">
        <v>8217</v>
      </c>
      <c r="H1672" s="11" t="s">
        <v>3413</v>
      </c>
      <c r="I1672" s="6">
        <v>29</v>
      </c>
      <c r="J1672" s="6">
        <v>3</v>
      </c>
      <c r="K1672" s="6">
        <v>12</v>
      </c>
      <c r="L1672" s="6">
        <v>71</v>
      </c>
      <c r="M1672" s="10">
        <f t="shared" si="78"/>
        <v>16.901408450704224</v>
      </c>
      <c r="N1672" s="10">
        <f t="shared" si="79"/>
        <v>17</v>
      </c>
      <c r="O1672" s="6" t="s">
        <v>393</v>
      </c>
      <c r="P1672" s="6">
        <v>1</v>
      </c>
      <c r="Q1672" s="6">
        <v>1</v>
      </c>
      <c r="R1672" s="6">
        <v>0</v>
      </c>
      <c r="S1672" s="6">
        <v>2</v>
      </c>
      <c r="T1672" s="6" t="str">
        <f t="shared" si="80"/>
        <v>Cuarta</v>
      </c>
    </row>
    <row r="1673" spans="1:20">
      <c r="A1673" s="7" t="s">
        <v>3391</v>
      </c>
      <c r="B1673" s="7" t="s">
        <v>507</v>
      </c>
      <c r="C1673" s="8">
        <v>1</v>
      </c>
      <c r="D1673" s="7" t="s">
        <v>3391</v>
      </c>
      <c r="E1673" s="7" t="s">
        <v>3414</v>
      </c>
      <c r="F1673">
        <v>1071</v>
      </c>
      <c r="G1673" s="6">
        <v>26964</v>
      </c>
      <c r="H1673" s="11" t="s">
        <v>3415</v>
      </c>
      <c r="I1673" s="6">
        <v>50</v>
      </c>
      <c r="J1673" s="6">
        <v>10</v>
      </c>
      <c r="K1673" s="6">
        <v>14</v>
      </c>
      <c r="L1673" s="6">
        <v>38</v>
      </c>
      <c r="M1673" s="10">
        <f t="shared" si="78"/>
        <v>36.842105263157897</v>
      </c>
      <c r="N1673" s="10">
        <f t="shared" si="79"/>
        <v>37</v>
      </c>
      <c r="O1673" s="6" t="s">
        <v>36</v>
      </c>
      <c r="P1673" s="6">
        <v>1</v>
      </c>
      <c r="Q1673" s="6">
        <v>1</v>
      </c>
      <c r="R1673" s="6">
        <v>1</v>
      </c>
      <c r="S1673" s="6">
        <v>3</v>
      </c>
      <c r="T1673" s="6" t="str">
        <f t="shared" si="80"/>
        <v>Septima</v>
      </c>
    </row>
    <row r="1674" spans="1:20">
      <c r="A1674" s="7" t="s">
        <v>3391</v>
      </c>
      <c r="B1674" s="7" t="s">
        <v>507</v>
      </c>
      <c r="C1674" s="8">
        <v>1</v>
      </c>
      <c r="D1674" s="7" t="s">
        <v>3391</v>
      </c>
      <c r="E1674" s="7" t="s">
        <v>3416</v>
      </c>
      <c r="F1674">
        <v>1243</v>
      </c>
      <c r="G1674" s="6">
        <v>22995</v>
      </c>
      <c r="H1674" s="11" t="s">
        <v>3417</v>
      </c>
      <c r="I1674" s="6">
        <v>29</v>
      </c>
      <c r="J1674" s="6">
        <v>14</v>
      </c>
      <c r="K1674" s="6">
        <v>30</v>
      </c>
      <c r="L1674" s="6">
        <v>55</v>
      </c>
      <c r="M1674" s="10">
        <f t="shared" si="78"/>
        <v>54.545454545454547</v>
      </c>
      <c r="N1674" s="10">
        <f t="shared" si="79"/>
        <v>55</v>
      </c>
      <c r="O1674" s="6" t="s">
        <v>19</v>
      </c>
      <c r="P1674" s="6">
        <v>1</v>
      </c>
      <c r="Q1674" s="6">
        <v>0</v>
      </c>
      <c r="R1674" s="6">
        <v>3</v>
      </c>
      <c r="S1674" s="6">
        <v>4</v>
      </c>
      <c r="T1674" s="6" t="str">
        <f t="shared" si="80"/>
        <v>Quinta</v>
      </c>
    </row>
    <row r="1675" spans="1:20">
      <c r="A1675" s="7" t="s">
        <v>3391</v>
      </c>
      <c r="B1675" s="7" t="s">
        <v>507</v>
      </c>
      <c r="C1675" s="8">
        <v>1</v>
      </c>
      <c r="D1675" s="7" t="s">
        <v>3391</v>
      </c>
      <c r="E1675" s="7" t="s">
        <v>3418</v>
      </c>
      <c r="F1675">
        <v>1165</v>
      </c>
      <c r="G1675" s="6">
        <v>24327</v>
      </c>
      <c r="H1675" s="11" t="s">
        <v>3419</v>
      </c>
      <c r="I1675" s="6">
        <v>57</v>
      </c>
      <c r="J1675" s="6">
        <v>17</v>
      </c>
      <c r="K1675" s="6">
        <v>44</v>
      </c>
      <c r="L1675" s="6">
        <v>61</v>
      </c>
      <c r="M1675" s="10">
        <f t="shared" si="78"/>
        <v>72.131147540983605</v>
      </c>
      <c r="N1675" s="10">
        <f t="shared" si="79"/>
        <v>73</v>
      </c>
      <c r="O1675" s="6" t="s">
        <v>259</v>
      </c>
      <c r="P1675" s="6">
        <v>2</v>
      </c>
      <c r="Q1675" s="6">
        <v>1</v>
      </c>
      <c r="R1675" s="6">
        <v>3</v>
      </c>
      <c r="S1675" s="6">
        <v>6</v>
      </c>
      <c r="T1675" s="6" t="str">
        <f t="shared" si="80"/>
        <v>Sexta</v>
      </c>
    </row>
    <row r="1676" spans="1:20">
      <c r="A1676" s="7" t="s">
        <v>3391</v>
      </c>
      <c r="B1676" s="7" t="s">
        <v>526</v>
      </c>
      <c r="C1676" s="8">
        <v>1</v>
      </c>
      <c r="D1676" s="7" t="s">
        <v>3391</v>
      </c>
      <c r="E1676" s="7" t="s">
        <v>3416</v>
      </c>
      <c r="F1676">
        <v>1243</v>
      </c>
      <c r="G1676" s="6">
        <v>22995</v>
      </c>
      <c r="H1676" s="11" t="s">
        <v>3417</v>
      </c>
      <c r="I1676" s="6">
        <v>29</v>
      </c>
      <c r="J1676" s="6">
        <v>14</v>
      </c>
      <c r="K1676" s="6">
        <v>30</v>
      </c>
      <c r="L1676" s="6">
        <v>55</v>
      </c>
      <c r="M1676" s="10">
        <f t="shared" si="78"/>
        <v>54.545454545454547</v>
      </c>
      <c r="N1676" s="10">
        <f t="shared" si="79"/>
        <v>55</v>
      </c>
      <c r="O1676" s="6" t="s">
        <v>19</v>
      </c>
      <c r="P1676" s="6">
        <v>1</v>
      </c>
      <c r="Q1676" s="6">
        <v>0</v>
      </c>
      <c r="R1676" s="6">
        <v>3</v>
      </c>
      <c r="S1676" s="6">
        <v>4</v>
      </c>
      <c r="T1676" s="6" t="str">
        <f t="shared" si="80"/>
        <v>Quinta</v>
      </c>
    </row>
    <row r="1677" spans="1:20">
      <c r="A1677" s="7" t="s">
        <v>3391</v>
      </c>
      <c r="B1677" s="7" t="s">
        <v>526</v>
      </c>
      <c r="C1677" s="8">
        <v>1</v>
      </c>
      <c r="D1677" s="7" t="s">
        <v>3391</v>
      </c>
      <c r="E1677" s="7" t="s">
        <v>3420</v>
      </c>
      <c r="F1677">
        <v>1103</v>
      </c>
      <c r="G1677" s="6">
        <v>20774</v>
      </c>
      <c r="H1677" s="11" t="s">
        <v>3421</v>
      </c>
      <c r="I1677" s="6">
        <v>50</v>
      </c>
      <c r="J1677" s="6">
        <v>42</v>
      </c>
      <c r="K1677" s="6">
        <v>88</v>
      </c>
      <c r="L1677" s="6">
        <v>50</v>
      </c>
      <c r="M1677" s="10">
        <f t="shared" si="78"/>
        <v>176</v>
      </c>
      <c r="N1677" s="10">
        <f t="shared" si="79"/>
        <v>176</v>
      </c>
      <c r="O1677" s="6" t="s">
        <v>70</v>
      </c>
      <c r="P1677" s="6">
        <v>0</v>
      </c>
      <c r="Q1677" s="6">
        <v>4</v>
      </c>
      <c r="R1677" s="6">
        <v>5</v>
      </c>
      <c r="S1677" s="6">
        <v>9</v>
      </c>
      <c r="T1677" s="6" t="str">
        <f t="shared" si="80"/>
        <v>Sexta</v>
      </c>
    </row>
    <row r="1678" spans="1:20">
      <c r="A1678" s="7" t="s">
        <v>3391</v>
      </c>
      <c r="B1678" s="7" t="s">
        <v>526</v>
      </c>
      <c r="C1678" s="8">
        <v>1</v>
      </c>
      <c r="D1678" s="7" t="s">
        <v>3391</v>
      </c>
      <c r="E1678" s="7" t="s">
        <v>3422</v>
      </c>
      <c r="F1678">
        <v>1151</v>
      </c>
      <c r="G1678" s="6">
        <v>22291</v>
      </c>
      <c r="H1678" s="11" t="s">
        <v>3423</v>
      </c>
      <c r="I1678" s="6">
        <v>49</v>
      </c>
      <c r="J1678" s="6">
        <v>27</v>
      </c>
      <c r="K1678" s="6">
        <v>74</v>
      </c>
      <c r="L1678" s="6">
        <v>58</v>
      </c>
      <c r="M1678" s="10">
        <f t="shared" si="78"/>
        <v>127.58620689655173</v>
      </c>
      <c r="N1678" s="10">
        <f t="shared" si="79"/>
        <v>128</v>
      </c>
      <c r="O1678" s="6" t="s">
        <v>37</v>
      </c>
      <c r="P1678" s="6">
        <v>1</v>
      </c>
      <c r="Q1678" s="6">
        <v>2</v>
      </c>
      <c r="R1678" s="6">
        <v>8</v>
      </c>
      <c r="S1678" s="6">
        <v>11</v>
      </c>
      <c r="T1678" s="6" t="str">
        <f t="shared" si="80"/>
        <v>Sexta</v>
      </c>
    </row>
    <row r="1679" spans="1:20">
      <c r="A1679" s="7" t="s">
        <v>3391</v>
      </c>
      <c r="B1679" s="7" t="s">
        <v>526</v>
      </c>
      <c r="C1679" s="8">
        <v>1</v>
      </c>
      <c r="D1679" s="7" t="s">
        <v>3391</v>
      </c>
      <c r="E1679" s="7" t="s">
        <v>3418</v>
      </c>
      <c r="F1679">
        <v>1165</v>
      </c>
      <c r="G1679" s="6">
        <v>24327</v>
      </c>
      <c r="H1679" s="11" t="s">
        <v>3419</v>
      </c>
      <c r="I1679" s="6">
        <v>57</v>
      </c>
      <c r="J1679" s="6">
        <v>17</v>
      </c>
      <c r="K1679" s="6">
        <v>44</v>
      </c>
      <c r="L1679" s="6">
        <v>61</v>
      </c>
      <c r="M1679" s="10">
        <f t="shared" si="78"/>
        <v>72.131147540983605</v>
      </c>
      <c r="N1679" s="10">
        <f t="shared" si="79"/>
        <v>73</v>
      </c>
      <c r="O1679" s="6" t="s">
        <v>259</v>
      </c>
      <c r="P1679" s="6">
        <v>2</v>
      </c>
      <c r="Q1679" s="6">
        <v>1</v>
      </c>
      <c r="R1679" s="6">
        <v>3</v>
      </c>
      <c r="S1679" s="6">
        <v>6</v>
      </c>
      <c r="T1679" s="6" t="str">
        <f t="shared" si="80"/>
        <v>Sexta</v>
      </c>
    </row>
    <row r="1680" spans="1:20">
      <c r="A1680" s="7" t="s">
        <v>3391</v>
      </c>
      <c r="B1680" s="7" t="s">
        <v>526</v>
      </c>
      <c r="C1680" s="8">
        <v>1</v>
      </c>
      <c r="D1680" s="7" t="s">
        <v>3391</v>
      </c>
      <c r="E1680" s="7" t="s">
        <v>3424</v>
      </c>
      <c r="F1680">
        <v>1040</v>
      </c>
      <c r="G1680" s="6">
        <v>27282</v>
      </c>
      <c r="H1680" s="11" t="s">
        <v>3425</v>
      </c>
      <c r="I1680" s="6">
        <v>14</v>
      </c>
      <c r="J1680" s="6">
        <v>10</v>
      </c>
      <c r="K1680" s="6">
        <v>20</v>
      </c>
      <c r="L1680" s="6">
        <v>48</v>
      </c>
      <c r="M1680" s="10">
        <f t="shared" si="78"/>
        <v>41.666666666666664</v>
      </c>
      <c r="N1680" s="10">
        <f t="shared" si="79"/>
        <v>42</v>
      </c>
      <c r="O1680" s="6" t="s">
        <v>70</v>
      </c>
      <c r="P1680" s="6">
        <v>1</v>
      </c>
      <c r="Q1680" s="6">
        <v>1</v>
      </c>
      <c r="R1680" s="6">
        <v>0</v>
      </c>
      <c r="S1680" s="6">
        <v>2</v>
      </c>
      <c r="T1680" s="6" t="str">
        <f t="shared" si="80"/>
        <v>Septima</v>
      </c>
    </row>
    <row r="1681" spans="1:20">
      <c r="A1681" s="7" t="s">
        <v>3391</v>
      </c>
      <c r="B1681" s="7" t="s">
        <v>526</v>
      </c>
      <c r="C1681" s="8">
        <v>1</v>
      </c>
      <c r="D1681" s="7" t="s">
        <v>3391</v>
      </c>
      <c r="E1681" s="7" t="s">
        <v>3426</v>
      </c>
      <c r="F1681">
        <v>1523</v>
      </c>
      <c r="G1681" s="6">
        <v>17867</v>
      </c>
      <c r="H1681" s="11" t="s">
        <v>1709</v>
      </c>
      <c r="I1681" s="6">
        <v>58</v>
      </c>
      <c r="J1681" s="6">
        <v>58</v>
      </c>
      <c r="K1681" s="6">
        <v>143</v>
      </c>
      <c r="L1681" s="6">
        <v>58</v>
      </c>
      <c r="M1681" s="10">
        <f t="shared" si="78"/>
        <v>246.55172413793105</v>
      </c>
      <c r="N1681" s="10">
        <f t="shared" si="79"/>
        <v>247</v>
      </c>
      <c r="O1681" s="6" t="s">
        <v>145</v>
      </c>
      <c r="P1681" s="6">
        <v>4</v>
      </c>
      <c r="Q1681" s="6">
        <v>3</v>
      </c>
      <c r="R1681" s="6">
        <v>9</v>
      </c>
      <c r="S1681" s="6">
        <v>16</v>
      </c>
      <c r="T1681" s="6" t="str">
        <f t="shared" si="80"/>
        <v>Cuarta</v>
      </c>
    </row>
    <row r="1682" spans="1:20">
      <c r="A1682" s="7" t="s">
        <v>3391</v>
      </c>
      <c r="B1682" s="7" t="s">
        <v>526</v>
      </c>
      <c r="C1682" s="8">
        <v>1</v>
      </c>
      <c r="D1682" s="7" t="s">
        <v>3391</v>
      </c>
      <c r="E1682" s="7" t="s">
        <v>3427</v>
      </c>
      <c r="F1682">
        <v>1006</v>
      </c>
      <c r="G1682" s="6">
        <v>10454</v>
      </c>
      <c r="H1682" s="11" t="s">
        <v>3428</v>
      </c>
      <c r="I1682" s="6">
        <v>47</v>
      </c>
      <c r="J1682" s="6">
        <v>1</v>
      </c>
      <c r="K1682" s="6">
        <v>1</v>
      </c>
      <c r="L1682" s="6">
        <v>33</v>
      </c>
      <c r="M1682" s="10">
        <f t="shared" si="78"/>
        <v>3.0303030303030303</v>
      </c>
      <c r="N1682" s="10">
        <f t="shared" si="79"/>
        <v>4</v>
      </c>
      <c r="O1682" s="6" t="s">
        <v>21</v>
      </c>
      <c r="P1682" s="6">
        <v>0</v>
      </c>
      <c r="Q1682" s="6">
        <v>0</v>
      </c>
      <c r="R1682" s="6">
        <v>0</v>
      </c>
      <c r="S1682" s="6">
        <v>0</v>
      </c>
      <c r="T1682" s="6" t="str">
        <f t="shared" si="80"/>
        <v>Septima</v>
      </c>
    </row>
    <row r="1683" spans="1:20">
      <c r="A1683" s="7" t="s">
        <v>3391</v>
      </c>
      <c r="B1683" s="7" t="s">
        <v>526</v>
      </c>
      <c r="C1683" s="8">
        <v>1</v>
      </c>
      <c r="D1683" s="7" t="s">
        <v>3391</v>
      </c>
      <c r="E1683" s="7" t="s">
        <v>3429</v>
      </c>
      <c r="F1683">
        <v>1000</v>
      </c>
      <c r="G1683" s="6">
        <v>2893</v>
      </c>
      <c r="H1683" s="11" t="s">
        <v>3430</v>
      </c>
      <c r="I1683" s="6">
        <v>34</v>
      </c>
      <c r="J1683" s="6">
        <v>0</v>
      </c>
      <c r="K1683" s="6">
        <v>0</v>
      </c>
      <c r="L1683" s="6">
        <v>0</v>
      </c>
      <c r="M1683" s="10">
        <f t="shared" si="78"/>
        <v>0</v>
      </c>
      <c r="N1683" s="10">
        <f t="shared" si="79"/>
        <v>0</v>
      </c>
      <c r="P1683" s="6">
        <v>0</v>
      </c>
      <c r="Q1683" s="6">
        <v>0</v>
      </c>
      <c r="R1683" s="6">
        <v>0</v>
      </c>
      <c r="S1683" s="6">
        <v>0</v>
      </c>
      <c r="T1683" s="6" t="str">
        <f t="shared" si="80"/>
        <v>Septima</v>
      </c>
    </row>
    <row r="1684" spans="1:20">
      <c r="A1684" s="7" t="s">
        <v>3431</v>
      </c>
      <c r="B1684" s="7" t="s">
        <v>483</v>
      </c>
      <c r="C1684" s="8">
        <v>1</v>
      </c>
      <c r="D1684" s="7" t="s">
        <v>3431</v>
      </c>
      <c r="E1684" s="7" t="s">
        <v>3432</v>
      </c>
      <c r="F1684">
        <v>1790</v>
      </c>
      <c r="G1684" s="6">
        <v>23109</v>
      </c>
      <c r="H1684" s="11" t="s">
        <v>3433</v>
      </c>
      <c r="I1684" s="6">
        <v>41</v>
      </c>
      <c r="J1684" s="6">
        <v>139</v>
      </c>
      <c r="K1684" s="6">
        <v>370</v>
      </c>
      <c r="L1684" s="6">
        <v>56</v>
      </c>
      <c r="M1684" s="10">
        <f t="shared" si="78"/>
        <v>660.71428571428567</v>
      </c>
      <c r="N1684" s="10">
        <f t="shared" si="79"/>
        <v>661</v>
      </c>
      <c r="O1684" s="6" t="s">
        <v>219</v>
      </c>
      <c r="P1684" s="6">
        <v>13</v>
      </c>
      <c r="Q1684" s="6">
        <v>19</v>
      </c>
      <c r="R1684" s="6">
        <v>34</v>
      </c>
      <c r="S1684" s="6">
        <v>66</v>
      </c>
      <c r="T1684" s="6" t="str">
        <f t="shared" si="80"/>
        <v>Tercera</v>
      </c>
    </row>
    <row r="1685" spans="1:20">
      <c r="A1685" s="7" t="s">
        <v>3431</v>
      </c>
      <c r="B1685" s="7" t="s">
        <v>483</v>
      </c>
      <c r="C1685" s="8">
        <v>1</v>
      </c>
      <c r="D1685" s="7" t="s">
        <v>3431</v>
      </c>
      <c r="E1685" s="7" t="s">
        <v>3434</v>
      </c>
      <c r="F1685">
        <v>1370</v>
      </c>
      <c r="G1685" s="6">
        <v>6134</v>
      </c>
      <c r="H1685" s="11" t="s">
        <v>3435</v>
      </c>
      <c r="I1685" s="6">
        <v>24</v>
      </c>
      <c r="J1685" s="6">
        <v>1</v>
      </c>
      <c r="K1685" s="6">
        <v>0</v>
      </c>
      <c r="L1685" s="6">
        <v>0</v>
      </c>
      <c r="M1685" s="10">
        <f t="shared" si="78"/>
        <v>0</v>
      </c>
      <c r="N1685" s="10">
        <f t="shared" si="79"/>
        <v>0</v>
      </c>
      <c r="O1685" s="6" t="s">
        <v>99</v>
      </c>
      <c r="P1685" s="6">
        <v>0</v>
      </c>
      <c r="Q1685" s="6">
        <v>0</v>
      </c>
      <c r="R1685" s="6">
        <v>0</v>
      </c>
      <c r="S1685" s="6">
        <v>0</v>
      </c>
      <c r="T1685" s="6" t="str">
        <f t="shared" si="80"/>
        <v>Quinta</v>
      </c>
    </row>
    <row r="1686" spans="1:20">
      <c r="A1686" s="7" t="s">
        <v>3431</v>
      </c>
      <c r="B1686" s="7" t="s">
        <v>483</v>
      </c>
      <c r="C1686" s="8">
        <v>1</v>
      </c>
      <c r="D1686" s="7" t="s">
        <v>3431</v>
      </c>
      <c r="E1686" s="7" t="s">
        <v>3436</v>
      </c>
      <c r="F1686">
        <v>1527</v>
      </c>
      <c r="G1686" s="6">
        <v>3377</v>
      </c>
      <c r="H1686" s="11" t="s">
        <v>3437</v>
      </c>
      <c r="I1686" s="6">
        <v>31</v>
      </c>
      <c r="J1686" s="6">
        <v>2</v>
      </c>
      <c r="K1686" s="6">
        <v>6</v>
      </c>
      <c r="L1686" s="6">
        <v>43</v>
      </c>
      <c r="M1686" s="10">
        <f t="shared" si="78"/>
        <v>13.953488372093023</v>
      </c>
      <c r="N1686" s="10">
        <f t="shared" si="79"/>
        <v>14</v>
      </c>
      <c r="O1686" s="6" t="s">
        <v>394</v>
      </c>
      <c r="P1686" s="6">
        <v>0</v>
      </c>
      <c r="Q1686" s="6">
        <v>0</v>
      </c>
      <c r="R1686" s="6">
        <v>0</v>
      </c>
      <c r="S1686" s="6">
        <v>0</v>
      </c>
      <c r="T1686" s="6" t="str">
        <f t="shared" si="80"/>
        <v>Cuarta</v>
      </c>
    </row>
    <row r="1687" spans="1:20">
      <c r="A1687" s="7" t="s">
        <v>3431</v>
      </c>
      <c r="B1687" s="7" t="s">
        <v>483</v>
      </c>
      <c r="C1687" s="8">
        <v>1</v>
      </c>
      <c r="D1687" s="7" t="s">
        <v>3431</v>
      </c>
      <c r="E1687" s="7" t="s">
        <v>3438</v>
      </c>
      <c r="F1687">
        <v>1658</v>
      </c>
      <c r="G1687" s="6">
        <v>19569</v>
      </c>
      <c r="H1687" s="11" t="s">
        <v>3439</v>
      </c>
      <c r="I1687" s="6">
        <v>59</v>
      </c>
      <c r="J1687" s="6">
        <v>214</v>
      </c>
      <c r="K1687" s="6">
        <v>559</v>
      </c>
      <c r="L1687" s="6">
        <v>56</v>
      </c>
      <c r="M1687" s="10">
        <f t="shared" si="78"/>
        <v>998.21428571428567</v>
      </c>
      <c r="N1687" s="10">
        <f t="shared" si="79"/>
        <v>999</v>
      </c>
      <c r="O1687" s="6" t="s">
        <v>19</v>
      </c>
      <c r="P1687" s="6">
        <v>18</v>
      </c>
      <c r="Q1687" s="6">
        <v>26</v>
      </c>
      <c r="R1687" s="6">
        <v>41</v>
      </c>
      <c r="S1687" s="6">
        <v>85</v>
      </c>
      <c r="T1687" s="6" t="str">
        <f t="shared" si="80"/>
        <v>Tercera</v>
      </c>
    </row>
    <row r="1688" spans="1:20">
      <c r="A1688" s="7" t="s">
        <v>3431</v>
      </c>
      <c r="B1688" s="7" t="s">
        <v>483</v>
      </c>
      <c r="C1688" s="8">
        <v>1</v>
      </c>
      <c r="D1688" s="7" t="s">
        <v>3431</v>
      </c>
      <c r="E1688" s="7" t="s">
        <v>3440</v>
      </c>
      <c r="F1688">
        <v>1452</v>
      </c>
      <c r="G1688" s="6">
        <v>21675</v>
      </c>
      <c r="H1688" s="11" t="s">
        <v>3441</v>
      </c>
      <c r="I1688" s="6">
        <v>54</v>
      </c>
      <c r="J1688" s="6">
        <v>84</v>
      </c>
      <c r="K1688" s="6">
        <v>183</v>
      </c>
      <c r="L1688" s="6">
        <v>53</v>
      </c>
      <c r="M1688" s="10">
        <f t="shared" si="78"/>
        <v>345.28301886792451</v>
      </c>
      <c r="N1688" s="10">
        <f t="shared" si="79"/>
        <v>346</v>
      </c>
      <c r="O1688" s="6" t="s">
        <v>219</v>
      </c>
      <c r="P1688" s="6">
        <v>6</v>
      </c>
      <c r="Q1688" s="6">
        <v>6</v>
      </c>
      <c r="R1688" s="6">
        <v>11</v>
      </c>
      <c r="S1688" s="6">
        <v>23</v>
      </c>
      <c r="T1688" s="6" t="str">
        <f t="shared" si="80"/>
        <v>Cuarta</v>
      </c>
    </row>
    <row r="1689" spans="1:20">
      <c r="A1689" s="7" t="s">
        <v>3431</v>
      </c>
      <c r="B1689" s="7" t="s">
        <v>483</v>
      </c>
      <c r="C1689" s="8">
        <v>1</v>
      </c>
      <c r="D1689" s="7" t="s">
        <v>3431</v>
      </c>
      <c r="E1689" s="7" t="s">
        <v>3442</v>
      </c>
      <c r="F1689">
        <v>1000</v>
      </c>
      <c r="G1689" s="6">
        <v>6731</v>
      </c>
      <c r="H1689" s="11" t="s">
        <v>3443</v>
      </c>
      <c r="I1689" s="6">
        <v>37</v>
      </c>
      <c r="J1689" s="6">
        <v>0</v>
      </c>
      <c r="K1689" s="6">
        <v>0</v>
      </c>
      <c r="L1689" s="6">
        <v>0</v>
      </c>
      <c r="M1689" s="10">
        <f t="shared" si="78"/>
        <v>0</v>
      </c>
      <c r="N1689" s="10">
        <f t="shared" si="79"/>
        <v>0</v>
      </c>
      <c r="P1689" s="6">
        <v>0</v>
      </c>
      <c r="Q1689" s="6">
        <v>0</v>
      </c>
      <c r="R1689" s="6">
        <v>0</v>
      </c>
      <c r="S1689" s="6">
        <v>0</v>
      </c>
      <c r="T1689" s="6" t="str">
        <f t="shared" si="80"/>
        <v>Septima</v>
      </c>
    </row>
    <row r="1690" spans="1:20">
      <c r="A1690" s="7" t="s">
        <v>3431</v>
      </c>
      <c r="B1690" s="7" t="s">
        <v>483</v>
      </c>
      <c r="C1690" s="8">
        <v>1</v>
      </c>
      <c r="D1690" s="7" t="s">
        <v>3431</v>
      </c>
      <c r="E1690" s="7" t="s">
        <v>3444</v>
      </c>
      <c r="F1690">
        <v>1506</v>
      </c>
      <c r="G1690" s="6">
        <v>2534</v>
      </c>
      <c r="H1690" s="11" t="s">
        <v>3445</v>
      </c>
      <c r="J1690" s="6">
        <v>2</v>
      </c>
      <c r="K1690" s="6">
        <v>0</v>
      </c>
      <c r="L1690" s="6">
        <v>0</v>
      </c>
      <c r="M1690" s="10">
        <f t="shared" si="78"/>
        <v>0</v>
      </c>
      <c r="N1690" s="10">
        <f t="shared" si="79"/>
        <v>0</v>
      </c>
      <c r="O1690" s="6" t="s">
        <v>395</v>
      </c>
      <c r="P1690" s="6">
        <v>0</v>
      </c>
      <c r="Q1690" s="6">
        <v>0</v>
      </c>
      <c r="R1690" s="6">
        <v>0</v>
      </c>
      <c r="S1690" s="6">
        <v>0</v>
      </c>
      <c r="T1690" s="6" t="str">
        <f t="shared" si="80"/>
        <v>Cuarta</v>
      </c>
    </row>
    <row r="1691" spans="1:20">
      <c r="A1691" s="7" t="s">
        <v>3431</v>
      </c>
      <c r="B1691" s="7" t="s">
        <v>483</v>
      </c>
      <c r="C1691" s="8">
        <v>1</v>
      </c>
      <c r="D1691" s="7" t="s">
        <v>3431</v>
      </c>
      <c r="E1691" s="7" t="s">
        <v>3446</v>
      </c>
      <c r="F1691">
        <v>1223</v>
      </c>
      <c r="G1691" s="6">
        <v>21374</v>
      </c>
      <c r="H1691" s="11" t="s">
        <v>3447</v>
      </c>
      <c r="I1691" s="6">
        <v>51</v>
      </c>
      <c r="J1691" s="6">
        <v>52</v>
      </c>
      <c r="K1691" s="6">
        <v>106</v>
      </c>
      <c r="L1691" s="6">
        <v>42</v>
      </c>
      <c r="M1691" s="10">
        <f t="shared" si="78"/>
        <v>252.38095238095238</v>
      </c>
      <c r="N1691" s="10">
        <f t="shared" si="79"/>
        <v>253</v>
      </c>
      <c r="O1691" s="6" t="s">
        <v>396</v>
      </c>
      <c r="P1691" s="6">
        <v>3</v>
      </c>
      <c r="Q1691" s="6">
        <v>1</v>
      </c>
      <c r="R1691" s="6">
        <v>7</v>
      </c>
      <c r="S1691" s="6">
        <v>11</v>
      </c>
      <c r="T1691" s="6" t="str">
        <f t="shared" si="80"/>
        <v>Quinta</v>
      </c>
    </row>
    <row r="1692" spans="1:20">
      <c r="A1692" s="7" t="s">
        <v>3431</v>
      </c>
      <c r="B1692" s="7" t="s">
        <v>507</v>
      </c>
      <c r="C1692" s="8">
        <v>1</v>
      </c>
      <c r="D1692" s="7" t="s">
        <v>3431</v>
      </c>
      <c r="E1692" s="7" t="s">
        <v>3448</v>
      </c>
      <c r="F1692">
        <v>1256</v>
      </c>
      <c r="G1692" s="6">
        <v>23179</v>
      </c>
      <c r="H1692" s="11" t="s">
        <v>3449</v>
      </c>
      <c r="I1692" s="6">
        <v>50</v>
      </c>
      <c r="J1692" s="6">
        <v>25</v>
      </c>
      <c r="K1692" s="6">
        <v>54</v>
      </c>
      <c r="L1692" s="6">
        <v>53</v>
      </c>
      <c r="M1692" s="10">
        <f t="shared" si="78"/>
        <v>101.88679245283019</v>
      </c>
      <c r="N1692" s="10">
        <f t="shared" si="79"/>
        <v>102</v>
      </c>
      <c r="O1692" s="6" t="s">
        <v>12</v>
      </c>
      <c r="P1692" s="6">
        <v>2</v>
      </c>
      <c r="Q1692" s="6">
        <v>4</v>
      </c>
      <c r="R1692" s="6">
        <v>5</v>
      </c>
      <c r="S1692" s="6">
        <v>11</v>
      </c>
      <c r="T1692" s="6" t="str">
        <f t="shared" si="80"/>
        <v>Quinta</v>
      </c>
    </row>
    <row r="1693" spans="1:20">
      <c r="A1693" s="7" t="s">
        <v>3431</v>
      </c>
      <c r="B1693" s="7" t="s">
        <v>507</v>
      </c>
      <c r="C1693" s="8">
        <v>1</v>
      </c>
      <c r="D1693" s="7" t="s">
        <v>3431</v>
      </c>
      <c r="E1693" s="7" t="s">
        <v>3446</v>
      </c>
      <c r="F1693">
        <v>1223</v>
      </c>
      <c r="G1693" s="6">
        <v>21374</v>
      </c>
      <c r="H1693" s="11" t="s">
        <v>3447</v>
      </c>
      <c r="I1693" s="6">
        <v>51</v>
      </c>
      <c r="J1693" s="6">
        <v>52</v>
      </c>
      <c r="K1693" s="6">
        <v>106</v>
      </c>
      <c r="L1693" s="6">
        <v>42</v>
      </c>
      <c r="M1693" s="10">
        <f t="shared" si="78"/>
        <v>252.38095238095238</v>
      </c>
      <c r="N1693" s="10">
        <f t="shared" si="79"/>
        <v>253</v>
      </c>
      <c r="O1693" s="6" t="s">
        <v>396</v>
      </c>
      <c r="P1693" s="6">
        <v>3</v>
      </c>
      <c r="Q1693" s="6">
        <v>1</v>
      </c>
      <c r="R1693" s="6">
        <v>7</v>
      </c>
      <c r="S1693" s="6">
        <v>11</v>
      </c>
      <c r="T1693" s="6" t="str">
        <f t="shared" si="80"/>
        <v>Quinta</v>
      </c>
    </row>
    <row r="1694" spans="1:20">
      <c r="A1694" s="7" t="s">
        <v>3431</v>
      </c>
      <c r="B1694" s="7" t="s">
        <v>507</v>
      </c>
      <c r="C1694" s="8">
        <v>1</v>
      </c>
      <c r="D1694" s="7" t="s">
        <v>3431</v>
      </c>
      <c r="E1694" s="7" t="s">
        <v>3450</v>
      </c>
      <c r="F1694">
        <v>1211</v>
      </c>
      <c r="G1694" s="6">
        <v>22446</v>
      </c>
      <c r="H1694" s="11" t="s">
        <v>3451</v>
      </c>
      <c r="I1694" s="6">
        <v>17</v>
      </c>
      <c r="J1694" s="6">
        <v>8</v>
      </c>
      <c r="K1694" s="6">
        <v>36</v>
      </c>
      <c r="L1694" s="6">
        <v>64</v>
      </c>
      <c r="M1694" s="10">
        <f t="shared" si="78"/>
        <v>56.25</v>
      </c>
      <c r="N1694" s="10">
        <f t="shared" si="79"/>
        <v>57</v>
      </c>
      <c r="O1694" s="6" t="s">
        <v>135</v>
      </c>
      <c r="P1694" s="6">
        <v>3</v>
      </c>
      <c r="Q1694" s="6">
        <v>1</v>
      </c>
      <c r="R1694" s="6">
        <v>1</v>
      </c>
      <c r="S1694" s="6">
        <v>5</v>
      </c>
      <c r="T1694" s="6" t="str">
        <f t="shared" si="80"/>
        <v>Quinta</v>
      </c>
    </row>
    <row r="1695" spans="1:20">
      <c r="A1695" s="7" t="s">
        <v>3431</v>
      </c>
      <c r="B1695" s="7" t="s">
        <v>507</v>
      </c>
      <c r="C1695" s="8">
        <v>1</v>
      </c>
      <c r="D1695" s="7" t="s">
        <v>3431</v>
      </c>
      <c r="E1695" s="7" t="s">
        <v>3452</v>
      </c>
      <c r="F1695">
        <v>1240</v>
      </c>
      <c r="G1695" s="6">
        <v>24169</v>
      </c>
      <c r="H1695" s="11" t="s">
        <v>3453</v>
      </c>
      <c r="I1695" s="6">
        <v>16</v>
      </c>
      <c r="J1695" s="6">
        <v>14</v>
      </c>
      <c r="K1695" s="6">
        <v>41</v>
      </c>
      <c r="L1695" s="6">
        <v>61</v>
      </c>
      <c r="M1695" s="10">
        <f t="shared" si="78"/>
        <v>67.213114754098356</v>
      </c>
      <c r="N1695" s="10">
        <f t="shared" si="79"/>
        <v>68</v>
      </c>
      <c r="O1695" s="6" t="s">
        <v>397</v>
      </c>
      <c r="P1695" s="6">
        <v>4</v>
      </c>
      <c r="Q1695" s="6">
        <v>0</v>
      </c>
      <c r="R1695" s="6">
        <v>5</v>
      </c>
      <c r="S1695" s="6">
        <v>9</v>
      </c>
      <c r="T1695" s="6" t="str">
        <f t="shared" si="80"/>
        <v>Quinta</v>
      </c>
    </row>
    <row r="1696" spans="1:20">
      <c r="A1696" s="7" t="s">
        <v>3431</v>
      </c>
      <c r="B1696" s="7" t="s">
        <v>507</v>
      </c>
      <c r="C1696" s="8">
        <v>1</v>
      </c>
      <c r="D1696" s="7" t="s">
        <v>3431</v>
      </c>
      <c r="E1696" s="7" t="s">
        <v>3454</v>
      </c>
      <c r="F1696">
        <v>1266</v>
      </c>
      <c r="G1696" s="6">
        <v>335</v>
      </c>
      <c r="H1696" s="11" t="s">
        <v>3455</v>
      </c>
      <c r="I1696" s="6">
        <v>36</v>
      </c>
      <c r="J1696" s="6">
        <v>18</v>
      </c>
      <c r="K1696" s="6">
        <v>56</v>
      </c>
      <c r="L1696" s="6">
        <v>64</v>
      </c>
      <c r="M1696" s="10">
        <f t="shared" si="78"/>
        <v>87.5</v>
      </c>
      <c r="N1696" s="10">
        <f t="shared" si="79"/>
        <v>88</v>
      </c>
      <c r="O1696" s="6" t="s">
        <v>20</v>
      </c>
      <c r="P1696" s="6">
        <v>5</v>
      </c>
      <c r="Q1696" s="6">
        <v>2</v>
      </c>
      <c r="R1696" s="6">
        <v>1</v>
      </c>
      <c r="S1696" s="6">
        <v>8</v>
      </c>
      <c r="T1696" s="6" t="str">
        <f t="shared" si="80"/>
        <v>Quinta</v>
      </c>
    </row>
    <row r="1697" spans="1:20">
      <c r="A1697" s="7" t="s">
        <v>3431</v>
      </c>
      <c r="B1697" s="7" t="s">
        <v>507</v>
      </c>
      <c r="C1697" s="8">
        <v>1</v>
      </c>
      <c r="D1697" s="7" t="s">
        <v>3431</v>
      </c>
      <c r="E1697" s="7" t="s">
        <v>3456</v>
      </c>
      <c r="F1697">
        <v>1197</v>
      </c>
      <c r="G1697" s="6">
        <v>22894</v>
      </c>
      <c r="H1697" s="11" t="s">
        <v>3457</v>
      </c>
      <c r="I1697" s="6">
        <v>51</v>
      </c>
      <c r="J1697" s="6">
        <v>7</v>
      </c>
      <c r="K1697" s="6">
        <v>19</v>
      </c>
      <c r="L1697" s="6">
        <v>56</v>
      </c>
      <c r="M1697" s="10">
        <f t="shared" si="78"/>
        <v>33.928571428571431</v>
      </c>
      <c r="N1697" s="10">
        <f t="shared" si="79"/>
        <v>34</v>
      </c>
      <c r="O1697" s="6" t="s">
        <v>398</v>
      </c>
      <c r="P1697" s="6">
        <v>1</v>
      </c>
      <c r="Q1697" s="6">
        <v>0</v>
      </c>
      <c r="R1697" s="6">
        <v>2</v>
      </c>
      <c r="S1697" s="6">
        <v>3</v>
      </c>
      <c r="T1697" s="6" t="str">
        <f t="shared" si="80"/>
        <v>Sexta</v>
      </c>
    </row>
    <row r="1698" spans="1:20">
      <c r="A1698" s="7" t="s">
        <v>3431</v>
      </c>
      <c r="B1698" s="7" t="s">
        <v>507</v>
      </c>
      <c r="C1698" s="8">
        <v>1</v>
      </c>
      <c r="D1698" s="7" t="s">
        <v>3431</v>
      </c>
      <c r="E1698" s="7" t="s">
        <v>3458</v>
      </c>
      <c r="F1698">
        <v>1122</v>
      </c>
      <c r="G1698" s="6">
        <v>25379</v>
      </c>
      <c r="H1698" s="11" t="s">
        <v>3459</v>
      </c>
      <c r="I1698" s="6">
        <v>53</v>
      </c>
      <c r="J1698" s="6">
        <v>8</v>
      </c>
      <c r="K1698" s="6">
        <v>27</v>
      </c>
      <c r="L1698" s="6">
        <v>61</v>
      </c>
      <c r="M1698" s="10">
        <f t="shared" si="78"/>
        <v>44.26229508196721</v>
      </c>
      <c r="N1698" s="10">
        <f t="shared" si="79"/>
        <v>45</v>
      </c>
      <c r="O1698" s="6" t="s">
        <v>399</v>
      </c>
      <c r="P1698" s="6">
        <v>1</v>
      </c>
      <c r="Q1698" s="6">
        <v>0</v>
      </c>
      <c r="R1698" s="6">
        <v>5</v>
      </c>
      <c r="S1698" s="6">
        <v>6</v>
      </c>
      <c r="T1698" s="6" t="str">
        <f t="shared" si="80"/>
        <v>Sexta</v>
      </c>
    </row>
    <row r="1699" spans="1:20">
      <c r="A1699" s="7" t="s">
        <v>3431</v>
      </c>
      <c r="B1699" s="7" t="s">
        <v>507</v>
      </c>
      <c r="C1699" s="8">
        <v>1</v>
      </c>
      <c r="D1699" s="7" t="s">
        <v>3431</v>
      </c>
      <c r="E1699" s="7" t="s">
        <v>3460</v>
      </c>
      <c r="F1699">
        <v>1173</v>
      </c>
      <c r="G1699" s="6">
        <v>23742</v>
      </c>
      <c r="H1699" s="11" t="s">
        <v>3461</v>
      </c>
      <c r="I1699" s="6">
        <v>14</v>
      </c>
      <c r="J1699" s="6">
        <v>14</v>
      </c>
      <c r="K1699" s="6">
        <v>40</v>
      </c>
      <c r="L1699" s="6">
        <v>61</v>
      </c>
      <c r="M1699" s="10">
        <f t="shared" si="78"/>
        <v>65.573770491803273</v>
      </c>
      <c r="N1699" s="10">
        <f t="shared" si="79"/>
        <v>66</v>
      </c>
      <c r="O1699" s="6" t="s">
        <v>400</v>
      </c>
      <c r="P1699" s="6">
        <v>2</v>
      </c>
      <c r="Q1699" s="6">
        <v>1</v>
      </c>
      <c r="R1699" s="6">
        <v>4</v>
      </c>
      <c r="S1699" s="6">
        <v>7</v>
      </c>
      <c r="T1699" s="6" t="str">
        <f t="shared" si="80"/>
        <v>Sexta</v>
      </c>
    </row>
    <row r="1700" spans="1:20">
      <c r="A1700" s="7" t="s">
        <v>3431</v>
      </c>
      <c r="B1700" s="7" t="s">
        <v>526</v>
      </c>
      <c r="C1700" s="8">
        <v>1</v>
      </c>
      <c r="D1700" s="7" t="s">
        <v>3431</v>
      </c>
      <c r="E1700" s="7" t="s">
        <v>3462</v>
      </c>
      <c r="F1700">
        <v>1090</v>
      </c>
      <c r="G1700" s="6">
        <v>25840</v>
      </c>
      <c r="H1700" s="11" t="s">
        <v>3463</v>
      </c>
      <c r="I1700" s="6">
        <v>33</v>
      </c>
      <c r="J1700" s="6">
        <v>38</v>
      </c>
      <c r="K1700" s="6">
        <v>105</v>
      </c>
      <c r="L1700" s="6">
        <v>54</v>
      </c>
      <c r="M1700" s="10">
        <f t="shared" si="78"/>
        <v>194.44444444444446</v>
      </c>
      <c r="N1700" s="10">
        <f t="shared" si="79"/>
        <v>195</v>
      </c>
      <c r="O1700" s="6" t="s">
        <v>362</v>
      </c>
      <c r="P1700" s="6">
        <v>1</v>
      </c>
      <c r="Q1700" s="6">
        <v>5</v>
      </c>
      <c r="R1700" s="6">
        <v>9</v>
      </c>
      <c r="S1700" s="6">
        <v>15</v>
      </c>
      <c r="T1700" s="6" t="str">
        <f t="shared" si="80"/>
        <v>Sexta</v>
      </c>
    </row>
    <row r="1701" spans="1:20">
      <c r="A1701" s="7" t="s">
        <v>3431</v>
      </c>
      <c r="B1701" s="7" t="s">
        <v>526</v>
      </c>
      <c r="C1701" s="8">
        <v>1</v>
      </c>
      <c r="D1701" s="7" t="s">
        <v>3431</v>
      </c>
      <c r="E1701" s="7" t="s">
        <v>3464</v>
      </c>
      <c r="F1701">
        <v>1072</v>
      </c>
      <c r="G1701" s="6">
        <v>26257</v>
      </c>
      <c r="H1701" s="11" t="s">
        <v>3465</v>
      </c>
      <c r="I1701" s="6">
        <v>47</v>
      </c>
      <c r="J1701" s="6">
        <v>5</v>
      </c>
      <c r="K1701" s="6">
        <v>15</v>
      </c>
      <c r="L1701" s="6">
        <v>52</v>
      </c>
      <c r="M1701" s="10">
        <f t="shared" si="78"/>
        <v>28.846153846153847</v>
      </c>
      <c r="N1701" s="10">
        <f t="shared" si="79"/>
        <v>29</v>
      </c>
      <c r="O1701" s="6" t="s">
        <v>350</v>
      </c>
      <c r="P1701" s="6">
        <v>1</v>
      </c>
      <c r="Q1701" s="6">
        <v>0</v>
      </c>
      <c r="R1701" s="6">
        <v>1</v>
      </c>
      <c r="S1701" s="6">
        <v>2</v>
      </c>
      <c r="T1701" s="6" t="str">
        <f t="shared" si="80"/>
        <v>Septima</v>
      </c>
    </row>
    <row r="1702" spans="1:20">
      <c r="A1702" s="7" t="s">
        <v>3431</v>
      </c>
      <c r="B1702" s="7" t="s">
        <v>526</v>
      </c>
      <c r="C1702" s="8">
        <v>1</v>
      </c>
      <c r="D1702" s="7" t="s">
        <v>3431</v>
      </c>
      <c r="E1702" s="7" t="s">
        <v>3466</v>
      </c>
      <c r="F1702">
        <v>1188</v>
      </c>
      <c r="G1702" s="6">
        <v>24076</v>
      </c>
      <c r="H1702" s="11" t="s">
        <v>3467</v>
      </c>
      <c r="I1702" s="6">
        <v>17</v>
      </c>
      <c r="J1702" s="6">
        <v>25</v>
      </c>
      <c r="K1702" s="6">
        <v>54</v>
      </c>
      <c r="L1702" s="6">
        <v>51</v>
      </c>
      <c r="M1702" s="10">
        <f t="shared" si="78"/>
        <v>105.88235294117646</v>
      </c>
      <c r="N1702" s="10">
        <f t="shared" si="79"/>
        <v>106</v>
      </c>
      <c r="O1702" s="6" t="s">
        <v>12</v>
      </c>
      <c r="P1702" s="6">
        <v>3</v>
      </c>
      <c r="Q1702" s="6">
        <v>3</v>
      </c>
      <c r="R1702" s="6">
        <v>1</v>
      </c>
      <c r="S1702" s="6">
        <v>7</v>
      </c>
      <c r="T1702" s="6" t="str">
        <f t="shared" si="80"/>
        <v>Sexta</v>
      </c>
    </row>
    <row r="1703" spans="1:20">
      <c r="A1703" s="7" t="s">
        <v>3431</v>
      </c>
      <c r="B1703" s="7" t="s">
        <v>526</v>
      </c>
      <c r="C1703" s="8">
        <v>1</v>
      </c>
      <c r="D1703" s="7" t="s">
        <v>3431</v>
      </c>
      <c r="E1703" s="7" t="s">
        <v>3468</v>
      </c>
      <c r="F1703">
        <v>763</v>
      </c>
      <c r="G1703" s="6">
        <v>22444</v>
      </c>
      <c r="H1703" s="11" t="s">
        <v>3469</v>
      </c>
      <c r="I1703" s="6">
        <v>59</v>
      </c>
      <c r="J1703" s="6">
        <v>15</v>
      </c>
      <c r="K1703" s="6">
        <v>10</v>
      </c>
      <c r="L1703" s="6">
        <v>16</v>
      </c>
      <c r="M1703" s="10">
        <f t="shared" si="78"/>
        <v>62.5</v>
      </c>
      <c r="N1703" s="10">
        <f t="shared" si="79"/>
        <v>63</v>
      </c>
      <c r="O1703" s="6" t="s">
        <v>261</v>
      </c>
      <c r="P1703" s="6">
        <v>0</v>
      </c>
      <c r="Q1703" s="6">
        <v>0</v>
      </c>
      <c r="R1703" s="6">
        <v>0</v>
      </c>
      <c r="S1703" s="6">
        <v>0</v>
      </c>
      <c r="T1703" s="6" t="str">
        <f t="shared" si="80"/>
        <v>Octava</v>
      </c>
    </row>
    <row r="1704" spans="1:20">
      <c r="A1704" s="7" t="s">
        <v>3431</v>
      </c>
      <c r="B1704" s="7" t="s">
        <v>526</v>
      </c>
      <c r="C1704" s="8">
        <v>1</v>
      </c>
      <c r="D1704" s="7" t="s">
        <v>3431</v>
      </c>
      <c r="E1704" s="7" t="s">
        <v>3470</v>
      </c>
      <c r="F1704">
        <v>1159</v>
      </c>
      <c r="G1704" s="6">
        <v>21893</v>
      </c>
      <c r="H1704" s="11" t="s">
        <v>3471</v>
      </c>
      <c r="I1704" s="6">
        <v>19</v>
      </c>
      <c r="J1704" s="6">
        <v>19</v>
      </c>
      <c r="K1704" s="6">
        <v>58</v>
      </c>
      <c r="L1704" s="6">
        <v>55</v>
      </c>
      <c r="M1704" s="10">
        <f t="shared" si="78"/>
        <v>105.45454545454545</v>
      </c>
      <c r="N1704" s="10">
        <f t="shared" si="79"/>
        <v>106</v>
      </c>
      <c r="O1704" s="6" t="s">
        <v>12</v>
      </c>
      <c r="P1704" s="6">
        <v>1</v>
      </c>
      <c r="Q1704" s="6">
        <v>1</v>
      </c>
      <c r="R1704" s="6">
        <v>8</v>
      </c>
      <c r="S1704" s="6">
        <v>10</v>
      </c>
      <c r="T1704" s="6" t="str">
        <f t="shared" si="80"/>
        <v>Sexta</v>
      </c>
    </row>
    <row r="1705" spans="1:20">
      <c r="A1705" s="7" t="s">
        <v>3431</v>
      </c>
      <c r="B1705" s="7" t="s">
        <v>526</v>
      </c>
      <c r="C1705" s="8">
        <v>1</v>
      </c>
      <c r="D1705" s="7" t="s">
        <v>3431</v>
      </c>
      <c r="E1705" s="7" t="s">
        <v>3472</v>
      </c>
      <c r="F1705">
        <v>1045</v>
      </c>
      <c r="G1705" s="6">
        <v>25309</v>
      </c>
      <c r="H1705" s="11" t="s">
        <v>3473</v>
      </c>
      <c r="I1705" s="6">
        <v>57</v>
      </c>
      <c r="J1705" s="6">
        <v>42</v>
      </c>
      <c r="K1705" s="6">
        <v>52</v>
      </c>
      <c r="L1705" s="6">
        <v>32</v>
      </c>
      <c r="M1705" s="10">
        <f t="shared" si="78"/>
        <v>162.5</v>
      </c>
      <c r="N1705" s="10">
        <f t="shared" si="79"/>
        <v>163</v>
      </c>
      <c r="O1705" s="6" t="s">
        <v>12</v>
      </c>
      <c r="P1705" s="6">
        <v>2</v>
      </c>
      <c r="Q1705" s="6">
        <v>0</v>
      </c>
      <c r="R1705" s="6">
        <v>1</v>
      </c>
      <c r="S1705" s="6">
        <v>3</v>
      </c>
      <c r="T1705" s="6" t="str">
        <f t="shared" si="80"/>
        <v>Septima</v>
      </c>
    </row>
    <row r="1706" spans="1:20">
      <c r="A1706" s="7" t="s">
        <v>3431</v>
      </c>
      <c r="B1706" s="7" t="s">
        <v>526</v>
      </c>
      <c r="C1706" s="8">
        <v>1</v>
      </c>
      <c r="D1706" s="7" t="s">
        <v>3431</v>
      </c>
      <c r="E1706" s="7" t="s">
        <v>3474</v>
      </c>
      <c r="F1706">
        <v>1182</v>
      </c>
      <c r="G1706" s="6">
        <v>25307</v>
      </c>
      <c r="H1706" s="11" t="s">
        <v>3475</v>
      </c>
      <c r="I1706" s="6">
        <v>26</v>
      </c>
      <c r="J1706" s="6">
        <v>50</v>
      </c>
      <c r="K1706" s="6">
        <v>110</v>
      </c>
      <c r="L1706" s="6">
        <v>52</v>
      </c>
      <c r="M1706" s="10">
        <f t="shared" si="78"/>
        <v>211.53846153846155</v>
      </c>
      <c r="N1706" s="10">
        <f t="shared" si="79"/>
        <v>212</v>
      </c>
      <c r="O1706" s="6" t="s">
        <v>12</v>
      </c>
      <c r="P1706" s="6">
        <v>4</v>
      </c>
      <c r="Q1706" s="6">
        <v>3</v>
      </c>
      <c r="R1706" s="6">
        <v>5</v>
      </c>
      <c r="S1706" s="6">
        <v>12</v>
      </c>
      <c r="T1706" s="6" t="str">
        <f t="shared" si="80"/>
        <v>Sexta</v>
      </c>
    </row>
    <row r="1707" spans="1:20">
      <c r="A1707" s="7" t="s">
        <v>3431</v>
      </c>
      <c r="B1707" s="7" t="s">
        <v>526</v>
      </c>
      <c r="C1707" s="8">
        <v>1</v>
      </c>
      <c r="D1707" s="7" t="s">
        <v>3431</v>
      </c>
      <c r="E1707" s="7" t="s">
        <v>3476</v>
      </c>
      <c r="F1707">
        <v>1098</v>
      </c>
      <c r="G1707" s="6">
        <v>23459</v>
      </c>
      <c r="H1707" s="11" t="s">
        <v>3477</v>
      </c>
      <c r="I1707" s="6">
        <v>36</v>
      </c>
      <c r="J1707" s="6">
        <v>138</v>
      </c>
      <c r="K1707" s="6">
        <v>200</v>
      </c>
      <c r="L1707" s="6">
        <v>34</v>
      </c>
      <c r="M1707" s="10">
        <f t="shared" si="78"/>
        <v>588.23529411764707</v>
      </c>
      <c r="N1707" s="10">
        <f t="shared" si="79"/>
        <v>589</v>
      </c>
      <c r="O1707" s="6" t="s">
        <v>18</v>
      </c>
      <c r="P1707" s="6">
        <v>2</v>
      </c>
      <c r="Q1707" s="6">
        <v>8</v>
      </c>
      <c r="R1707" s="6">
        <v>18</v>
      </c>
      <c r="S1707" s="6">
        <v>28</v>
      </c>
      <c r="T1707" s="6" t="str">
        <f t="shared" si="80"/>
        <v>Sexta</v>
      </c>
    </row>
    <row r="1708" spans="1:20">
      <c r="A1708" s="7" t="s">
        <v>3478</v>
      </c>
      <c r="B1708" s="7" t="s">
        <v>507</v>
      </c>
      <c r="C1708" s="8">
        <v>1</v>
      </c>
      <c r="D1708" s="7" t="s">
        <v>3478</v>
      </c>
      <c r="E1708" s="7" t="s">
        <v>3479</v>
      </c>
      <c r="F1708">
        <v>1382</v>
      </c>
      <c r="G1708" s="6">
        <v>570</v>
      </c>
      <c r="H1708" s="11" t="s">
        <v>3480</v>
      </c>
      <c r="I1708" s="6">
        <v>50</v>
      </c>
      <c r="J1708" s="6">
        <v>10</v>
      </c>
      <c r="K1708" s="6">
        <v>35</v>
      </c>
      <c r="L1708" s="6">
        <v>51</v>
      </c>
      <c r="M1708" s="10">
        <f t="shared" si="78"/>
        <v>68.627450980392155</v>
      </c>
      <c r="N1708" s="10">
        <f t="shared" si="79"/>
        <v>69</v>
      </c>
      <c r="O1708" s="6" t="s">
        <v>12</v>
      </c>
      <c r="P1708" s="6">
        <v>2</v>
      </c>
      <c r="Q1708" s="6">
        <v>1</v>
      </c>
      <c r="R1708" s="6">
        <v>4</v>
      </c>
      <c r="S1708" s="6">
        <v>7</v>
      </c>
      <c r="T1708" s="6" t="str">
        <f t="shared" si="80"/>
        <v>Quinta</v>
      </c>
    </row>
    <row r="1709" spans="1:20">
      <c r="A1709" s="7" t="s">
        <v>3478</v>
      </c>
      <c r="B1709" s="7" t="s">
        <v>507</v>
      </c>
      <c r="C1709" s="8">
        <v>1</v>
      </c>
      <c r="D1709" s="7" t="s">
        <v>3478</v>
      </c>
      <c r="E1709" s="7" t="s">
        <v>3481</v>
      </c>
      <c r="F1709">
        <v>1222</v>
      </c>
      <c r="G1709" s="6">
        <v>11634</v>
      </c>
      <c r="H1709" s="11" t="s">
        <v>3482</v>
      </c>
      <c r="I1709" s="6">
        <v>60</v>
      </c>
      <c r="J1709" s="6">
        <v>10</v>
      </c>
      <c r="K1709" s="6">
        <v>12</v>
      </c>
      <c r="L1709" s="6">
        <v>29</v>
      </c>
      <c r="M1709" s="10">
        <f t="shared" si="78"/>
        <v>41.379310344827587</v>
      </c>
      <c r="N1709" s="10">
        <f t="shared" si="79"/>
        <v>42</v>
      </c>
      <c r="O1709" s="6" t="s">
        <v>335</v>
      </c>
      <c r="P1709" s="6">
        <v>0</v>
      </c>
      <c r="Q1709" s="6">
        <v>0</v>
      </c>
      <c r="R1709" s="6">
        <v>1</v>
      </c>
      <c r="S1709" s="6">
        <v>1</v>
      </c>
      <c r="T1709" s="6" t="str">
        <f t="shared" si="80"/>
        <v>Quinta</v>
      </c>
    </row>
    <row r="1710" spans="1:20">
      <c r="A1710" s="7" t="s">
        <v>3478</v>
      </c>
      <c r="B1710" s="7" t="s">
        <v>507</v>
      </c>
      <c r="C1710" s="8">
        <v>1</v>
      </c>
      <c r="D1710" s="7" t="s">
        <v>3478</v>
      </c>
      <c r="E1710" s="7" t="s">
        <v>3483</v>
      </c>
      <c r="F1710">
        <v>1209</v>
      </c>
      <c r="G1710" s="6">
        <v>27334</v>
      </c>
      <c r="H1710" s="11" t="s">
        <v>3484</v>
      </c>
      <c r="I1710" s="6">
        <v>39</v>
      </c>
      <c r="J1710" s="6">
        <v>15</v>
      </c>
      <c r="K1710" s="6">
        <v>47</v>
      </c>
      <c r="L1710" s="6">
        <v>68</v>
      </c>
      <c r="M1710" s="10">
        <f t="shared" si="78"/>
        <v>69.117647058823536</v>
      </c>
      <c r="N1710" s="10">
        <f t="shared" si="79"/>
        <v>70</v>
      </c>
      <c r="O1710" s="6" t="s">
        <v>112</v>
      </c>
      <c r="P1710" s="6">
        <v>4</v>
      </c>
      <c r="Q1710" s="6">
        <v>0</v>
      </c>
      <c r="R1710" s="6">
        <v>8</v>
      </c>
      <c r="S1710" s="6">
        <v>12</v>
      </c>
      <c r="T1710" s="6" t="str">
        <f t="shared" si="80"/>
        <v>Quinta</v>
      </c>
    </row>
    <row r="1711" spans="1:20">
      <c r="A1711" s="7" t="s">
        <v>3478</v>
      </c>
      <c r="B1711" s="7" t="s">
        <v>507</v>
      </c>
      <c r="C1711" s="8">
        <v>1</v>
      </c>
      <c r="D1711" s="7" t="s">
        <v>3478</v>
      </c>
      <c r="E1711" s="7" t="s">
        <v>3485</v>
      </c>
      <c r="F1711">
        <v>1191</v>
      </c>
      <c r="G1711" s="6">
        <v>14739</v>
      </c>
      <c r="H1711" s="11" t="s">
        <v>3486</v>
      </c>
      <c r="I1711" s="6">
        <v>21</v>
      </c>
      <c r="J1711" s="6">
        <v>2</v>
      </c>
      <c r="K1711" s="6">
        <v>0</v>
      </c>
      <c r="L1711" s="6">
        <v>0</v>
      </c>
      <c r="M1711" s="10">
        <f t="shared" si="78"/>
        <v>0</v>
      </c>
      <c r="N1711" s="10">
        <f t="shared" si="79"/>
        <v>0</v>
      </c>
      <c r="O1711" s="6" t="s">
        <v>401</v>
      </c>
      <c r="P1711" s="6">
        <v>0</v>
      </c>
      <c r="Q1711" s="6">
        <v>0</v>
      </c>
      <c r="R1711" s="6">
        <v>0</v>
      </c>
      <c r="S1711" s="6">
        <v>0</v>
      </c>
      <c r="T1711" s="6" t="str">
        <f t="shared" si="80"/>
        <v>Sexta</v>
      </c>
    </row>
    <row r="1712" spans="1:20">
      <c r="A1712" s="7" t="s">
        <v>3478</v>
      </c>
      <c r="B1712" s="7" t="s">
        <v>507</v>
      </c>
      <c r="C1712" s="8">
        <v>1</v>
      </c>
      <c r="D1712" s="7" t="s">
        <v>3478</v>
      </c>
      <c r="E1712" s="7" t="s">
        <v>3487</v>
      </c>
      <c r="F1712">
        <v>1364</v>
      </c>
      <c r="G1712" s="6">
        <v>15187</v>
      </c>
      <c r="H1712" s="11" t="s">
        <v>3488</v>
      </c>
      <c r="I1712" s="6">
        <v>40</v>
      </c>
      <c r="J1712" s="6">
        <v>1</v>
      </c>
      <c r="K1712" s="6">
        <v>6</v>
      </c>
      <c r="L1712" s="6">
        <v>67</v>
      </c>
      <c r="M1712" s="10">
        <f t="shared" si="78"/>
        <v>8.9552238805970141</v>
      </c>
      <c r="N1712" s="10">
        <f t="shared" si="79"/>
        <v>9</v>
      </c>
      <c r="O1712" s="6" t="s">
        <v>402</v>
      </c>
      <c r="P1712" s="6">
        <v>0</v>
      </c>
      <c r="Q1712" s="6">
        <v>0</v>
      </c>
      <c r="R1712" s="6">
        <v>1</v>
      </c>
      <c r="S1712" s="6">
        <v>1</v>
      </c>
      <c r="T1712" s="6" t="str">
        <f t="shared" si="80"/>
        <v>Quinta</v>
      </c>
    </row>
    <row r="1713" spans="1:20">
      <c r="A1713" s="7" t="s">
        <v>3478</v>
      </c>
      <c r="B1713" s="7" t="s">
        <v>507</v>
      </c>
      <c r="C1713" s="8">
        <v>1</v>
      </c>
      <c r="D1713" s="7" t="s">
        <v>3478</v>
      </c>
      <c r="E1713" s="7" t="s">
        <v>3489</v>
      </c>
      <c r="F1713">
        <v>1255</v>
      </c>
      <c r="G1713" s="6">
        <v>17821</v>
      </c>
      <c r="H1713" s="11" t="s">
        <v>3490</v>
      </c>
      <c r="I1713" s="6">
        <v>59</v>
      </c>
      <c r="J1713" s="6">
        <v>7</v>
      </c>
      <c r="K1713" s="6">
        <v>9</v>
      </c>
      <c r="L1713" s="6">
        <v>38</v>
      </c>
      <c r="M1713" s="10">
        <f t="shared" si="78"/>
        <v>23.684210526315791</v>
      </c>
      <c r="N1713" s="10">
        <f t="shared" si="79"/>
        <v>24</v>
      </c>
      <c r="O1713" s="6" t="s">
        <v>403</v>
      </c>
      <c r="P1713" s="6">
        <v>0</v>
      </c>
      <c r="Q1713" s="6">
        <v>0</v>
      </c>
      <c r="R1713" s="6">
        <v>0</v>
      </c>
      <c r="S1713" s="6">
        <v>0</v>
      </c>
      <c r="T1713" s="6" t="str">
        <f t="shared" si="80"/>
        <v>Quinta</v>
      </c>
    </row>
    <row r="1714" spans="1:20">
      <c r="A1714" s="7" t="s">
        <v>3478</v>
      </c>
      <c r="B1714" s="7" t="s">
        <v>507</v>
      </c>
      <c r="C1714" s="8">
        <v>1</v>
      </c>
      <c r="D1714" s="7" t="s">
        <v>3478</v>
      </c>
      <c r="E1714" s="7" t="s">
        <v>3491</v>
      </c>
      <c r="F1714">
        <v>1069</v>
      </c>
      <c r="G1714" s="6">
        <v>25506</v>
      </c>
      <c r="H1714" s="11" t="s">
        <v>1670</v>
      </c>
      <c r="I1714" s="6">
        <v>36</v>
      </c>
      <c r="J1714" s="6">
        <v>18</v>
      </c>
      <c r="K1714" s="6">
        <v>35</v>
      </c>
      <c r="L1714" s="6">
        <v>48</v>
      </c>
      <c r="M1714" s="10">
        <f t="shared" si="78"/>
        <v>72.916666666666671</v>
      </c>
      <c r="N1714" s="10">
        <f t="shared" si="79"/>
        <v>73</v>
      </c>
      <c r="O1714" s="6" t="s">
        <v>214</v>
      </c>
      <c r="P1714" s="6">
        <v>0</v>
      </c>
      <c r="Q1714" s="6">
        <v>0</v>
      </c>
      <c r="R1714" s="6">
        <v>4</v>
      </c>
      <c r="S1714" s="6">
        <v>4</v>
      </c>
      <c r="T1714" s="6" t="str">
        <f t="shared" si="80"/>
        <v>Septima</v>
      </c>
    </row>
    <row r="1715" spans="1:20">
      <c r="A1715" s="7" t="s">
        <v>3478</v>
      </c>
      <c r="B1715" s="7" t="s">
        <v>507</v>
      </c>
      <c r="C1715" s="8">
        <v>1</v>
      </c>
      <c r="D1715" s="7" t="s">
        <v>3478</v>
      </c>
      <c r="E1715" s="7" t="s">
        <v>3492</v>
      </c>
      <c r="F1715">
        <v>1097</v>
      </c>
      <c r="G1715" s="6">
        <v>26470</v>
      </c>
      <c r="H1715" s="11" t="s">
        <v>3493</v>
      </c>
      <c r="I1715" s="6">
        <v>64</v>
      </c>
      <c r="J1715" s="6">
        <v>6</v>
      </c>
      <c r="K1715" s="6">
        <v>14</v>
      </c>
      <c r="L1715" s="6">
        <v>56</v>
      </c>
      <c r="M1715" s="10">
        <f t="shared" si="78"/>
        <v>25</v>
      </c>
      <c r="N1715" s="10">
        <f t="shared" si="79"/>
        <v>25</v>
      </c>
      <c r="O1715" s="6" t="s">
        <v>112</v>
      </c>
      <c r="P1715" s="6">
        <v>1</v>
      </c>
      <c r="Q1715" s="6">
        <v>0</v>
      </c>
      <c r="R1715" s="6">
        <v>1</v>
      </c>
      <c r="S1715" s="6">
        <v>2</v>
      </c>
      <c r="T1715" s="6" t="str">
        <f t="shared" si="80"/>
        <v>Sexta</v>
      </c>
    </row>
    <row r="1716" spans="1:20" ht="24">
      <c r="A1716" s="7" t="s">
        <v>3494</v>
      </c>
      <c r="B1716" s="7" t="s">
        <v>483</v>
      </c>
      <c r="C1716" s="8">
        <v>1</v>
      </c>
      <c r="D1716" s="7" t="s">
        <v>3494</v>
      </c>
      <c r="E1716" s="7" t="s">
        <v>3495</v>
      </c>
      <c r="F1716">
        <v>1733</v>
      </c>
      <c r="G1716" s="6">
        <v>22222</v>
      </c>
      <c r="H1716" s="11" t="s">
        <v>3496</v>
      </c>
      <c r="I1716" s="6">
        <v>28</v>
      </c>
      <c r="J1716" s="6">
        <v>88</v>
      </c>
      <c r="K1716" s="6">
        <v>211</v>
      </c>
      <c r="L1716" s="6">
        <v>51</v>
      </c>
      <c r="M1716" s="10">
        <f t="shared" si="78"/>
        <v>413.72549019607845</v>
      </c>
      <c r="N1716" s="10">
        <f t="shared" si="79"/>
        <v>414</v>
      </c>
      <c r="O1716" s="6" t="s">
        <v>37</v>
      </c>
      <c r="P1716" s="6">
        <v>10</v>
      </c>
      <c r="Q1716" s="6">
        <v>10</v>
      </c>
      <c r="R1716" s="6">
        <v>15</v>
      </c>
      <c r="S1716" s="6">
        <v>35</v>
      </c>
      <c r="T1716" s="6" t="str">
        <f t="shared" si="80"/>
        <v>Tercera</v>
      </c>
    </row>
    <row r="1717" spans="1:20" ht="24">
      <c r="A1717" s="7" t="s">
        <v>3494</v>
      </c>
      <c r="B1717" s="7" t="s">
        <v>483</v>
      </c>
      <c r="C1717" s="8">
        <v>1</v>
      </c>
      <c r="D1717" s="7" t="s">
        <v>3494</v>
      </c>
      <c r="E1717" s="7" t="s">
        <v>3497</v>
      </c>
      <c r="F1717">
        <v>1666</v>
      </c>
      <c r="G1717" s="6">
        <v>19019</v>
      </c>
      <c r="H1717" s="11" t="s">
        <v>3498</v>
      </c>
      <c r="I1717" s="6">
        <v>44</v>
      </c>
      <c r="J1717" s="6">
        <v>21</v>
      </c>
      <c r="K1717" s="6">
        <v>22</v>
      </c>
      <c r="L1717" s="6">
        <v>28</v>
      </c>
      <c r="M1717" s="10">
        <f t="shared" si="78"/>
        <v>78.571428571428569</v>
      </c>
      <c r="N1717" s="10">
        <f t="shared" si="79"/>
        <v>79</v>
      </c>
      <c r="O1717" s="6" t="s">
        <v>128</v>
      </c>
      <c r="P1717" s="6">
        <v>0</v>
      </c>
      <c r="Q1717" s="6">
        <v>2</v>
      </c>
      <c r="R1717" s="6">
        <v>2</v>
      </c>
      <c r="S1717" s="6">
        <v>4</v>
      </c>
      <c r="T1717" s="6" t="str">
        <f t="shared" si="80"/>
        <v>Tercera</v>
      </c>
    </row>
    <row r="1718" spans="1:20" ht="24">
      <c r="A1718" s="7" t="s">
        <v>3494</v>
      </c>
      <c r="B1718" s="7" t="s">
        <v>483</v>
      </c>
      <c r="C1718" s="8">
        <v>1</v>
      </c>
      <c r="D1718" s="7" t="s">
        <v>3494</v>
      </c>
      <c r="E1718" s="7" t="s">
        <v>3499</v>
      </c>
      <c r="F1718">
        <v>1651</v>
      </c>
      <c r="G1718" s="6">
        <v>16653</v>
      </c>
      <c r="H1718" s="11" t="s">
        <v>3500</v>
      </c>
      <c r="I1718" s="6">
        <v>43</v>
      </c>
      <c r="J1718" s="6">
        <v>159</v>
      </c>
      <c r="K1718" s="6">
        <v>380</v>
      </c>
      <c r="L1718" s="6">
        <v>53</v>
      </c>
      <c r="M1718" s="10">
        <f t="shared" si="78"/>
        <v>716.98113207547169</v>
      </c>
      <c r="N1718" s="10">
        <f t="shared" si="79"/>
        <v>717</v>
      </c>
      <c r="O1718" s="6" t="s">
        <v>88</v>
      </c>
      <c r="P1718" s="6">
        <v>19</v>
      </c>
      <c r="Q1718" s="6">
        <v>18</v>
      </c>
      <c r="R1718" s="6">
        <v>31</v>
      </c>
      <c r="S1718" s="6">
        <v>68</v>
      </c>
      <c r="T1718" s="6" t="str">
        <f t="shared" si="80"/>
        <v>Tercera</v>
      </c>
    </row>
    <row r="1719" spans="1:20" ht="24">
      <c r="A1719" s="7" t="s">
        <v>3494</v>
      </c>
      <c r="B1719" s="7" t="s">
        <v>483</v>
      </c>
      <c r="C1719" s="8">
        <v>1</v>
      </c>
      <c r="D1719" s="7" t="s">
        <v>3494</v>
      </c>
      <c r="E1719" s="7" t="s">
        <v>3501</v>
      </c>
      <c r="F1719">
        <v>1225</v>
      </c>
      <c r="G1719" s="6">
        <v>8594</v>
      </c>
      <c r="H1719" s="11" t="s">
        <v>3502</v>
      </c>
      <c r="I1719" s="6">
        <v>42</v>
      </c>
      <c r="J1719" s="6">
        <v>11</v>
      </c>
      <c r="K1719" s="6">
        <v>16</v>
      </c>
      <c r="L1719" s="6">
        <v>35</v>
      </c>
      <c r="M1719" s="10">
        <f t="shared" si="78"/>
        <v>45.714285714285715</v>
      </c>
      <c r="N1719" s="10">
        <f t="shared" si="79"/>
        <v>46</v>
      </c>
      <c r="O1719" s="6" t="s">
        <v>404</v>
      </c>
      <c r="P1719" s="6">
        <v>0</v>
      </c>
      <c r="Q1719" s="6">
        <v>1</v>
      </c>
      <c r="R1719" s="6">
        <v>0</v>
      </c>
      <c r="S1719" s="6">
        <v>1</v>
      </c>
      <c r="T1719" s="6" t="str">
        <f t="shared" si="80"/>
        <v>Quinta</v>
      </c>
    </row>
    <row r="1720" spans="1:20" ht="24">
      <c r="A1720" s="7" t="s">
        <v>3494</v>
      </c>
      <c r="B1720" s="7" t="s">
        <v>483</v>
      </c>
      <c r="C1720" s="8">
        <v>1</v>
      </c>
      <c r="D1720" s="7" t="s">
        <v>3494</v>
      </c>
      <c r="E1720" s="7" t="s">
        <v>3503</v>
      </c>
      <c r="F1720">
        <v>1341</v>
      </c>
      <c r="G1720" s="6">
        <v>18115</v>
      </c>
      <c r="H1720" s="11" t="s">
        <v>3504</v>
      </c>
      <c r="I1720" s="6">
        <v>36</v>
      </c>
      <c r="J1720" s="6">
        <v>201</v>
      </c>
      <c r="K1720" s="6">
        <v>364</v>
      </c>
      <c r="L1720" s="6">
        <v>45</v>
      </c>
      <c r="M1720" s="10">
        <f t="shared" si="78"/>
        <v>808.88888888888891</v>
      </c>
      <c r="N1720" s="10">
        <f t="shared" si="79"/>
        <v>809</v>
      </c>
      <c r="O1720" s="6" t="s">
        <v>88</v>
      </c>
      <c r="P1720" s="6">
        <v>17</v>
      </c>
      <c r="Q1720" s="6">
        <v>22</v>
      </c>
      <c r="R1720" s="6">
        <v>40</v>
      </c>
      <c r="S1720" s="6">
        <v>79</v>
      </c>
      <c r="T1720" s="6" t="str">
        <f t="shared" si="80"/>
        <v>Quinta</v>
      </c>
    </row>
    <row r="1721" spans="1:20" ht="24">
      <c r="A1721" s="7" t="s">
        <v>3494</v>
      </c>
      <c r="B1721" s="7" t="s">
        <v>483</v>
      </c>
      <c r="C1721" s="8">
        <v>1</v>
      </c>
      <c r="D1721" s="7" t="s">
        <v>3494</v>
      </c>
      <c r="E1721" s="7" t="s">
        <v>3505</v>
      </c>
      <c r="F1721">
        <v>1625</v>
      </c>
      <c r="G1721" s="6">
        <v>2692</v>
      </c>
      <c r="H1721" s="11" t="s">
        <v>3506</v>
      </c>
      <c r="I1721" s="6">
        <v>32</v>
      </c>
      <c r="J1721" s="6">
        <v>2</v>
      </c>
      <c r="K1721" s="6">
        <v>7</v>
      </c>
      <c r="L1721" s="6">
        <v>70</v>
      </c>
      <c r="M1721" s="10">
        <f t="shared" si="78"/>
        <v>10</v>
      </c>
      <c r="N1721" s="10">
        <f t="shared" si="79"/>
        <v>10</v>
      </c>
      <c r="O1721" s="6" t="s">
        <v>405</v>
      </c>
      <c r="P1721" s="6">
        <v>0</v>
      </c>
      <c r="Q1721" s="6">
        <v>1</v>
      </c>
      <c r="R1721" s="6">
        <v>0</v>
      </c>
      <c r="S1721" s="6">
        <v>1</v>
      </c>
      <c r="T1721" s="6" t="str">
        <f t="shared" si="80"/>
        <v>Tercera</v>
      </c>
    </row>
    <row r="1722" spans="1:20" ht="24">
      <c r="A1722" s="7" t="s">
        <v>3494</v>
      </c>
      <c r="B1722" s="7" t="s">
        <v>507</v>
      </c>
      <c r="C1722" s="8">
        <v>1</v>
      </c>
      <c r="D1722" s="7" t="s">
        <v>3494</v>
      </c>
      <c r="E1722" s="7" t="s">
        <v>3501</v>
      </c>
      <c r="F1722">
        <v>1225</v>
      </c>
      <c r="G1722" s="6">
        <v>8594</v>
      </c>
      <c r="H1722" s="11" t="s">
        <v>3502</v>
      </c>
      <c r="I1722" s="6">
        <v>42</v>
      </c>
      <c r="J1722" s="6">
        <v>11</v>
      </c>
      <c r="K1722" s="6">
        <v>16</v>
      </c>
      <c r="L1722" s="6">
        <v>35</v>
      </c>
      <c r="M1722" s="10">
        <f t="shared" si="78"/>
        <v>45.714285714285715</v>
      </c>
      <c r="N1722" s="10">
        <f t="shared" si="79"/>
        <v>46</v>
      </c>
      <c r="O1722" s="6" t="s">
        <v>404</v>
      </c>
      <c r="P1722" s="6">
        <v>0</v>
      </c>
      <c r="Q1722" s="6">
        <v>1</v>
      </c>
      <c r="R1722" s="6">
        <v>0</v>
      </c>
      <c r="S1722" s="6">
        <v>1</v>
      </c>
      <c r="T1722" s="6" t="str">
        <f t="shared" si="80"/>
        <v>Quinta</v>
      </c>
    </row>
    <row r="1723" spans="1:20" ht="24">
      <c r="A1723" s="7" t="s">
        <v>3494</v>
      </c>
      <c r="B1723" s="7" t="s">
        <v>507</v>
      </c>
      <c r="C1723" s="8">
        <v>1</v>
      </c>
      <c r="D1723" s="7" t="s">
        <v>3494</v>
      </c>
      <c r="E1723" s="7" t="s">
        <v>3503</v>
      </c>
      <c r="F1723">
        <v>1341</v>
      </c>
      <c r="G1723" s="6">
        <v>18115</v>
      </c>
      <c r="H1723" s="11" t="s">
        <v>3504</v>
      </c>
      <c r="I1723" s="6">
        <v>36</v>
      </c>
      <c r="J1723" s="6">
        <v>201</v>
      </c>
      <c r="K1723" s="6">
        <v>364</v>
      </c>
      <c r="L1723" s="6">
        <v>45</v>
      </c>
      <c r="M1723" s="10">
        <f t="shared" si="78"/>
        <v>808.88888888888891</v>
      </c>
      <c r="N1723" s="10">
        <f t="shared" si="79"/>
        <v>809</v>
      </c>
      <c r="O1723" s="6" t="s">
        <v>88</v>
      </c>
      <c r="P1723" s="6">
        <v>17</v>
      </c>
      <c r="Q1723" s="6">
        <v>22</v>
      </c>
      <c r="R1723" s="6">
        <v>40</v>
      </c>
      <c r="S1723" s="6">
        <v>79</v>
      </c>
      <c r="T1723" s="6" t="str">
        <f t="shared" si="80"/>
        <v>Quinta</v>
      </c>
    </row>
    <row r="1724" spans="1:20" ht="24">
      <c r="A1724" s="7" t="s">
        <v>3494</v>
      </c>
      <c r="B1724" s="7" t="s">
        <v>507</v>
      </c>
      <c r="C1724" s="8">
        <v>1</v>
      </c>
      <c r="D1724" s="7" t="s">
        <v>3494</v>
      </c>
      <c r="E1724" s="7" t="s">
        <v>3507</v>
      </c>
      <c r="F1724">
        <v>1036</v>
      </c>
      <c r="G1724" s="6">
        <v>28494</v>
      </c>
      <c r="H1724" s="11" t="s">
        <v>3508</v>
      </c>
      <c r="I1724" s="6">
        <v>34</v>
      </c>
      <c r="J1724" s="6">
        <v>1</v>
      </c>
      <c r="K1724" s="6">
        <v>5</v>
      </c>
      <c r="L1724" s="6">
        <v>83</v>
      </c>
      <c r="M1724" s="10">
        <f t="shared" si="78"/>
        <v>6.024096385542169</v>
      </c>
      <c r="N1724" s="10">
        <f t="shared" si="79"/>
        <v>7</v>
      </c>
      <c r="O1724" s="6" t="s">
        <v>51</v>
      </c>
      <c r="P1724" s="6">
        <v>1</v>
      </c>
      <c r="Q1724" s="6">
        <v>0</v>
      </c>
      <c r="R1724" s="6">
        <v>0</v>
      </c>
      <c r="S1724" s="6">
        <v>1</v>
      </c>
      <c r="T1724" s="6" t="str">
        <f t="shared" si="80"/>
        <v>Septima</v>
      </c>
    </row>
    <row r="1725" spans="1:20" ht="24">
      <c r="A1725" s="7" t="s">
        <v>3494</v>
      </c>
      <c r="B1725" s="7" t="s">
        <v>507</v>
      </c>
      <c r="C1725" s="8">
        <v>1</v>
      </c>
      <c r="D1725" s="7" t="s">
        <v>3494</v>
      </c>
      <c r="E1725" s="7" t="s">
        <v>3505</v>
      </c>
      <c r="F1725">
        <v>1625</v>
      </c>
      <c r="G1725" s="6">
        <v>2692</v>
      </c>
      <c r="H1725" s="11" t="s">
        <v>3506</v>
      </c>
      <c r="I1725" s="6">
        <v>32</v>
      </c>
      <c r="J1725" s="6">
        <v>2</v>
      </c>
      <c r="K1725" s="6">
        <v>7</v>
      </c>
      <c r="L1725" s="6">
        <v>70</v>
      </c>
      <c r="M1725" s="10">
        <f t="shared" si="78"/>
        <v>10</v>
      </c>
      <c r="N1725" s="10">
        <f t="shared" si="79"/>
        <v>10</v>
      </c>
      <c r="O1725" s="6" t="s">
        <v>405</v>
      </c>
      <c r="P1725" s="6">
        <v>0</v>
      </c>
      <c r="Q1725" s="6">
        <v>1</v>
      </c>
      <c r="R1725" s="6">
        <v>0</v>
      </c>
      <c r="S1725" s="6">
        <v>1</v>
      </c>
      <c r="T1725" s="6" t="str">
        <f t="shared" si="80"/>
        <v>Tercera</v>
      </c>
    </row>
    <row r="1726" spans="1:20" ht="24">
      <c r="A1726" s="7" t="s">
        <v>3494</v>
      </c>
      <c r="B1726" s="7" t="s">
        <v>507</v>
      </c>
      <c r="C1726" s="8">
        <v>1</v>
      </c>
      <c r="D1726" s="7" t="s">
        <v>3494</v>
      </c>
      <c r="E1726" s="7" t="s">
        <v>3509</v>
      </c>
      <c r="F1726">
        <v>1395</v>
      </c>
      <c r="G1726" s="6">
        <v>4017</v>
      </c>
      <c r="H1726" s="11" t="s">
        <v>1591</v>
      </c>
      <c r="I1726" s="6">
        <v>37</v>
      </c>
      <c r="J1726" s="6">
        <v>9</v>
      </c>
      <c r="K1726" s="6">
        <v>10</v>
      </c>
      <c r="L1726" s="6">
        <v>29</v>
      </c>
      <c r="M1726" s="10">
        <f t="shared" si="78"/>
        <v>34.482758620689658</v>
      </c>
      <c r="N1726" s="10">
        <f t="shared" si="79"/>
        <v>35</v>
      </c>
      <c r="O1726" s="6" t="s">
        <v>204</v>
      </c>
      <c r="P1726" s="6">
        <v>0</v>
      </c>
      <c r="Q1726" s="6">
        <v>0</v>
      </c>
      <c r="R1726" s="6">
        <v>0</v>
      </c>
      <c r="S1726" s="6">
        <v>0</v>
      </c>
      <c r="T1726" s="6" t="str">
        <f t="shared" si="80"/>
        <v>Quinta</v>
      </c>
    </row>
    <row r="1727" spans="1:20" ht="24">
      <c r="A1727" s="7" t="s">
        <v>3494</v>
      </c>
      <c r="B1727" s="7" t="s">
        <v>507</v>
      </c>
      <c r="C1727" s="8">
        <v>1</v>
      </c>
      <c r="D1727" s="7" t="s">
        <v>3494</v>
      </c>
      <c r="E1727" s="7" t="s">
        <v>3510</v>
      </c>
      <c r="F1727">
        <v>1091</v>
      </c>
      <c r="G1727" s="6">
        <v>28063</v>
      </c>
      <c r="H1727" s="11" t="s">
        <v>3511</v>
      </c>
      <c r="I1727" s="6">
        <v>55</v>
      </c>
      <c r="J1727" s="6">
        <v>36</v>
      </c>
      <c r="K1727" s="6">
        <v>59</v>
      </c>
      <c r="L1727" s="6">
        <v>40</v>
      </c>
      <c r="M1727" s="10">
        <f t="shared" si="78"/>
        <v>147.5</v>
      </c>
      <c r="N1727" s="10">
        <f t="shared" si="79"/>
        <v>148</v>
      </c>
      <c r="O1727" s="6" t="s">
        <v>37</v>
      </c>
      <c r="P1727" s="6">
        <v>2</v>
      </c>
      <c r="Q1727" s="6">
        <v>3</v>
      </c>
      <c r="R1727" s="6">
        <v>6</v>
      </c>
      <c r="S1727" s="6">
        <v>11</v>
      </c>
      <c r="T1727" s="6" t="str">
        <f t="shared" si="80"/>
        <v>Sexta</v>
      </c>
    </row>
    <row r="1728" spans="1:20" ht="24">
      <c r="A1728" s="7" t="s">
        <v>3494</v>
      </c>
      <c r="B1728" s="7" t="s">
        <v>507</v>
      </c>
      <c r="C1728" s="8">
        <v>1</v>
      </c>
      <c r="D1728" s="7" t="s">
        <v>3494</v>
      </c>
      <c r="E1728" s="7" t="s">
        <v>3512</v>
      </c>
      <c r="F1728">
        <v>1083</v>
      </c>
      <c r="G1728" s="6">
        <v>20723</v>
      </c>
      <c r="H1728" s="11" t="s">
        <v>3513</v>
      </c>
      <c r="I1728" s="6">
        <v>20</v>
      </c>
      <c r="J1728" s="6">
        <v>1</v>
      </c>
      <c r="K1728" s="6">
        <v>0</v>
      </c>
      <c r="L1728" s="6">
        <v>0</v>
      </c>
      <c r="M1728" s="10">
        <f t="shared" si="78"/>
        <v>0</v>
      </c>
      <c r="N1728" s="10">
        <f t="shared" si="79"/>
        <v>0</v>
      </c>
      <c r="O1728" s="6" t="s">
        <v>406</v>
      </c>
      <c r="P1728" s="6">
        <v>0</v>
      </c>
      <c r="Q1728" s="6">
        <v>0</v>
      </c>
      <c r="R1728" s="6">
        <v>0</v>
      </c>
      <c r="S1728" s="6">
        <v>0</v>
      </c>
      <c r="T1728" s="6" t="str">
        <f t="shared" si="80"/>
        <v>Sexta</v>
      </c>
    </row>
    <row r="1729" spans="1:20" ht="24">
      <c r="A1729" s="7" t="s">
        <v>3494</v>
      </c>
      <c r="B1729" s="7" t="s">
        <v>526</v>
      </c>
      <c r="C1729" s="8">
        <v>1</v>
      </c>
      <c r="D1729" s="7" t="s">
        <v>3494</v>
      </c>
      <c r="E1729" s="7" t="s">
        <v>3507</v>
      </c>
      <c r="F1729">
        <v>1036</v>
      </c>
      <c r="G1729" s="6">
        <v>28494</v>
      </c>
      <c r="H1729" s="11" t="s">
        <v>3508</v>
      </c>
      <c r="I1729" s="6">
        <v>34</v>
      </c>
      <c r="J1729" s="6">
        <v>1</v>
      </c>
      <c r="K1729" s="6">
        <v>5</v>
      </c>
      <c r="L1729" s="6">
        <v>83</v>
      </c>
      <c r="M1729" s="10">
        <f t="shared" si="78"/>
        <v>6.024096385542169</v>
      </c>
      <c r="N1729" s="10">
        <f t="shared" si="79"/>
        <v>7</v>
      </c>
      <c r="O1729" s="6" t="s">
        <v>51</v>
      </c>
      <c r="P1729" s="6">
        <v>1</v>
      </c>
      <c r="Q1729" s="6">
        <v>0</v>
      </c>
      <c r="R1729" s="6">
        <v>0</v>
      </c>
      <c r="S1729" s="6">
        <v>1</v>
      </c>
      <c r="T1729" s="6" t="str">
        <f t="shared" si="80"/>
        <v>Septima</v>
      </c>
    </row>
    <row r="1730" spans="1:20" ht="24">
      <c r="A1730" s="7" t="s">
        <v>3494</v>
      </c>
      <c r="B1730" s="7" t="s">
        <v>526</v>
      </c>
      <c r="C1730" s="8">
        <v>1</v>
      </c>
      <c r="D1730" s="7" t="s">
        <v>3494</v>
      </c>
      <c r="E1730" s="7" t="s">
        <v>3509</v>
      </c>
      <c r="F1730">
        <v>1395</v>
      </c>
      <c r="G1730" s="6">
        <v>4017</v>
      </c>
      <c r="H1730" s="11" t="s">
        <v>1591</v>
      </c>
      <c r="I1730" s="6">
        <v>37</v>
      </c>
      <c r="J1730" s="6">
        <v>9</v>
      </c>
      <c r="K1730" s="6">
        <v>10</v>
      </c>
      <c r="L1730" s="6">
        <v>29</v>
      </c>
      <c r="M1730" s="10">
        <f t="shared" si="78"/>
        <v>34.482758620689658</v>
      </c>
      <c r="N1730" s="10">
        <f t="shared" si="79"/>
        <v>35</v>
      </c>
      <c r="O1730" s="6" t="s">
        <v>204</v>
      </c>
      <c r="P1730" s="6">
        <v>0</v>
      </c>
      <c r="Q1730" s="6">
        <v>0</v>
      </c>
      <c r="R1730" s="6">
        <v>0</v>
      </c>
      <c r="S1730" s="6">
        <v>0</v>
      </c>
      <c r="T1730" s="6" t="str">
        <f t="shared" si="80"/>
        <v>Quinta</v>
      </c>
    </row>
    <row r="1731" spans="1:20" ht="24">
      <c r="A1731" s="7" t="s">
        <v>3494</v>
      </c>
      <c r="B1731" s="7" t="s">
        <v>526</v>
      </c>
      <c r="C1731" s="8">
        <v>1</v>
      </c>
      <c r="D1731" s="7" t="s">
        <v>3494</v>
      </c>
      <c r="E1731" s="7" t="s">
        <v>3514</v>
      </c>
      <c r="F1731">
        <v>1026</v>
      </c>
      <c r="G1731" s="6">
        <v>28537</v>
      </c>
      <c r="H1731" s="11" t="s">
        <v>3515</v>
      </c>
      <c r="I1731" s="6">
        <v>13</v>
      </c>
      <c r="J1731" s="6">
        <v>4</v>
      </c>
      <c r="K1731" s="6">
        <v>8</v>
      </c>
      <c r="L1731" s="6">
        <v>53</v>
      </c>
      <c r="M1731" s="10">
        <f t="shared" ref="M1731:M1765" si="81">IF(K1731+L1731=0,0,(100*K1731/L1731))</f>
        <v>15.09433962264151</v>
      </c>
      <c r="N1731" s="10">
        <f t="shared" ref="N1731:N1765" si="82">ROUNDUP(M1731,0)</f>
        <v>16</v>
      </c>
      <c r="O1731" s="6" t="s">
        <v>45</v>
      </c>
      <c r="P1731" s="6">
        <v>0</v>
      </c>
      <c r="Q1731" s="6">
        <v>1</v>
      </c>
      <c r="R1731" s="6">
        <v>1</v>
      </c>
      <c r="S1731" s="6">
        <v>2</v>
      </c>
      <c r="T1731" s="6" t="str">
        <f t="shared" ref="T1731:T1765" si="83">IF(F1731&gt;2100,"Primera",
IF(F1731&gt;=1800,"Segunda",
IF(F1731&gt;=1600,"Tercera",
IF(F1731&gt;=1400,"Cuarta",
IF(F1731&gt;=1200,"Quinta",
IF(F1731&gt;=1080,"Sexta",
IF(F1731&gt;=980,"Septima",
"Octava")))))))</f>
        <v>Septima</v>
      </c>
    </row>
    <row r="1732" spans="1:20" ht="24">
      <c r="A1732" s="7" t="s">
        <v>3494</v>
      </c>
      <c r="B1732" s="7" t="s">
        <v>526</v>
      </c>
      <c r="C1732" s="8">
        <v>1</v>
      </c>
      <c r="D1732" s="7" t="s">
        <v>3494</v>
      </c>
      <c r="E1732" s="7" t="s">
        <v>3516</v>
      </c>
      <c r="F1732">
        <v>1985</v>
      </c>
      <c r="G1732" s="6">
        <v>5283</v>
      </c>
      <c r="H1732" s="11" t="s">
        <v>3517</v>
      </c>
      <c r="I1732" s="6">
        <v>32</v>
      </c>
      <c r="J1732" s="6">
        <v>60</v>
      </c>
      <c r="K1732" s="6">
        <v>165</v>
      </c>
      <c r="L1732" s="6">
        <v>59</v>
      </c>
      <c r="M1732" s="10">
        <f t="shared" si="81"/>
        <v>279.66101694915255</v>
      </c>
      <c r="N1732" s="10">
        <f t="shared" si="82"/>
        <v>280</v>
      </c>
      <c r="O1732" s="6" t="s">
        <v>407</v>
      </c>
      <c r="P1732" s="6">
        <v>5</v>
      </c>
      <c r="Q1732" s="6">
        <v>2</v>
      </c>
      <c r="R1732" s="6">
        <v>7</v>
      </c>
      <c r="S1732" s="6">
        <v>14</v>
      </c>
      <c r="T1732" s="6" t="str">
        <f t="shared" si="83"/>
        <v>Segunda</v>
      </c>
    </row>
    <row r="1733" spans="1:20" ht="24">
      <c r="A1733" s="7" t="s">
        <v>3494</v>
      </c>
      <c r="B1733" s="7" t="s">
        <v>526</v>
      </c>
      <c r="C1733" s="8">
        <v>1</v>
      </c>
      <c r="D1733" s="7" t="s">
        <v>3494</v>
      </c>
      <c r="E1733" s="7" t="s">
        <v>3518</v>
      </c>
      <c r="F1733">
        <v>1075</v>
      </c>
      <c r="G1733" s="6">
        <v>21728</v>
      </c>
      <c r="H1733" s="11" t="s">
        <v>3519</v>
      </c>
      <c r="I1733" s="6">
        <v>44</v>
      </c>
      <c r="J1733" s="6">
        <v>5</v>
      </c>
      <c r="K1733" s="6">
        <v>7</v>
      </c>
      <c r="L1733" s="6">
        <v>39</v>
      </c>
      <c r="M1733" s="10">
        <f t="shared" si="81"/>
        <v>17.948717948717949</v>
      </c>
      <c r="N1733" s="10">
        <f t="shared" si="82"/>
        <v>18</v>
      </c>
      <c r="O1733" s="6" t="s">
        <v>408</v>
      </c>
      <c r="P1733" s="6">
        <v>0</v>
      </c>
      <c r="Q1733" s="6">
        <v>0</v>
      </c>
      <c r="R1733" s="6">
        <v>0</v>
      </c>
      <c r="S1733" s="6">
        <v>0</v>
      </c>
      <c r="T1733" s="6" t="str">
        <f t="shared" si="83"/>
        <v>Septima</v>
      </c>
    </row>
    <row r="1734" spans="1:20" ht="24">
      <c r="A1734" s="7" t="s">
        <v>3494</v>
      </c>
      <c r="B1734" s="7" t="s">
        <v>526</v>
      </c>
      <c r="C1734" s="8">
        <v>1</v>
      </c>
      <c r="D1734" s="7" t="s">
        <v>3494</v>
      </c>
      <c r="E1734" s="7" t="s">
        <v>3520</v>
      </c>
      <c r="F1734">
        <v>939</v>
      </c>
      <c r="G1734" s="6">
        <v>28320</v>
      </c>
      <c r="H1734" s="11" t="s">
        <v>3521</v>
      </c>
      <c r="I1734" s="6">
        <v>54</v>
      </c>
      <c r="J1734" s="6">
        <v>4</v>
      </c>
      <c r="K1734" s="6">
        <v>3</v>
      </c>
      <c r="L1734" s="6">
        <v>23</v>
      </c>
      <c r="M1734" s="10">
        <f t="shared" si="81"/>
        <v>13.043478260869565</v>
      </c>
      <c r="N1734" s="10">
        <f t="shared" si="82"/>
        <v>14</v>
      </c>
      <c r="O1734" s="6" t="s">
        <v>45</v>
      </c>
      <c r="P1734" s="6">
        <v>0</v>
      </c>
      <c r="Q1734" s="6">
        <v>0</v>
      </c>
      <c r="R1734" s="6">
        <v>0</v>
      </c>
      <c r="S1734" s="6">
        <v>0</v>
      </c>
      <c r="T1734" s="6" t="str">
        <f t="shared" si="83"/>
        <v>Octava</v>
      </c>
    </row>
    <row r="1735" spans="1:20" ht="24">
      <c r="A1735" s="7" t="s">
        <v>3494</v>
      </c>
      <c r="B1735" s="7" t="s">
        <v>526</v>
      </c>
      <c r="C1735" s="8">
        <v>1</v>
      </c>
      <c r="D1735" s="7" t="s">
        <v>3494</v>
      </c>
      <c r="E1735" s="7" t="s">
        <v>3522</v>
      </c>
      <c r="F1735">
        <v>1000</v>
      </c>
      <c r="G1735" s="6">
        <v>3047</v>
      </c>
      <c r="H1735" s="11" t="s">
        <v>3523</v>
      </c>
      <c r="I1735" s="6">
        <v>54</v>
      </c>
      <c r="J1735" s="6">
        <v>0</v>
      </c>
      <c r="K1735" s="6">
        <v>0</v>
      </c>
      <c r="L1735" s="6">
        <v>0</v>
      </c>
      <c r="M1735" s="10">
        <f t="shared" si="81"/>
        <v>0</v>
      </c>
      <c r="N1735" s="10">
        <f t="shared" si="82"/>
        <v>0</v>
      </c>
      <c r="P1735" s="6">
        <v>0</v>
      </c>
      <c r="Q1735" s="6">
        <v>0</v>
      </c>
      <c r="R1735" s="6">
        <v>0</v>
      </c>
      <c r="S1735" s="6">
        <v>0</v>
      </c>
      <c r="T1735" s="6" t="str">
        <f t="shared" si="83"/>
        <v>Septima</v>
      </c>
    </row>
    <row r="1736" spans="1:20" ht="24">
      <c r="A1736" s="7" t="s">
        <v>3494</v>
      </c>
      <c r="B1736" s="7" t="s">
        <v>526</v>
      </c>
      <c r="C1736" s="8">
        <v>1</v>
      </c>
      <c r="D1736" s="7" t="s">
        <v>3494</v>
      </c>
      <c r="E1736" s="7" t="s">
        <v>3524</v>
      </c>
      <c r="F1736">
        <v>1541</v>
      </c>
      <c r="G1736" s="6">
        <v>2559</v>
      </c>
      <c r="H1736" s="11" t="s">
        <v>3525</v>
      </c>
      <c r="I1736" s="6">
        <v>43</v>
      </c>
      <c r="J1736" s="6">
        <v>1</v>
      </c>
      <c r="K1736" s="6">
        <v>1</v>
      </c>
      <c r="L1736" s="6">
        <v>33</v>
      </c>
      <c r="M1736" s="10">
        <f t="shared" si="81"/>
        <v>3.0303030303030303</v>
      </c>
      <c r="N1736" s="10">
        <f t="shared" si="82"/>
        <v>4</v>
      </c>
      <c r="O1736" s="6" t="s">
        <v>409</v>
      </c>
      <c r="P1736" s="6">
        <v>0</v>
      </c>
      <c r="Q1736" s="6">
        <v>0</v>
      </c>
      <c r="R1736" s="6">
        <v>0</v>
      </c>
      <c r="S1736" s="6">
        <v>0</v>
      </c>
      <c r="T1736" s="6" t="str">
        <f t="shared" si="83"/>
        <v>Cuarta</v>
      </c>
    </row>
    <row r="1737" spans="1:20">
      <c r="A1737" s="7" t="s">
        <v>3526</v>
      </c>
      <c r="B1737" s="7" t="s">
        <v>507</v>
      </c>
      <c r="C1737" s="8">
        <v>1</v>
      </c>
      <c r="D1737" s="7" t="s">
        <v>3526</v>
      </c>
      <c r="E1737" s="7" t="s">
        <v>3527</v>
      </c>
      <c r="F1737">
        <v>1563</v>
      </c>
      <c r="G1737" s="6">
        <v>12544</v>
      </c>
      <c r="H1737" s="11" t="s">
        <v>3528</v>
      </c>
      <c r="I1737" s="6">
        <v>69</v>
      </c>
      <c r="J1737" s="6">
        <v>39</v>
      </c>
      <c r="K1737" s="6">
        <v>107</v>
      </c>
      <c r="L1737" s="6">
        <v>47</v>
      </c>
      <c r="M1737" s="10">
        <f t="shared" si="81"/>
        <v>227.65957446808511</v>
      </c>
      <c r="N1737" s="10">
        <f t="shared" si="82"/>
        <v>228</v>
      </c>
      <c r="O1737" s="6" t="s">
        <v>410</v>
      </c>
      <c r="P1737" s="6">
        <v>4</v>
      </c>
      <c r="Q1737" s="6">
        <v>4</v>
      </c>
      <c r="R1737" s="6">
        <v>10</v>
      </c>
      <c r="S1737" s="6">
        <v>18</v>
      </c>
      <c r="T1737" s="6" t="str">
        <f t="shared" si="83"/>
        <v>Cuarta</v>
      </c>
    </row>
    <row r="1738" spans="1:20">
      <c r="A1738" s="7" t="s">
        <v>3526</v>
      </c>
      <c r="B1738" s="7" t="s">
        <v>507</v>
      </c>
      <c r="C1738" s="8">
        <v>1</v>
      </c>
      <c r="D1738" s="7" t="s">
        <v>3526</v>
      </c>
      <c r="E1738" s="7" t="s">
        <v>3529</v>
      </c>
      <c r="F1738">
        <v>1363</v>
      </c>
      <c r="G1738" s="6">
        <v>25483</v>
      </c>
      <c r="H1738" s="11" t="s">
        <v>3530</v>
      </c>
      <c r="I1738" s="6">
        <v>43</v>
      </c>
      <c r="J1738" s="6">
        <v>59</v>
      </c>
      <c r="K1738" s="6">
        <v>150</v>
      </c>
      <c r="L1738" s="6">
        <v>56</v>
      </c>
      <c r="M1738" s="10">
        <f t="shared" si="81"/>
        <v>267.85714285714283</v>
      </c>
      <c r="N1738" s="10">
        <f t="shared" si="82"/>
        <v>268</v>
      </c>
      <c r="O1738" s="6" t="s">
        <v>70</v>
      </c>
      <c r="P1738" s="6">
        <v>4</v>
      </c>
      <c r="Q1738" s="6">
        <v>4</v>
      </c>
      <c r="R1738" s="6">
        <v>12</v>
      </c>
      <c r="S1738" s="6">
        <v>20</v>
      </c>
      <c r="T1738" s="6" t="str">
        <f t="shared" si="83"/>
        <v>Quinta</v>
      </c>
    </row>
    <row r="1739" spans="1:20">
      <c r="A1739" s="7" t="s">
        <v>3526</v>
      </c>
      <c r="B1739" s="7" t="s">
        <v>507</v>
      </c>
      <c r="C1739" s="8">
        <v>1</v>
      </c>
      <c r="D1739" s="7" t="s">
        <v>3526</v>
      </c>
      <c r="E1739" s="7" t="s">
        <v>3531</v>
      </c>
      <c r="F1739">
        <v>1419</v>
      </c>
      <c r="G1739" s="6">
        <v>28276</v>
      </c>
      <c r="H1739" s="11" t="s">
        <v>3532</v>
      </c>
      <c r="I1739" s="6">
        <v>45</v>
      </c>
      <c r="J1739" s="6">
        <v>22</v>
      </c>
      <c r="K1739" s="6">
        <v>49</v>
      </c>
      <c r="L1739" s="6">
        <v>51</v>
      </c>
      <c r="M1739" s="10">
        <f t="shared" si="81"/>
        <v>96.078431372549019</v>
      </c>
      <c r="N1739" s="10">
        <f t="shared" si="82"/>
        <v>97</v>
      </c>
      <c r="O1739" s="6" t="s">
        <v>20</v>
      </c>
      <c r="P1739" s="6">
        <v>0</v>
      </c>
      <c r="Q1739" s="6">
        <v>3</v>
      </c>
      <c r="R1739" s="6">
        <v>6</v>
      </c>
      <c r="S1739" s="6">
        <v>9</v>
      </c>
      <c r="T1739" s="6" t="str">
        <f t="shared" si="83"/>
        <v>Cuarta</v>
      </c>
    </row>
    <row r="1740" spans="1:20">
      <c r="A1740" s="7" t="s">
        <v>3526</v>
      </c>
      <c r="B1740" s="7" t="s">
        <v>507</v>
      </c>
      <c r="C1740" s="8">
        <v>1</v>
      </c>
      <c r="D1740" s="7" t="s">
        <v>3526</v>
      </c>
      <c r="E1740" s="7" t="s">
        <v>3533</v>
      </c>
      <c r="F1740">
        <v>1382</v>
      </c>
      <c r="G1740" s="6">
        <v>18490</v>
      </c>
      <c r="H1740" s="11" t="s">
        <v>3534</v>
      </c>
      <c r="I1740" s="6">
        <v>19</v>
      </c>
      <c r="J1740" s="6">
        <v>4</v>
      </c>
      <c r="K1740" s="6">
        <v>13</v>
      </c>
      <c r="L1740" s="6">
        <v>59</v>
      </c>
      <c r="M1740" s="10">
        <f t="shared" si="81"/>
        <v>22.033898305084747</v>
      </c>
      <c r="N1740" s="10">
        <f t="shared" si="82"/>
        <v>23</v>
      </c>
      <c r="O1740" s="6" t="s">
        <v>411</v>
      </c>
      <c r="P1740" s="6">
        <v>0</v>
      </c>
      <c r="Q1740" s="6">
        <v>1</v>
      </c>
      <c r="R1740" s="6">
        <v>2</v>
      </c>
      <c r="S1740" s="6">
        <v>3</v>
      </c>
      <c r="T1740" s="6" t="str">
        <f t="shared" si="83"/>
        <v>Quinta</v>
      </c>
    </row>
    <row r="1741" spans="1:20">
      <c r="A1741" s="7" t="s">
        <v>3526</v>
      </c>
      <c r="B1741" s="7" t="s">
        <v>507</v>
      </c>
      <c r="C1741" s="8">
        <v>1</v>
      </c>
      <c r="D1741" s="7" t="s">
        <v>3526</v>
      </c>
      <c r="E1741" s="7" t="s">
        <v>3535</v>
      </c>
      <c r="F1741">
        <v>1083</v>
      </c>
      <c r="G1741" s="6">
        <v>26170</v>
      </c>
      <c r="H1741" s="11" t="s">
        <v>3536</v>
      </c>
      <c r="I1741" s="6">
        <v>41</v>
      </c>
      <c r="J1741" s="6">
        <v>4</v>
      </c>
      <c r="K1741" s="6">
        <v>15</v>
      </c>
      <c r="L1741" s="6">
        <v>68</v>
      </c>
      <c r="M1741" s="10">
        <f t="shared" si="81"/>
        <v>22.058823529411764</v>
      </c>
      <c r="N1741" s="10">
        <f t="shared" si="82"/>
        <v>23</v>
      </c>
      <c r="O1741" s="6" t="s">
        <v>412</v>
      </c>
      <c r="P1741" s="6">
        <v>0</v>
      </c>
      <c r="Q1741" s="6">
        <v>1</v>
      </c>
      <c r="R1741" s="6">
        <v>2</v>
      </c>
      <c r="S1741" s="6">
        <v>3</v>
      </c>
      <c r="T1741" s="6" t="str">
        <f t="shared" si="83"/>
        <v>Sexta</v>
      </c>
    </row>
    <row r="1742" spans="1:20">
      <c r="A1742" s="7" t="s">
        <v>3526</v>
      </c>
      <c r="B1742" s="7" t="s">
        <v>507</v>
      </c>
      <c r="C1742" s="8">
        <v>1</v>
      </c>
      <c r="D1742" s="7" t="s">
        <v>3526</v>
      </c>
      <c r="E1742" s="7" t="s">
        <v>3537</v>
      </c>
      <c r="F1742">
        <v>929</v>
      </c>
      <c r="G1742" s="6">
        <v>29081</v>
      </c>
      <c r="H1742" s="11" t="s">
        <v>3538</v>
      </c>
      <c r="I1742" s="6">
        <v>29</v>
      </c>
      <c r="J1742" s="6">
        <v>5</v>
      </c>
      <c r="K1742" s="6">
        <v>7</v>
      </c>
      <c r="L1742" s="6">
        <v>27</v>
      </c>
      <c r="M1742" s="10">
        <f t="shared" si="81"/>
        <v>25.925925925925927</v>
      </c>
      <c r="N1742" s="10">
        <f t="shared" si="82"/>
        <v>26</v>
      </c>
      <c r="O1742" s="6" t="s">
        <v>144</v>
      </c>
      <c r="P1742" s="6">
        <v>0</v>
      </c>
      <c r="Q1742" s="6">
        <v>0</v>
      </c>
      <c r="R1742" s="6">
        <v>1</v>
      </c>
      <c r="S1742" s="6">
        <v>1</v>
      </c>
      <c r="T1742" s="6" t="str">
        <f t="shared" si="83"/>
        <v>Octava</v>
      </c>
    </row>
    <row r="1743" spans="1:20">
      <c r="A1743" s="7" t="s">
        <v>3526</v>
      </c>
      <c r="B1743" s="7" t="s">
        <v>507</v>
      </c>
      <c r="C1743" s="8">
        <v>1</v>
      </c>
      <c r="D1743" s="7" t="s">
        <v>3526</v>
      </c>
      <c r="E1743" s="7" t="s">
        <v>3539</v>
      </c>
      <c r="F1743">
        <v>1067</v>
      </c>
      <c r="G1743" s="6">
        <v>24645</v>
      </c>
      <c r="H1743" s="11" t="s">
        <v>715</v>
      </c>
      <c r="I1743" s="6">
        <v>44</v>
      </c>
      <c r="J1743" s="6">
        <v>53</v>
      </c>
      <c r="K1743" s="6">
        <v>114</v>
      </c>
      <c r="L1743" s="6">
        <v>47</v>
      </c>
      <c r="M1743" s="10">
        <f t="shared" si="81"/>
        <v>242.55319148936169</v>
      </c>
      <c r="N1743" s="10">
        <f t="shared" si="82"/>
        <v>243</v>
      </c>
      <c r="O1743" s="6" t="s">
        <v>70</v>
      </c>
      <c r="P1743" s="6">
        <v>0</v>
      </c>
      <c r="Q1743" s="6">
        <v>4</v>
      </c>
      <c r="R1743" s="6">
        <v>7</v>
      </c>
      <c r="S1743" s="6">
        <v>11</v>
      </c>
      <c r="T1743" s="6" t="str">
        <f t="shared" si="83"/>
        <v>Septima</v>
      </c>
    </row>
    <row r="1744" spans="1:20">
      <c r="A1744" s="7" t="s">
        <v>3526</v>
      </c>
      <c r="B1744" s="7" t="s">
        <v>507</v>
      </c>
      <c r="C1744" s="8">
        <v>1</v>
      </c>
      <c r="D1744" s="7" t="s">
        <v>3526</v>
      </c>
      <c r="E1744" s="7" t="s">
        <v>3540</v>
      </c>
      <c r="F1744">
        <v>1237</v>
      </c>
      <c r="G1744" s="6">
        <v>3135</v>
      </c>
      <c r="H1744" s="11" t="s">
        <v>3541</v>
      </c>
      <c r="I1744" s="6">
        <v>57</v>
      </c>
      <c r="J1744" s="6">
        <v>191</v>
      </c>
      <c r="K1744" s="6">
        <v>389</v>
      </c>
      <c r="L1744" s="6">
        <v>41</v>
      </c>
      <c r="M1744" s="10">
        <f t="shared" si="81"/>
        <v>948.78048780487802</v>
      </c>
      <c r="N1744" s="10">
        <f t="shared" si="82"/>
        <v>949</v>
      </c>
      <c r="O1744" s="6" t="s">
        <v>91</v>
      </c>
      <c r="P1744" s="6">
        <v>8</v>
      </c>
      <c r="Q1744" s="6">
        <v>14</v>
      </c>
      <c r="R1744" s="6">
        <v>22</v>
      </c>
      <c r="S1744" s="6">
        <v>44</v>
      </c>
      <c r="T1744" s="6" t="str">
        <f t="shared" si="83"/>
        <v>Quinta</v>
      </c>
    </row>
    <row r="1745" spans="1:20">
      <c r="A1745" s="7" t="s">
        <v>3526</v>
      </c>
      <c r="B1745" s="7" t="s">
        <v>526</v>
      </c>
      <c r="C1745" s="8">
        <v>1</v>
      </c>
      <c r="D1745" s="7" t="s">
        <v>3526</v>
      </c>
      <c r="E1745" s="7" t="s">
        <v>3542</v>
      </c>
      <c r="F1745">
        <v>1000</v>
      </c>
      <c r="G1745" s="6">
        <v>9190</v>
      </c>
      <c r="H1745" s="11" t="s">
        <v>3543</v>
      </c>
      <c r="I1745" s="6">
        <v>34</v>
      </c>
      <c r="J1745" s="6">
        <v>0</v>
      </c>
      <c r="K1745" s="6">
        <v>0</v>
      </c>
      <c r="L1745" s="6">
        <v>0</v>
      </c>
      <c r="M1745" s="10">
        <f t="shared" si="81"/>
        <v>0</v>
      </c>
      <c r="N1745" s="10">
        <f t="shared" si="82"/>
        <v>0</v>
      </c>
      <c r="P1745" s="6">
        <v>0</v>
      </c>
      <c r="Q1745" s="6">
        <v>0</v>
      </c>
      <c r="R1745" s="6">
        <v>0</v>
      </c>
      <c r="S1745" s="6">
        <v>0</v>
      </c>
      <c r="T1745" s="6" t="str">
        <f t="shared" si="83"/>
        <v>Septima</v>
      </c>
    </row>
    <row r="1746" spans="1:20">
      <c r="A1746" s="7" t="s">
        <v>3526</v>
      </c>
      <c r="B1746" s="7" t="s">
        <v>526</v>
      </c>
      <c r="C1746" s="8">
        <v>1</v>
      </c>
      <c r="D1746" s="7" t="s">
        <v>3526</v>
      </c>
      <c r="E1746" s="7" t="s">
        <v>3544</v>
      </c>
      <c r="F1746">
        <v>950</v>
      </c>
      <c r="G1746" s="6">
        <v>28274</v>
      </c>
      <c r="H1746" s="11" t="s">
        <v>3545</v>
      </c>
      <c r="I1746" s="6">
        <v>43</v>
      </c>
      <c r="J1746" s="6">
        <v>2</v>
      </c>
      <c r="K1746" s="6">
        <v>1</v>
      </c>
      <c r="L1746" s="6">
        <v>17</v>
      </c>
      <c r="M1746" s="10">
        <f t="shared" si="81"/>
        <v>5.882352941176471</v>
      </c>
      <c r="N1746" s="10">
        <f t="shared" si="82"/>
        <v>6</v>
      </c>
      <c r="O1746" s="6" t="s">
        <v>273</v>
      </c>
      <c r="P1746" s="6">
        <v>0</v>
      </c>
      <c r="Q1746" s="6">
        <v>0</v>
      </c>
      <c r="R1746" s="6">
        <v>0</v>
      </c>
      <c r="S1746" s="6">
        <v>0</v>
      </c>
      <c r="T1746" s="6" t="str">
        <f t="shared" si="83"/>
        <v>Octava</v>
      </c>
    </row>
    <row r="1747" spans="1:20">
      <c r="A1747" s="7" t="s">
        <v>3526</v>
      </c>
      <c r="B1747" s="7" t="s">
        <v>526</v>
      </c>
      <c r="C1747" s="8">
        <v>1</v>
      </c>
      <c r="D1747" s="7" t="s">
        <v>3526</v>
      </c>
      <c r="E1747" s="7" t="s">
        <v>3533</v>
      </c>
      <c r="F1747">
        <v>1382</v>
      </c>
      <c r="G1747" s="6">
        <v>18490</v>
      </c>
      <c r="H1747" s="11" t="s">
        <v>3534</v>
      </c>
      <c r="I1747" s="6">
        <v>19</v>
      </c>
      <c r="J1747" s="6">
        <v>4</v>
      </c>
      <c r="K1747" s="6">
        <v>13</v>
      </c>
      <c r="L1747" s="6">
        <v>59</v>
      </c>
      <c r="M1747" s="10">
        <f t="shared" si="81"/>
        <v>22.033898305084747</v>
      </c>
      <c r="N1747" s="10">
        <f t="shared" si="82"/>
        <v>23</v>
      </c>
      <c r="O1747" s="6" t="s">
        <v>411</v>
      </c>
      <c r="P1747" s="6">
        <v>0</v>
      </c>
      <c r="Q1747" s="6">
        <v>1</v>
      </c>
      <c r="R1747" s="6">
        <v>2</v>
      </c>
      <c r="S1747" s="6">
        <v>3</v>
      </c>
      <c r="T1747" s="6" t="str">
        <f t="shared" si="83"/>
        <v>Quinta</v>
      </c>
    </row>
    <row r="1748" spans="1:20">
      <c r="A1748" s="7" t="s">
        <v>3526</v>
      </c>
      <c r="B1748" s="7" t="s">
        <v>526</v>
      </c>
      <c r="C1748" s="8">
        <v>1</v>
      </c>
      <c r="D1748" s="7" t="s">
        <v>3526</v>
      </c>
      <c r="E1748" s="7" t="s">
        <v>3535</v>
      </c>
      <c r="F1748">
        <v>1083</v>
      </c>
      <c r="G1748" s="6">
        <v>26170</v>
      </c>
      <c r="H1748" s="11" t="s">
        <v>3536</v>
      </c>
      <c r="I1748" s="6">
        <v>41</v>
      </c>
      <c r="J1748" s="6">
        <v>4</v>
      </c>
      <c r="K1748" s="6">
        <v>15</v>
      </c>
      <c r="L1748" s="6">
        <v>68</v>
      </c>
      <c r="M1748" s="10">
        <f t="shared" si="81"/>
        <v>22.058823529411764</v>
      </c>
      <c r="N1748" s="10">
        <f t="shared" si="82"/>
        <v>23</v>
      </c>
      <c r="O1748" s="6" t="s">
        <v>412</v>
      </c>
      <c r="P1748" s="6">
        <v>0</v>
      </c>
      <c r="Q1748" s="6">
        <v>1</v>
      </c>
      <c r="R1748" s="6">
        <v>2</v>
      </c>
      <c r="S1748" s="6">
        <v>3</v>
      </c>
      <c r="T1748" s="6" t="str">
        <f t="shared" si="83"/>
        <v>Sexta</v>
      </c>
    </row>
    <row r="1749" spans="1:20">
      <c r="A1749" s="7" t="s">
        <v>3526</v>
      </c>
      <c r="B1749" s="7" t="s">
        <v>526</v>
      </c>
      <c r="C1749" s="8">
        <v>1</v>
      </c>
      <c r="D1749" s="7" t="s">
        <v>3526</v>
      </c>
      <c r="E1749" s="7" t="s">
        <v>3537</v>
      </c>
      <c r="F1749">
        <v>929</v>
      </c>
      <c r="G1749" s="6">
        <v>29081</v>
      </c>
      <c r="H1749" s="11" t="s">
        <v>3538</v>
      </c>
      <c r="I1749" s="6">
        <v>29</v>
      </c>
      <c r="J1749" s="6">
        <v>5</v>
      </c>
      <c r="K1749" s="6">
        <v>7</v>
      </c>
      <c r="L1749" s="6">
        <v>27</v>
      </c>
      <c r="M1749" s="10">
        <f t="shared" si="81"/>
        <v>25.925925925925927</v>
      </c>
      <c r="N1749" s="10">
        <f t="shared" si="82"/>
        <v>26</v>
      </c>
      <c r="O1749" s="6" t="s">
        <v>144</v>
      </c>
      <c r="P1749" s="6">
        <v>0</v>
      </c>
      <c r="Q1749" s="6">
        <v>0</v>
      </c>
      <c r="R1749" s="6">
        <v>1</v>
      </c>
      <c r="S1749" s="6">
        <v>1</v>
      </c>
      <c r="T1749" s="6" t="str">
        <f t="shared" si="83"/>
        <v>Octava</v>
      </c>
    </row>
    <row r="1750" spans="1:20">
      <c r="A1750" s="7" t="s">
        <v>3526</v>
      </c>
      <c r="B1750" s="7" t="s">
        <v>526</v>
      </c>
      <c r="C1750" s="8">
        <v>1</v>
      </c>
      <c r="D1750" s="7" t="s">
        <v>3526</v>
      </c>
      <c r="E1750" s="7" t="s">
        <v>3539</v>
      </c>
      <c r="F1750">
        <v>1067</v>
      </c>
      <c r="G1750" s="6">
        <v>24645</v>
      </c>
      <c r="H1750" s="11" t="s">
        <v>715</v>
      </c>
      <c r="I1750" s="6">
        <v>44</v>
      </c>
      <c r="J1750" s="6">
        <v>53</v>
      </c>
      <c r="K1750" s="6">
        <v>114</v>
      </c>
      <c r="L1750" s="6">
        <v>47</v>
      </c>
      <c r="M1750" s="10">
        <f t="shared" si="81"/>
        <v>242.55319148936169</v>
      </c>
      <c r="N1750" s="10">
        <f t="shared" si="82"/>
        <v>243</v>
      </c>
      <c r="O1750" s="6" t="s">
        <v>70</v>
      </c>
      <c r="P1750" s="6">
        <v>0</v>
      </c>
      <c r="Q1750" s="6">
        <v>4</v>
      </c>
      <c r="R1750" s="6">
        <v>7</v>
      </c>
      <c r="S1750" s="6">
        <v>11</v>
      </c>
      <c r="T1750" s="6" t="str">
        <f t="shared" si="83"/>
        <v>Septima</v>
      </c>
    </row>
    <row r="1751" spans="1:20">
      <c r="A1751" s="7" t="s">
        <v>3526</v>
      </c>
      <c r="B1751" s="7" t="s">
        <v>526</v>
      </c>
      <c r="C1751" s="8">
        <v>1</v>
      </c>
      <c r="D1751" s="7" t="s">
        <v>3526</v>
      </c>
      <c r="E1751" s="7" t="s">
        <v>3540</v>
      </c>
      <c r="F1751">
        <v>1237</v>
      </c>
      <c r="G1751" s="6">
        <v>3135</v>
      </c>
      <c r="H1751" s="11" t="s">
        <v>3541</v>
      </c>
      <c r="I1751" s="6">
        <v>57</v>
      </c>
      <c r="J1751" s="6">
        <v>191</v>
      </c>
      <c r="K1751" s="6">
        <v>389</v>
      </c>
      <c r="L1751" s="6">
        <v>41</v>
      </c>
      <c r="M1751" s="10">
        <f t="shared" si="81"/>
        <v>948.78048780487802</v>
      </c>
      <c r="N1751" s="10">
        <f t="shared" si="82"/>
        <v>949</v>
      </c>
      <c r="O1751" s="6" t="s">
        <v>91</v>
      </c>
      <c r="P1751" s="6">
        <v>8</v>
      </c>
      <c r="Q1751" s="6">
        <v>14</v>
      </c>
      <c r="R1751" s="6">
        <v>22</v>
      </c>
      <c r="S1751" s="6">
        <v>44</v>
      </c>
      <c r="T1751" s="6" t="str">
        <f t="shared" si="83"/>
        <v>Quinta</v>
      </c>
    </row>
    <row r="1752" spans="1:20">
      <c r="A1752" s="7" t="s">
        <v>3526</v>
      </c>
      <c r="B1752" s="7" t="s">
        <v>526</v>
      </c>
      <c r="C1752" s="8">
        <v>1</v>
      </c>
      <c r="D1752" s="7" t="s">
        <v>3526</v>
      </c>
      <c r="E1752" s="7" t="s">
        <v>3546</v>
      </c>
      <c r="F1752">
        <v>975</v>
      </c>
      <c r="G1752" s="6">
        <v>29056</v>
      </c>
      <c r="H1752" s="11" t="s">
        <v>3547</v>
      </c>
      <c r="I1752" s="6">
        <v>60</v>
      </c>
      <c r="J1752" s="6">
        <v>2</v>
      </c>
      <c r="K1752" s="6">
        <v>3</v>
      </c>
      <c r="L1752" s="6">
        <v>38</v>
      </c>
      <c r="M1752" s="10">
        <f t="shared" si="81"/>
        <v>7.8947368421052628</v>
      </c>
      <c r="N1752" s="10">
        <f t="shared" si="82"/>
        <v>8</v>
      </c>
      <c r="O1752" s="6" t="s">
        <v>273</v>
      </c>
      <c r="P1752" s="6">
        <v>0</v>
      </c>
      <c r="Q1752" s="6">
        <v>0</v>
      </c>
      <c r="R1752" s="6">
        <v>1</v>
      </c>
      <c r="S1752" s="6">
        <v>1</v>
      </c>
      <c r="T1752" s="6" t="str">
        <f t="shared" si="83"/>
        <v>Octava</v>
      </c>
    </row>
    <row r="1753" spans="1:20">
      <c r="A1753" s="7" t="s">
        <v>3548</v>
      </c>
      <c r="B1753" s="7" t="s">
        <v>483</v>
      </c>
      <c r="C1753" s="8">
        <v>1</v>
      </c>
      <c r="D1753" s="7" t="s">
        <v>3548</v>
      </c>
      <c r="E1753" s="7" t="s">
        <v>3549</v>
      </c>
      <c r="F1753">
        <v>1500</v>
      </c>
      <c r="G1753" s="6">
        <v>25713</v>
      </c>
      <c r="H1753" s="11" t="s">
        <v>3550</v>
      </c>
      <c r="I1753" s="6">
        <v>17</v>
      </c>
      <c r="J1753" s="6">
        <v>33</v>
      </c>
      <c r="K1753" s="6">
        <v>85</v>
      </c>
      <c r="L1753" s="6">
        <v>63</v>
      </c>
      <c r="M1753" s="10">
        <f t="shared" si="81"/>
        <v>134.92063492063491</v>
      </c>
      <c r="N1753" s="10">
        <f t="shared" si="82"/>
        <v>135</v>
      </c>
      <c r="O1753" s="6" t="s">
        <v>19</v>
      </c>
      <c r="P1753" s="6">
        <v>1</v>
      </c>
      <c r="Q1753" s="6">
        <v>2</v>
      </c>
      <c r="R1753" s="6">
        <v>5</v>
      </c>
      <c r="S1753" s="6">
        <v>8</v>
      </c>
      <c r="T1753" s="6" t="str">
        <f t="shared" si="83"/>
        <v>Cuarta</v>
      </c>
    </row>
    <row r="1754" spans="1:20">
      <c r="A1754" s="7" t="s">
        <v>3548</v>
      </c>
      <c r="B1754" s="7" t="s">
        <v>483</v>
      </c>
      <c r="C1754" s="8">
        <v>1</v>
      </c>
      <c r="D1754" s="7" t="s">
        <v>3548</v>
      </c>
      <c r="E1754" s="7" t="s">
        <v>3551</v>
      </c>
      <c r="F1754">
        <v>1000</v>
      </c>
      <c r="G1754" s="6">
        <v>13525</v>
      </c>
      <c r="H1754" s="11" t="s">
        <v>3552</v>
      </c>
      <c r="I1754" s="6">
        <v>35</v>
      </c>
      <c r="J1754" s="6">
        <v>0</v>
      </c>
      <c r="K1754" s="6">
        <v>0</v>
      </c>
      <c r="L1754" s="6">
        <v>0</v>
      </c>
      <c r="M1754" s="10">
        <f t="shared" si="81"/>
        <v>0</v>
      </c>
      <c r="N1754" s="10">
        <f t="shared" si="82"/>
        <v>0</v>
      </c>
      <c r="P1754" s="6">
        <v>0</v>
      </c>
      <c r="Q1754" s="6">
        <v>0</v>
      </c>
      <c r="R1754" s="6">
        <v>0</v>
      </c>
      <c r="S1754" s="6">
        <v>0</v>
      </c>
      <c r="T1754" s="6" t="str">
        <f t="shared" si="83"/>
        <v>Septima</v>
      </c>
    </row>
    <row r="1755" spans="1:20">
      <c r="A1755" s="7" t="s">
        <v>3548</v>
      </c>
      <c r="B1755" s="7" t="s">
        <v>483</v>
      </c>
      <c r="C1755" s="8">
        <v>1</v>
      </c>
      <c r="D1755" s="7" t="s">
        <v>3548</v>
      </c>
      <c r="E1755" s="7" t="s">
        <v>3553</v>
      </c>
      <c r="F1755">
        <v>1599</v>
      </c>
      <c r="G1755" s="6">
        <v>10475</v>
      </c>
      <c r="H1755" s="11" t="s">
        <v>3554</v>
      </c>
      <c r="I1755" s="6">
        <v>23</v>
      </c>
      <c r="J1755" s="6">
        <v>19</v>
      </c>
      <c r="K1755" s="6">
        <v>51</v>
      </c>
      <c r="L1755" s="6">
        <v>54</v>
      </c>
      <c r="M1755" s="10">
        <f t="shared" si="81"/>
        <v>94.444444444444443</v>
      </c>
      <c r="N1755" s="10">
        <f t="shared" si="82"/>
        <v>95</v>
      </c>
      <c r="O1755" s="6" t="s">
        <v>318</v>
      </c>
      <c r="P1755" s="6">
        <v>2</v>
      </c>
      <c r="Q1755" s="6">
        <v>2</v>
      </c>
      <c r="R1755" s="6">
        <v>4</v>
      </c>
      <c r="S1755" s="6">
        <v>8</v>
      </c>
      <c r="T1755" s="6" t="str">
        <f t="shared" si="83"/>
        <v>Cuarta</v>
      </c>
    </row>
    <row r="1756" spans="1:20">
      <c r="A1756" s="7" t="s">
        <v>3548</v>
      </c>
      <c r="B1756" s="7" t="s">
        <v>483</v>
      </c>
      <c r="C1756" s="8">
        <v>1</v>
      </c>
      <c r="D1756" s="7" t="s">
        <v>3548</v>
      </c>
      <c r="E1756" s="7" t="s">
        <v>3555</v>
      </c>
      <c r="F1756">
        <v>1615</v>
      </c>
      <c r="G1756" s="6">
        <v>1337</v>
      </c>
      <c r="H1756" s="11" t="s">
        <v>3556</v>
      </c>
      <c r="I1756" s="6">
        <v>63</v>
      </c>
      <c r="J1756" s="6">
        <v>86</v>
      </c>
      <c r="K1756" s="6">
        <v>169</v>
      </c>
      <c r="L1756" s="6">
        <v>45</v>
      </c>
      <c r="M1756" s="10">
        <f t="shared" si="81"/>
        <v>375.55555555555554</v>
      </c>
      <c r="N1756" s="10">
        <f t="shared" si="82"/>
        <v>376</v>
      </c>
      <c r="O1756" s="6" t="s">
        <v>82</v>
      </c>
      <c r="P1756" s="6">
        <v>1</v>
      </c>
      <c r="Q1756" s="6">
        <v>5</v>
      </c>
      <c r="R1756" s="6">
        <v>12</v>
      </c>
      <c r="S1756" s="6">
        <v>18</v>
      </c>
      <c r="T1756" s="6" t="str">
        <f t="shared" si="83"/>
        <v>Tercera</v>
      </c>
    </row>
    <row r="1757" spans="1:20">
      <c r="A1757" s="7" t="s">
        <v>3548</v>
      </c>
      <c r="B1757" s="7" t="s">
        <v>483</v>
      </c>
      <c r="C1757" s="8">
        <v>1</v>
      </c>
      <c r="D1757" s="7" t="s">
        <v>3548</v>
      </c>
      <c r="E1757" s="7" t="s">
        <v>3557</v>
      </c>
      <c r="F1757">
        <v>1287</v>
      </c>
      <c r="G1757" s="6">
        <v>10314</v>
      </c>
      <c r="H1757" s="11" t="s">
        <v>3558</v>
      </c>
      <c r="I1757" s="6">
        <v>60</v>
      </c>
      <c r="J1757" s="6">
        <v>227</v>
      </c>
      <c r="K1757" s="6">
        <v>570</v>
      </c>
      <c r="L1757" s="6">
        <v>54</v>
      </c>
      <c r="M1757" s="10">
        <f t="shared" si="81"/>
        <v>1055.5555555555557</v>
      </c>
      <c r="N1757" s="10">
        <f t="shared" si="82"/>
        <v>1056</v>
      </c>
      <c r="O1757" s="6" t="s">
        <v>304</v>
      </c>
      <c r="P1757" s="6">
        <v>10</v>
      </c>
      <c r="Q1757" s="6">
        <v>19</v>
      </c>
      <c r="R1757" s="6">
        <v>36</v>
      </c>
      <c r="S1757" s="6">
        <v>65</v>
      </c>
      <c r="T1757" s="6" t="str">
        <f t="shared" si="83"/>
        <v>Quinta</v>
      </c>
    </row>
    <row r="1758" spans="1:20">
      <c r="A1758" s="7" t="s">
        <v>3548</v>
      </c>
      <c r="B1758" s="7" t="s">
        <v>526</v>
      </c>
      <c r="C1758" s="8">
        <v>1</v>
      </c>
      <c r="D1758" s="7" t="s">
        <v>3548</v>
      </c>
      <c r="E1758" s="7" t="s">
        <v>3559</v>
      </c>
      <c r="F1758">
        <v>1201</v>
      </c>
      <c r="G1758" s="6">
        <v>27078</v>
      </c>
      <c r="H1758" s="11" t="s">
        <v>3560</v>
      </c>
      <c r="I1758" s="6">
        <v>15</v>
      </c>
      <c r="J1758" s="6">
        <v>17</v>
      </c>
      <c r="K1758" s="6">
        <v>40</v>
      </c>
      <c r="L1758" s="6">
        <v>54</v>
      </c>
      <c r="M1758" s="10">
        <f t="shared" si="81"/>
        <v>74.074074074074076</v>
      </c>
      <c r="N1758" s="10">
        <f t="shared" si="82"/>
        <v>75</v>
      </c>
      <c r="O1758" s="6" t="s">
        <v>18</v>
      </c>
      <c r="P1758" s="6">
        <v>3</v>
      </c>
      <c r="Q1758" s="6">
        <v>2</v>
      </c>
      <c r="R1758" s="6">
        <v>1</v>
      </c>
      <c r="S1758" s="6">
        <v>6</v>
      </c>
      <c r="T1758" s="6" t="str">
        <f t="shared" si="83"/>
        <v>Quinta</v>
      </c>
    </row>
    <row r="1759" spans="1:20">
      <c r="A1759" s="7" t="s">
        <v>3548</v>
      </c>
      <c r="B1759" s="7" t="s">
        <v>526</v>
      </c>
      <c r="C1759" s="8">
        <v>1</v>
      </c>
      <c r="D1759" s="7" t="s">
        <v>3548</v>
      </c>
      <c r="E1759" s="7" t="s">
        <v>3561</v>
      </c>
      <c r="F1759">
        <v>1131</v>
      </c>
      <c r="G1759" s="6">
        <v>17143</v>
      </c>
      <c r="H1759" s="11" t="s">
        <v>3562</v>
      </c>
      <c r="I1759" s="6">
        <v>55</v>
      </c>
      <c r="J1759" s="6">
        <v>50</v>
      </c>
      <c r="K1759" s="6">
        <v>108</v>
      </c>
      <c r="L1759" s="6">
        <v>48</v>
      </c>
      <c r="M1759" s="10">
        <f t="shared" si="81"/>
        <v>225</v>
      </c>
      <c r="N1759" s="10">
        <f t="shared" si="82"/>
        <v>225</v>
      </c>
      <c r="O1759" s="6" t="s">
        <v>413</v>
      </c>
      <c r="P1759" s="6">
        <v>1</v>
      </c>
      <c r="Q1759" s="6">
        <v>3</v>
      </c>
      <c r="R1759" s="6">
        <v>12</v>
      </c>
      <c r="S1759" s="6">
        <v>16</v>
      </c>
      <c r="T1759" s="6" t="str">
        <f t="shared" si="83"/>
        <v>Sexta</v>
      </c>
    </row>
    <row r="1760" spans="1:20">
      <c r="A1760" s="7" t="s">
        <v>3548</v>
      </c>
      <c r="B1760" s="7" t="s">
        <v>526</v>
      </c>
      <c r="C1760" s="8">
        <v>1</v>
      </c>
      <c r="D1760" s="7" t="s">
        <v>3548</v>
      </c>
      <c r="E1760" s="7" t="s">
        <v>3563</v>
      </c>
      <c r="F1760">
        <v>1085</v>
      </c>
      <c r="G1760" s="6">
        <v>27079</v>
      </c>
      <c r="H1760" s="11" t="s">
        <v>3564</v>
      </c>
      <c r="I1760" s="6">
        <v>23</v>
      </c>
      <c r="J1760" s="6">
        <v>6</v>
      </c>
      <c r="K1760" s="6">
        <v>20</v>
      </c>
      <c r="L1760" s="6">
        <v>67</v>
      </c>
      <c r="M1760" s="10">
        <f t="shared" si="81"/>
        <v>29.850746268656717</v>
      </c>
      <c r="N1760" s="10">
        <f t="shared" si="82"/>
        <v>30</v>
      </c>
      <c r="O1760" s="6" t="s">
        <v>414</v>
      </c>
      <c r="P1760" s="6">
        <v>1</v>
      </c>
      <c r="Q1760" s="6">
        <v>2</v>
      </c>
      <c r="R1760" s="6">
        <v>1</v>
      </c>
      <c r="S1760" s="6">
        <v>4</v>
      </c>
      <c r="T1760" s="6" t="str">
        <f t="shared" si="83"/>
        <v>Sexta</v>
      </c>
    </row>
    <row r="1761" spans="1:20">
      <c r="A1761" s="7" t="s">
        <v>3548</v>
      </c>
      <c r="B1761" s="7" t="s">
        <v>526</v>
      </c>
      <c r="C1761" s="8">
        <v>1</v>
      </c>
      <c r="D1761" s="7" t="s">
        <v>3548</v>
      </c>
      <c r="E1761" s="7" t="s">
        <v>3565</v>
      </c>
      <c r="F1761">
        <v>1000</v>
      </c>
      <c r="G1761" s="6">
        <v>18776</v>
      </c>
      <c r="H1761" s="11" t="s">
        <v>3566</v>
      </c>
      <c r="I1761" s="6">
        <v>43</v>
      </c>
      <c r="J1761" s="6">
        <v>0</v>
      </c>
      <c r="K1761" s="6">
        <v>0</v>
      </c>
      <c r="L1761" s="6">
        <v>0</v>
      </c>
      <c r="M1761" s="10">
        <f t="shared" si="81"/>
        <v>0</v>
      </c>
      <c r="N1761" s="10">
        <f t="shared" si="82"/>
        <v>0</v>
      </c>
      <c r="P1761" s="6">
        <v>0</v>
      </c>
      <c r="Q1761" s="6">
        <v>0</v>
      </c>
      <c r="R1761" s="6">
        <v>0</v>
      </c>
      <c r="S1761" s="6">
        <v>0</v>
      </c>
      <c r="T1761" s="6" t="str">
        <f t="shared" si="83"/>
        <v>Septima</v>
      </c>
    </row>
    <row r="1762" spans="1:20">
      <c r="A1762" s="7" t="s">
        <v>3548</v>
      </c>
      <c r="B1762" s="7" t="s">
        <v>526</v>
      </c>
      <c r="C1762" s="8">
        <v>1</v>
      </c>
      <c r="D1762" s="7" t="s">
        <v>3548</v>
      </c>
      <c r="E1762" s="7" t="s">
        <v>3567</v>
      </c>
      <c r="F1762">
        <v>1103</v>
      </c>
      <c r="G1762" s="6">
        <v>23108</v>
      </c>
      <c r="H1762" s="11" t="s">
        <v>3568</v>
      </c>
      <c r="I1762" s="6">
        <v>22</v>
      </c>
      <c r="J1762" s="6">
        <v>32</v>
      </c>
      <c r="K1762" s="6">
        <v>63</v>
      </c>
      <c r="L1762" s="6">
        <v>47</v>
      </c>
      <c r="M1762" s="10">
        <f t="shared" si="81"/>
        <v>134.04255319148936</v>
      </c>
      <c r="N1762" s="10">
        <f t="shared" si="82"/>
        <v>135</v>
      </c>
      <c r="O1762" s="6" t="s">
        <v>19</v>
      </c>
      <c r="P1762" s="6">
        <v>4</v>
      </c>
      <c r="Q1762" s="6">
        <v>1</v>
      </c>
      <c r="R1762" s="6">
        <v>5</v>
      </c>
      <c r="S1762" s="6">
        <v>10</v>
      </c>
      <c r="T1762" s="6" t="str">
        <f t="shared" si="83"/>
        <v>Sexta</v>
      </c>
    </row>
    <row r="1763" spans="1:20">
      <c r="A1763" s="7" t="s">
        <v>3548</v>
      </c>
      <c r="B1763" s="7" t="s">
        <v>526</v>
      </c>
      <c r="C1763" s="8">
        <v>1</v>
      </c>
      <c r="D1763" s="7" t="s">
        <v>3548</v>
      </c>
      <c r="E1763" s="7" t="s">
        <v>3569</v>
      </c>
      <c r="F1763">
        <v>1097</v>
      </c>
      <c r="G1763" s="6">
        <v>20988</v>
      </c>
      <c r="H1763" s="11" t="s">
        <v>3570</v>
      </c>
      <c r="I1763" s="6">
        <v>34</v>
      </c>
      <c r="J1763" s="6">
        <v>20</v>
      </c>
      <c r="K1763" s="6">
        <v>38</v>
      </c>
      <c r="L1763" s="6">
        <v>44</v>
      </c>
      <c r="M1763" s="10">
        <f t="shared" si="81"/>
        <v>86.36363636363636</v>
      </c>
      <c r="N1763" s="10">
        <f t="shared" si="82"/>
        <v>87</v>
      </c>
      <c r="O1763" s="6" t="s">
        <v>273</v>
      </c>
      <c r="P1763" s="6">
        <v>0</v>
      </c>
      <c r="Q1763" s="6">
        <v>2</v>
      </c>
      <c r="R1763" s="6">
        <v>4</v>
      </c>
      <c r="S1763" s="6">
        <v>6</v>
      </c>
      <c r="T1763" s="6" t="str">
        <f t="shared" si="83"/>
        <v>Sexta</v>
      </c>
    </row>
    <row r="1764" spans="1:20">
      <c r="A1764" s="7" t="s">
        <v>3548</v>
      </c>
      <c r="B1764" s="7" t="s">
        <v>526</v>
      </c>
      <c r="C1764" s="8">
        <v>1</v>
      </c>
      <c r="D1764" s="7" t="s">
        <v>3548</v>
      </c>
      <c r="E1764" s="7" t="s">
        <v>3571</v>
      </c>
      <c r="F1764">
        <v>1062</v>
      </c>
      <c r="G1764" s="6">
        <v>22778</v>
      </c>
      <c r="H1764" s="11" t="s">
        <v>3572</v>
      </c>
      <c r="I1764" s="6">
        <v>43</v>
      </c>
      <c r="J1764" s="6">
        <v>6</v>
      </c>
      <c r="K1764" s="6">
        <v>7</v>
      </c>
      <c r="L1764" s="6">
        <v>33</v>
      </c>
      <c r="M1764" s="10">
        <f t="shared" si="81"/>
        <v>21.212121212121211</v>
      </c>
      <c r="N1764" s="10">
        <f t="shared" si="82"/>
        <v>22</v>
      </c>
      <c r="O1764" s="6" t="s">
        <v>415</v>
      </c>
      <c r="P1764" s="6">
        <v>0</v>
      </c>
      <c r="Q1764" s="6">
        <v>0</v>
      </c>
      <c r="R1764" s="6">
        <v>0</v>
      </c>
      <c r="S1764" s="6">
        <v>0</v>
      </c>
      <c r="T1764" s="6" t="str">
        <f t="shared" si="83"/>
        <v>Septima</v>
      </c>
    </row>
    <row r="1765" spans="1:20">
      <c r="A1765" s="7" t="s">
        <v>3548</v>
      </c>
      <c r="B1765" s="7" t="s">
        <v>526</v>
      </c>
      <c r="C1765" s="8">
        <v>1</v>
      </c>
      <c r="D1765" s="7" t="s">
        <v>3548</v>
      </c>
      <c r="E1765" s="7" t="s">
        <v>3573</v>
      </c>
      <c r="F1765">
        <v>983</v>
      </c>
      <c r="G1765" s="6">
        <v>27081</v>
      </c>
      <c r="H1765" s="11" t="s">
        <v>3574</v>
      </c>
      <c r="I1765" s="6">
        <v>68</v>
      </c>
      <c r="J1765" s="6">
        <v>5</v>
      </c>
      <c r="K1765" s="6">
        <v>8</v>
      </c>
      <c r="L1765" s="6">
        <v>44</v>
      </c>
      <c r="M1765" s="10">
        <f t="shared" si="81"/>
        <v>18.181818181818183</v>
      </c>
      <c r="N1765" s="10">
        <f t="shared" si="82"/>
        <v>19</v>
      </c>
      <c r="O1765" s="6" t="s">
        <v>416</v>
      </c>
      <c r="P1765" s="6">
        <v>0</v>
      </c>
      <c r="Q1765" s="6">
        <v>0</v>
      </c>
      <c r="R1765" s="6">
        <v>1</v>
      </c>
      <c r="S1765" s="6">
        <v>1</v>
      </c>
      <c r="T1765" s="6" t="str">
        <f t="shared" si="83"/>
        <v>Septima</v>
      </c>
    </row>
  </sheetData>
  <hyperlinks>
    <hyperlink ref="H2" r:id="rId1" xr:uid="{42CA9732-35E6-4C72-A670-F5E65CEB052F}"/>
    <hyperlink ref="H3" r:id="rId2" xr:uid="{C8B45409-6780-4F18-AAE6-923C8557EEBC}"/>
    <hyperlink ref="H1625" r:id="rId3" xr:uid="{34C3DB73-326A-49C8-BF46-4F1B0C74A04B}"/>
    <hyperlink ref="H4" r:id="rId4" xr:uid="{9C5BF8B6-0F70-444E-87C7-29DA7E6794D8}"/>
    <hyperlink ref="H1631" r:id="rId5" xr:uid="{C5D4EDDF-497E-46D2-974B-F5C0AD422BA6}"/>
    <hyperlink ref="H1642" r:id="rId6" xr:uid="{34322734-367C-4EDD-8FED-F5417DA9A079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roach</cp:lastModifiedBy>
  <dcterms:created xsi:type="dcterms:W3CDTF">2026-03-21T03:14:30Z</dcterms:created>
  <dcterms:modified xsi:type="dcterms:W3CDTF">2026-03-21T06:02:00Z</dcterms:modified>
</cp:coreProperties>
</file>